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12.xml" ContentType="application/vnd.openxmlformats-officedocument.spreadsheetml.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43363deaaa060a/Escritorio/TRANSPORTE/"/>
    </mc:Choice>
  </mc:AlternateContent>
  <xr:revisionPtr revIDLastSave="6" documentId="13_ncr:1_{076B5B5B-8C57-4F48-BA4E-8920A28399CD}" xr6:coauthVersionLast="47" xr6:coauthVersionMax="47" xr10:uidLastSave="{C4A16691-5433-4287-B090-152E0DD12A9E}"/>
  <bookViews>
    <workbookView xWindow="-110" yWindow="-110" windowWidth="19420" windowHeight="10300" tabRatio="894" activeTab="4" xr2:uid="{00000000-000D-0000-FFFF-FFFF00000000}"/>
  </bookViews>
  <sheets>
    <sheet name="00KmDiariosReales" sheetId="6" r:id="rId1"/>
    <sheet name="01Servicios" sheetId="1" r:id="rId2"/>
    <sheet name="00Dashboard" sheetId="8" r:id="rId3"/>
    <sheet name="00Análisis" sheetId="9" r:id="rId4"/>
    <sheet name="02Repostajes" sheetId="3" r:id="rId5"/>
    <sheet name="03Facturas_Recibidas" sheetId="4" r:id="rId6"/>
    <sheet name="04_Personal" sheetId="10" r:id="rId7"/>
    <sheet name="05Facturas_Emitidas" sheetId="11" r:id="rId8"/>
    <sheet name="06_Impuestos" sheetId="12" r:id="rId9"/>
    <sheet name="07_Inversiones" sheetId="13" r:id="rId10"/>
    <sheet name="08_Mantenimiento" sheetId="14" r:id="rId11"/>
    <sheet name="99_Listas" sheetId="2" r:id="rId12"/>
    <sheet name="99_Config" sheetId="5" r:id="rId13"/>
    <sheet name="90_Modelo" sheetId="7" r:id="rId14"/>
  </sheets>
  <definedNames>
    <definedName name="_xlpm.b" hidden="1" xlm="1">#NAME?</definedName>
    <definedName name="_xlpm.f" hidden="1" xlm="1">#NAME?</definedName>
    <definedName name="_xlpm.u" hidden="1" xlm="1">#NAME?</definedName>
    <definedName name="_xlpm.x" hidden="1" xlm="1">#NAME?</definedName>
  </definedNames>
  <calcPr calcId="191028"/>
  <pivotCaches>
    <pivotCache cacheId="0" r:id="rId15"/>
    <pivotCache cacheId="7" r:id="rId16"/>
    <pivotCache cacheId="1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4" l="1"/>
  <c r="K2" i="4"/>
  <c r="L2" i="4"/>
  <c r="M2" i="4" s="1"/>
  <c r="N2" i="4"/>
  <c r="O2" i="4"/>
  <c r="P2" i="4"/>
  <c r="N2" i="1"/>
  <c r="P2" i="1"/>
  <c r="Q2" i="1"/>
  <c r="R2" i="1"/>
  <c r="H3" i="6"/>
  <c r="I3" i="6"/>
  <c r="J3" i="6"/>
  <c r="P3" i="1"/>
  <c r="Q3" i="1"/>
  <c r="R3" i="1"/>
  <c r="H4" i="6"/>
  <c r="I4" i="6"/>
  <c r="J4" i="6"/>
  <c r="N4" i="1"/>
  <c r="P4" i="1"/>
  <c r="Q4" i="1"/>
  <c r="R4" i="1"/>
  <c r="H5" i="6"/>
  <c r="I5" i="6"/>
  <c r="J5" i="6"/>
  <c r="I2" i="3"/>
  <c r="H2" i="3"/>
  <c r="K2" i="3"/>
  <c r="O2" i="3"/>
  <c r="P2" i="3"/>
  <c r="Q2" i="3"/>
  <c r="R2" i="3"/>
  <c r="S2" i="3" a="1"/>
  <c r="T2" i="3" s="1"/>
  <c r="I3" i="3"/>
  <c r="L3" i="3"/>
  <c r="H3" i="3"/>
  <c r="K3" i="3"/>
  <c r="O3" i="3"/>
  <c r="P3" i="3"/>
  <c r="Q3" i="3"/>
  <c r="R3" i="3"/>
  <c r="S3" i="3" s="1" a="1"/>
  <c r="T3" i="3" s="1"/>
  <c r="N5" i="1"/>
  <c r="P5" i="1"/>
  <c r="Q5" i="1"/>
  <c r="R5" i="1"/>
  <c r="H6" i="6"/>
  <c r="I6" i="6"/>
  <c r="J6" i="6"/>
  <c r="H7" i="6"/>
  <c r="I7" i="6"/>
  <c r="J7" i="6"/>
  <c r="N6" i="1"/>
  <c r="P6" i="1"/>
  <c r="Q6" i="1"/>
  <c r="R6" i="1"/>
  <c r="H8" i="6"/>
  <c r="I8" i="6"/>
  <c r="J8" i="6"/>
  <c r="F3" i="4"/>
  <c r="L3" i="4"/>
  <c r="M3" i="4" s="1"/>
  <c r="N3" i="4"/>
  <c r="O3" i="4"/>
  <c r="P3" i="4"/>
  <c r="I2" i="10"/>
  <c r="J2" i="10" s="1"/>
  <c r="L2" i="10"/>
  <c r="I3" i="10"/>
  <c r="J3" i="10" s="1"/>
  <c r="L3" i="10"/>
  <c r="N7" i="1"/>
  <c r="P7" i="1"/>
  <c r="Q7" i="1"/>
  <c r="R7" i="1"/>
  <c r="H9" i="6"/>
  <c r="I9" i="6"/>
  <c r="J9" i="6"/>
  <c r="F4" i="4"/>
  <c r="K4" i="4"/>
  <c r="L4" i="4" s="1"/>
  <c r="M4" i="4" s="1"/>
  <c r="N4" i="4"/>
  <c r="O4" i="4"/>
  <c r="P4" i="4"/>
  <c r="F5" i="4"/>
  <c r="K5" i="4"/>
  <c r="L5" i="4" s="1"/>
  <c r="M5" i="4" s="1"/>
  <c r="N5" i="4"/>
  <c r="O5" i="4"/>
  <c r="P5" i="4"/>
  <c r="N8" i="1" l="1"/>
  <c r="P8" i="1"/>
  <c r="Q8" i="1"/>
  <c r="R8" i="1"/>
  <c r="H10" i="6"/>
  <c r="I10" i="6"/>
  <c r="J10" i="6"/>
  <c r="F6" i="4"/>
  <c r="K6" i="4"/>
  <c r="L6" i="4" s="1"/>
  <c r="M6" i="4" s="1"/>
  <c r="N6" i="4"/>
  <c r="O6" i="4"/>
  <c r="P6" i="4"/>
  <c r="F7" i="4"/>
  <c r="K7" i="4"/>
  <c r="L7" i="4" s="1"/>
  <c r="M7" i="4" s="1"/>
  <c r="N7" i="4"/>
  <c r="O7" i="4"/>
  <c r="P7" i="4"/>
  <c r="F8" i="4"/>
  <c r="K8" i="4"/>
  <c r="L8" i="4" s="1"/>
  <c r="M8" i="4" s="1"/>
  <c r="N8" i="4"/>
  <c r="O8" i="4"/>
  <c r="P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L9" i="4"/>
  <c r="M9" i="4" s="1"/>
  <c r="N9" i="4"/>
  <c r="O9" i="4"/>
  <c r="P9" i="4"/>
  <c r="L10" i="4"/>
  <c r="M10" i="4" s="1"/>
  <c r="N10" i="4"/>
  <c r="O10" i="4"/>
  <c r="P10" i="4"/>
  <c r="J11" i="4"/>
  <c r="K11" i="4"/>
  <c r="N11" i="4"/>
  <c r="O11" i="4"/>
  <c r="P11" i="4"/>
  <c r="L12" i="4"/>
  <c r="M12" i="4" s="1"/>
  <c r="N12" i="4"/>
  <c r="O12" i="4"/>
  <c r="P12" i="4"/>
  <c r="J13" i="4"/>
  <c r="K13" i="4"/>
  <c r="N13" i="4"/>
  <c r="O13" i="4"/>
  <c r="P13" i="4"/>
  <c r="J14" i="4"/>
  <c r="K14" i="4"/>
  <c r="N14" i="4"/>
  <c r="O14" i="4"/>
  <c r="P14" i="4"/>
  <c r="I4" i="3"/>
  <c r="H4" i="3"/>
  <c r="K4" i="3"/>
  <c r="O4" i="3"/>
  <c r="P4" i="3"/>
  <c r="Q4" i="3"/>
  <c r="R4" i="3"/>
  <c r="N9" i="1"/>
  <c r="P9" i="1"/>
  <c r="Q9" i="1"/>
  <c r="R9" i="1"/>
  <c r="H11" i="6"/>
  <c r="I11" i="6"/>
  <c r="J11" i="6"/>
  <c r="L2" i="11"/>
  <c r="M2" i="11"/>
  <c r="N2" i="11"/>
  <c r="P10" i="1"/>
  <c r="Q10" i="1"/>
  <c r="R10" i="1"/>
  <c r="H12" i="6"/>
  <c r="I12" i="6"/>
  <c r="J12" i="6"/>
  <c r="N11" i="1"/>
  <c r="P11" i="1"/>
  <c r="Q11" i="1"/>
  <c r="R11" i="1"/>
  <c r="H13" i="6"/>
  <c r="I13" i="6"/>
  <c r="J13" i="6"/>
  <c r="P12" i="1"/>
  <c r="Q12" i="1"/>
  <c r="R12" i="1"/>
  <c r="H14" i="6"/>
  <c r="I14" i="6"/>
  <c r="J14" i="6"/>
  <c r="P13" i="1"/>
  <c r="Q13" i="1"/>
  <c r="R13" i="1"/>
  <c r="H15" i="6"/>
  <c r="I15" i="6"/>
  <c r="J15" i="6"/>
  <c r="I6" i="8"/>
  <c r="I5" i="8"/>
  <c r="I4" i="8"/>
  <c r="F2" i="14"/>
  <c r="G2" i="14"/>
  <c r="L15" i="4"/>
  <c r="M15" i="4" s="1"/>
  <c r="N15" i="4"/>
  <c r="O15" i="4"/>
  <c r="P15" i="4"/>
  <c r="L16" i="4"/>
  <c r="M16" i="4" s="1"/>
  <c r="N16" i="4"/>
  <c r="O16" i="4"/>
  <c r="P16" i="4"/>
  <c r="N14" i="1"/>
  <c r="P14" i="1"/>
  <c r="Q14" i="1"/>
  <c r="R14" i="1"/>
  <c r="H16" i="6"/>
  <c r="I16" i="6"/>
  <c r="J16" i="6"/>
  <c r="H5" i="3"/>
  <c r="O5" i="3"/>
  <c r="P5" i="3"/>
  <c r="Q5" i="3"/>
  <c r="R5" i="3"/>
  <c r="L14" i="4" l="1"/>
  <c r="M14" i="4" s="1"/>
  <c r="L11" i="4"/>
  <c r="M11" i="4" s="1"/>
  <c r="L13" i="4"/>
  <c r="M13" i="4" s="1"/>
  <c r="N15" i="1"/>
  <c r="P15" i="1"/>
  <c r="Q15" i="1"/>
  <c r="R15" i="1"/>
  <c r="H17" i="6"/>
  <c r="I17" i="6"/>
  <c r="J17" i="6"/>
  <c r="H18" i="6"/>
  <c r="I18" i="6"/>
  <c r="J18" i="6"/>
  <c r="N16" i="1" l="1"/>
  <c r="P16" i="1"/>
  <c r="Q16" i="1"/>
  <c r="R16" i="1"/>
  <c r="H19" i="6"/>
  <c r="I19" i="6"/>
  <c r="J19" i="6"/>
  <c r="N17" i="1"/>
  <c r="P17" i="1"/>
  <c r="Q17" i="1"/>
  <c r="R17" i="1"/>
  <c r="H20" i="6"/>
  <c r="I20" i="6"/>
  <c r="J20" i="6"/>
  <c r="J38" i="4"/>
  <c r="K17" i="4"/>
  <c r="L17" i="4" s="1"/>
  <c r="M17" i="4" s="1"/>
  <c r="N17" i="4"/>
  <c r="O17" i="4"/>
  <c r="P17" i="4"/>
  <c r="K18" i="4"/>
  <c r="L18" i="4" s="1"/>
  <c r="M18" i="4" s="1"/>
  <c r="N18" i="4"/>
  <c r="O18" i="4"/>
  <c r="P18" i="4"/>
  <c r="K19" i="4"/>
  <c r="L19" i="4" s="1"/>
  <c r="M19" i="4" s="1"/>
  <c r="N19" i="4"/>
  <c r="O19" i="4"/>
  <c r="P19" i="4"/>
  <c r="I6" i="3"/>
  <c r="K6" i="3" s="1"/>
  <c r="H6" i="3"/>
  <c r="O6" i="3"/>
  <c r="P6" i="3"/>
  <c r="Q6" i="3"/>
  <c r="R6" i="3"/>
  <c r="N18" i="1"/>
  <c r="P18" i="1"/>
  <c r="Q18" i="1"/>
  <c r="R18" i="1"/>
  <c r="H21" i="6"/>
  <c r="I21" i="6"/>
  <c r="J21" i="6"/>
  <c r="P19" i="1"/>
  <c r="Q19" i="1"/>
  <c r="R19" i="1"/>
  <c r="H22" i="6"/>
  <c r="I22" i="6"/>
  <c r="J22" i="6"/>
  <c r="K20" i="4"/>
  <c r="L20" i="4" s="1"/>
  <c r="M20" i="4" s="1"/>
  <c r="N20" i="4"/>
  <c r="O20" i="4"/>
  <c r="P20" i="4"/>
  <c r="H23" i="6"/>
  <c r="I23" i="6"/>
  <c r="J23" i="6"/>
  <c r="K21" i="4"/>
  <c r="L21" i="4" s="1"/>
  <c r="M21" i="4" s="1"/>
  <c r="N21" i="4"/>
  <c r="O21" i="4"/>
  <c r="P21" i="4"/>
  <c r="I7" i="3"/>
  <c r="K7" i="3" s="1"/>
  <c r="H7" i="3"/>
  <c r="O7" i="3"/>
  <c r="P7" i="3"/>
  <c r="Q7" i="3"/>
  <c r="R7" i="3"/>
  <c r="I8" i="3"/>
  <c r="K8" i="3" s="1"/>
  <c r="H8" i="3"/>
  <c r="O8" i="3"/>
  <c r="P8" i="3"/>
  <c r="Q8" i="3"/>
  <c r="R8" i="3"/>
  <c r="N20" i="1"/>
  <c r="P20" i="1"/>
  <c r="Q20" i="1"/>
  <c r="R20" i="1"/>
  <c r="H24" i="6"/>
  <c r="I24" i="6"/>
  <c r="J24" i="6"/>
  <c r="P21" i="1"/>
  <c r="Q21" i="1"/>
  <c r="R21" i="1"/>
  <c r="H25" i="6"/>
  <c r="I25" i="6"/>
  <c r="J25" i="6"/>
  <c r="P22" i="1"/>
  <c r="Q22" i="1"/>
  <c r="R22" i="1"/>
  <c r="H26" i="6"/>
  <c r="I26" i="6"/>
  <c r="J26" i="6"/>
  <c r="H27" i="6"/>
  <c r="I27" i="6"/>
  <c r="J27" i="6"/>
  <c r="N23" i="1"/>
  <c r="P23" i="1"/>
  <c r="Q23" i="1"/>
  <c r="R23" i="1"/>
  <c r="H28" i="6"/>
  <c r="I28" i="6"/>
  <c r="J28" i="6"/>
  <c r="P24" i="1"/>
  <c r="Q24" i="1"/>
  <c r="R24" i="1"/>
  <c r="H29" i="6"/>
  <c r="I29" i="6"/>
  <c r="J29" i="6"/>
  <c r="P25" i="1"/>
  <c r="Q25" i="1"/>
  <c r="R25" i="1"/>
  <c r="H30" i="6"/>
  <c r="I30" i="6"/>
  <c r="J30" i="6"/>
  <c r="H31" i="6"/>
  <c r="I31" i="6"/>
  <c r="J31" i="6"/>
  <c r="N26" i="1"/>
  <c r="P26" i="1"/>
  <c r="Q26" i="1"/>
  <c r="R26" i="1"/>
  <c r="H32" i="6"/>
  <c r="I32" i="6"/>
  <c r="J32" i="6"/>
  <c r="L22" i="4"/>
  <c r="M22" i="4" s="1"/>
  <c r="N22" i="4"/>
  <c r="O22" i="4"/>
  <c r="P22" i="4"/>
  <c r="P27" i="1"/>
  <c r="Q27" i="1"/>
  <c r="R27" i="1"/>
  <c r="P28" i="1"/>
  <c r="Q28" i="1"/>
  <c r="R28" i="1"/>
  <c r="H33" i="6"/>
  <c r="I33" i="6"/>
  <c r="J33" i="6"/>
  <c r="H34" i="6"/>
  <c r="I34" i="6"/>
  <c r="J34" i="6"/>
  <c r="L23" i="4"/>
  <c r="M23" i="4" s="1"/>
  <c r="N23" i="4"/>
  <c r="O23" i="4"/>
  <c r="P23" i="4"/>
  <c r="H9" i="3"/>
  <c r="I9" i="3"/>
  <c r="K9" i="3"/>
  <c r="O9" i="3"/>
  <c r="P9" i="3"/>
  <c r="Q9" i="3"/>
  <c r="R9" i="3"/>
  <c r="H10" i="3"/>
  <c r="I10" i="3"/>
  <c r="K10" i="3" s="1"/>
  <c r="O10" i="3"/>
  <c r="P10" i="3"/>
  <c r="Q10" i="3"/>
  <c r="R10" i="3"/>
  <c r="H35" i="6"/>
  <c r="I35" i="6"/>
  <c r="J35" i="6"/>
  <c r="N29" i="1"/>
  <c r="P29" i="1"/>
  <c r="Q29" i="1"/>
  <c r="R29" i="1"/>
  <c r="H36" i="6"/>
  <c r="I36" i="6"/>
  <c r="J36" i="6"/>
  <c r="N30" i="1"/>
  <c r="P30" i="1"/>
  <c r="Q30" i="1"/>
  <c r="R30" i="1"/>
  <c r="H37" i="6"/>
  <c r="I37" i="6"/>
  <c r="J37" i="6"/>
  <c r="H38" i="6"/>
  <c r="I38" i="6"/>
  <c r="J38" i="6"/>
  <c r="N31" i="1"/>
  <c r="P31" i="1"/>
  <c r="Q31" i="1"/>
  <c r="R31" i="1"/>
  <c r="N32" i="1"/>
  <c r="P32" i="1"/>
  <c r="Q32" i="1"/>
  <c r="R32" i="1"/>
  <c r="H39" i="6"/>
  <c r="I39" i="6"/>
  <c r="J39" i="6"/>
  <c r="H40" i="6"/>
  <c r="I40" i="6"/>
  <c r="J40" i="6"/>
  <c r="I4" i="10"/>
  <c r="J4" i="10" s="1"/>
  <c r="L4" i="10"/>
  <c r="BA4" i="10" a="1"/>
  <c r="BA5" i="10" a="1"/>
  <c r="BA6" i="10" a="1"/>
  <c r="BA7" i="10" a="1"/>
  <c r="BA8" i="10" a="1"/>
  <c r="BA9" i="10" a="1"/>
  <c r="BA10" i="10" a="1"/>
  <c r="BA11" i="10" a="1"/>
  <c r="BA12" i="10" a="1"/>
  <c r="BA13" i="10" a="1"/>
  <c r="BA14" i="10" a="1"/>
  <c r="BA15" i="10" a="1"/>
  <c r="BA16" i="10" a="1"/>
  <c r="BA17" i="10" a="1"/>
  <c r="BA18" i="10" a="1"/>
  <c r="BA19" i="10" a="1"/>
  <c r="BA20" i="10" a="1"/>
  <c r="BA21" i="10" a="1"/>
  <c r="BA22" i="10" a="1"/>
  <c r="BA23" i="10" a="1"/>
  <c r="BA24" i="10" a="1"/>
  <c r="BA25" i="10" a="1"/>
  <c r="BA26" i="10" a="1"/>
  <c r="BA27" i="10" a="1"/>
  <c r="BA28" i="10" a="1"/>
  <c r="BA29" i="10" a="1"/>
  <c r="BA30" i="10" a="1"/>
  <c r="BA31" i="10" a="1"/>
  <c r="BA32" i="10" a="1"/>
  <c r="BA33" i="10" a="1"/>
  <c r="BA34" i="10" a="1"/>
  <c r="BA35" i="10" a="1"/>
  <c r="BA36" i="10" a="1"/>
  <c r="BA37" i="10" a="1"/>
  <c r="BA38" i="10" a="1"/>
  <c r="BA39" i="10" a="1"/>
  <c r="BA40" i="10" a="1"/>
  <c r="BA41" i="10" a="1"/>
  <c r="BA42" i="10" a="1"/>
  <c r="BA43" i="10" a="1"/>
  <c r="BA44" i="10" a="1"/>
  <c r="BA45" i="10" a="1"/>
  <c r="BA46" i="10" a="1"/>
  <c r="BA47" i="10" a="1"/>
  <c r="BA48" i="10" a="1"/>
  <c r="BA49" i="10" a="1"/>
  <c r="BA50" i="10" a="1"/>
  <c r="BA51" i="10" a="1"/>
  <c r="BA52" i="10" a="1"/>
  <c r="BA53" i="10" a="1"/>
  <c r="BA54" i="10" a="1"/>
  <c r="BA55" i="10" a="1"/>
  <c r="BA56" i="10" a="1"/>
  <c r="BA57" i="10" a="1"/>
  <c r="BA58" i="10" a="1"/>
  <c r="BA59" i="10" a="1"/>
  <c r="BA60" i="10" a="1"/>
  <c r="BA61" i="10" a="1"/>
  <c r="BA62" i="10" a="1"/>
  <c r="BA63" i="10" a="1"/>
  <c r="BA64" i="10" a="1"/>
  <c r="BA65" i="10" a="1"/>
  <c r="BA66" i="10" a="1"/>
  <c r="BA67" i="10" a="1"/>
  <c r="BA68" i="10" a="1"/>
  <c r="BA69" i="10" a="1"/>
  <c r="BA70" i="10" a="1"/>
  <c r="BA71" i="10" a="1"/>
  <c r="BA72" i="10" a="1"/>
  <c r="BA73" i="10" a="1"/>
  <c r="BA74" i="10" a="1"/>
  <c r="BA75" i="10" a="1"/>
  <c r="BA76" i="10" a="1"/>
  <c r="BA77" i="10" a="1"/>
  <c r="BA78" i="10" a="1"/>
  <c r="BA79" i="10" a="1"/>
  <c r="BA80" i="10" a="1"/>
  <c r="BA81" i="10" a="1"/>
  <c r="BA82" i="10" a="1"/>
  <c r="BA83" i="10" a="1"/>
  <c r="BA84" i="10" a="1"/>
  <c r="BA85" i="10" a="1"/>
  <c r="BA86" i="10" a="1"/>
  <c r="BA87" i="10" a="1"/>
  <c r="BA88" i="10" a="1"/>
  <c r="BA89" i="10" a="1"/>
  <c r="BA90" i="10" a="1"/>
  <c r="BA91" i="10" a="1"/>
  <c r="BA92" i="10" a="1"/>
  <c r="BA93" i="10" a="1"/>
  <c r="BA94" i="10" a="1"/>
  <c r="BA95" i="10" a="1"/>
  <c r="BA96" i="10" a="1"/>
  <c r="BA97" i="10" a="1"/>
  <c r="BA98" i="10" a="1"/>
  <c r="BA99" i="10" a="1"/>
  <c r="BA100" i="10" a="1"/>
  <c r="BA101" i="10" a="1"/>
  <c r="BA102" i="10" a="1"/>
  <c r="BA103" i="10" a="1"/>
  <c r="BA104" i="10" a="1"/>
  <c r="BA105" i="10" a="1"/>
  <c r="BA106" i="10" a="1"/>
  <c r="BA107" i="10" a="1"/>
  <c r="BA108" i="10" a="1"/>
  <c r="BA109" i="10" a="1"/>
  <c r="BA110" i="10" a="1"/>
  <c r="BA111" i="10" a="1"/>
  <c r="BA112" i="10" a="1"/>
  <c r="BA113" i="10" a="1"/>
  <c r="BA114" i="10" a="1"/>
  <c r="BA115" i="10" a="1"/>
  <c r="BA116" i="10" a="1"/>
  <c r="BA117" i="10" a="1"/>
  <c r="BA118" i="10" a="1"/>
  <c r="BA119" i="10" a="1"/>
  <c r="BA120" i="10" a="1"/>
  <c r="BA121" i="10" a="1"/>
  <c r="BA122" i="10" a="1"/>
  <c r="BA123" i="10" a="1"/>
  <c r="BA124" i="10" a="1"/>
  <c r="BA125" i="10" a="1"/>
  <c r="BA126" i="10" a="1"/>
  <c r="BA127" i="10" a="1"/>
  <c r="BA128" i="10" a="1"/>
  <c r="BA129" i="10" a="1"/>
  <c r="BA130" i="10" a="1"/>
  <c r="BA131" i="10" a="1"/>
  <c r="BA132" i="10" a="1"/>
  <c r="BA133" i="10" a="1"/>
  <c r="BA134" i="10" a="1"/>
  <c r="BA135" i="10" a="1"/>
  <c r="BA136" i="10" a="1"/>
  <c r="BA137" i="10" a="1"/>
  <c r="BA138" i="10" a="1"/>
  <c r="BA139" i="10" a="1"/>
  <c r="BA140" i="10" a="1"/>
  <c r="BA141" i="10" a="1"/>
  <c r="BA142" i="10" a="1"/>
  <c r="BA143" i="10" a="1"/>
  <c r="BA144" i="10" a="1"/>
  <c r="BA145" i="10" a="1"/>
  <c r="BA146" i="10" a="1"/>
  <c r="BA147" i="10" a="1"/>
  <c r="BA148" i="10" a="1"/>
  <c r="BA149" i="10" a="1"/>
  <c r="BA150" i="10" a="1"/>
  <c r="BA151" i="10" a="1"/>
  <c r="BA152" i="10" a="1"/>
  <c r="BA153" i="10" a="1"/>
  <c r="BA154" i="10" a="1"/>
  <c r="BA155" i="10" a="1"/>
  <c r="BA156" i="10" a="1"/>
  <c r="BA157" i="10" a="1"/>
  <c r="BA158" i="10" a="1"/>
  <c r="BA159" i="10" a="1"/>
  <c r="BA160" i="10" a="1"/>
  <c r="BA161" i="10" a="1"/>
  <c r="BA162" i="10" a="1"/>
  <c r="BA163" i="10" a="1"/>
  <c r="BA164" i="10" a="1"/>
  <c r="BA165" i="10" a="1"/>
  <c r="BA166" i="10" a="1"/>
  <c r="BA167" i="10" a="1"/>
  <c r="BA168" i="10" a="1"/>
  <c r="BA169" i="10" a="1"/>
  <c r="BA170" i="10" a="1"/>
  <c r="BA171" i="10" a="1"/>
  <c r="BA172" i="10" a="1"/>
  <c r="BA173" i="10" a="1"/>
  <c r="BA174" i="10" a="1"/>
  <c r="BA175" i="10" a="1"/>
  <c r="BA176" i="10" a="1"/>
  <c r="BA177" i="10" a="1"/>
  <c r="BA178" i="10" a="1"/>
  <c r="BA179" i="10" a="1"/>
  <c r="BA180" i="10" a="1"/>
  <c r="BA181" i="10" a="1"/>
  <c r="BA182" i="10" a="1"/>
  <c r="BA183" i="10" a="1"/>
  <c r="BA184" i="10" a="1"/>
  <c r="BA185" i="10" a="1"/>
  <c r="BA186" i="10" a="1"/>
  <c r="BA187" i="10" a="1"/>
  <c r="BA188" i="10" a="1"/>
  <c r="BA189" i="10" a="1"/>
  <c r="BA190" i="10" a="1"/>
  <c r="BA191" i="10" a="1"/>
  <c r="BA192" i="10" a="1"/>
  <c r="BA193" i="10" a="1"/>
  <c r="BA194" i="10" a="1"/>
  <c r="BA195" i="10" a="1"/>
  <c r="BA196" i="10" a="1"/>
  <c r="BA197" i="10" a="1"/>
  <c r="BA198" i="10" a="1"/>
  <c r="BA199" i="10" a="1"/>
  <c r="BA200" i="10" a="1"/>
  <c r="BA201" i="10" a="1"/>
  <c r="BA202" i="10" a="1"/>
  <c r="BA203" i="10" a="1"/>
  <c r="BA204" i="10" a="1"/>
  <c r="BA205" i="10" a="1"/>
  <c r="BA206" i="10" a="1"/>
  <c r="BA207" i="10" a="1"/>
  <c r="BA208" i="10" a="1"/>
  <c r="BA209" i="10" a="1"/>
  <c r="BA210" i="10" a="1"/>
  <c r="BA211" i="10" a="1"/>
  <c r="BA212" i="10" a="1"/>
  <c r="BA213" i="10" a="1"/>
  <c r="BA214" i="10" a="1"/>
  <c r="BA215" i="10" a="1"/>
  <c r="BA216" i="10" a="1"/>
  <c r="BA217" i="10" a="1"/>
  <c r="BA218" i="10" a="1"/>
  <c r="BA219" i="10" a="1"/>
  <c r="BA220" i="10" a="1"/>
  <c r="BA221" i="10" a="1"/>
  <c r="BA222" i="10" a="1"/>
  <c r="BA223" i="10" a="1"/>
  <c r="BA224" i="10" a="1"/>
  <c r="BA225" i="10" a="1"/>
  <c r="BA226" i="10" a="1"/>
  <c r="BA227" i="10" a="1"/>
  <c r="BA228" i="10" a="1"/>
  <c r="BA229" i="10" a="1"/>
  <c r="BA230" i="10" a="1"/>
  <c r="BA231" i="10" a="1"/>
  <c r="BA232" i="10" a="1"/>
  <c r="BA233" i="10" a="1"/>
  <c r="BA234" i="10" a="1"/>
  <c r="BA235" i="10" a="1"/>
  <c r="BA236" i="10" a="1"/>
  <c r="BA237" i="10" a="1"/>
  <c r="BA238" i="10" a="1"/>
  <c r="BA239" i="10" a="1"/>
  <c r="BA240" i="10" a="1"/>
  <c r="BA241" i="10" a="1"/>
  <c r="BA242" i="10" a="1"/>
  <c r="BA243" i="10" a="1"/>
  <c r="BA244" i="10" a="1"/>
  <c r="BA245" i="10" a="1"/>
  <c r="BA246" i="10" a="1"/>
  <c r="BA247" i="10" a="1"/>
  <c r="BA248" i="10" a="1"/>
  <c r="BA249" i="10" a="1"/>
  <c r="BA250" i="10" a="1"/>
  <c r="BA251" i="10" a="1"/>
  <c r="BA252" i="10" a="1"/>
  <c r="BA253" i="10" a="1"/>
  <c r="BA254" i="10" a="1"/>
  <c r="BA255" i="10" a="1"/>
  <c r="BA256" i="10" a="1"/>
  <c r="BA257" i="10" a="1"/>
  <c r="BA258" i="10" a="1"/>
  <c r="BA259" i="10" a="1"/>
  <c r="BA260" i="10" a="1"/>
  <c r="BA261" i="10" a="1"/>
  <c r="BA262" i="10" a="1"/>
  <c r="BA263" i="10" a="1"/>
  <c r="BA264" i="10" a="1"/>
  <c r="BA265" i="10" a="1"/>
  <c r="BA266" i="10" a="1"/>
  <c r="BA267" i="10" a="1"/>
  <c r="BA268" i="10" a="1"/>
  <c r="BA269" i="10" a="1"/>
  <c r="BA270" i="10" a="1"/>
  <c r="BA271" i="10" a="1"/>
  <c r="BA272" i="10" a="1"/>
  <c r="BA273" i="10" a="1"/>
  <c r="BA274" i="10" a="1"/>
  <c r="BA275" i="10" a="1"/>
  <c r="BA276" i="10" a="1"/>
  <c r="BA277" i="10" a="1"/>
  <c r="BA278" i="10" a="1"/>
  <c r="BA279" i="10" a="1"/>
  <c r="BA280" i="10" a="1"/>
  <c r="BA281" i="10" a="1"/>
  <c r="BA282" i="10" a="1"/>
  <c r="BA283" i="10" a="1"/>
  <c r="BA284" i="10" a="1"/>
  <c r="BA285" i="10" a="1"/>
  <c r="BA286" i="10" a="1"/>
  <c r="BA287" i="10" a="1"/>
  <c r="BA288" i="10" a="1"/>
  <c r="BA289" i="10" a="1"/>
  <c r="BA290" i="10" a="1"/>
  <c r="BA291" i="10" a="1"/>
  <c r="BA292" i="10" a="1"/>
  <c r="BA293" i="10" a="1"/>
  <c r="BA294" i="10" a="1"/>
  <c r="BA295" i="10" a="1"/>
  <c r="BA296" i="10" a="1"/>
  <c r="BA297" i="10" a="1"/>
  <c r="BA298" i="10" a="1"/>
  <c r="BA299" i="10" a="1"/>
  <c r="BA300" i="10" a="1"/>
  <c r="BA301" i="10" a="1"/>
  <c r="BA302" i="10" a="1"/>
  <c r="BA303" i="10" a="1"/>
  <c r="BA304" i="10" a="1"/>
  <c r="BA305" i="10" a="1"/>
  <c r="BA306" i="10" a="1"/>
  <c r="BA307" i="10" a="1"/>
  <c r="BA308" i="10" a="1"/>
  <c r="BA309" i="10" a="1"/>
  <c r="BA310" i="10" a="1"/>
  <c r="BA311" i="10" a="1"/>
  <c r="BA312" i="10" a="1"/>
  <c r="BA313" i="10" a="1"/>
  <c r="BA314" i="10" a="1"/>
  <c r="BA315" i="10" a="1"/>
  <c r="BA316" i="10" a="1"/>
  <c r="BA317" i="10" a="1"/>
  <c r="BA318" i="10" a="1"/>
  <c r="BA319" i="10" a="1"/>
  <c r="BA320" i="10" a="1"/>
  <c r="BA321" i="10" a="1"/>
  <c r="BA322" i="10" a="1"/>
  <c r="BA323" i="10" a="1"/>
  <c r="BA324" i="10" a="1"/>
  <c r="BA325" i="10" a="1"/>
  <c r="BA326" i="10" a="1"/>
  <c r="BA327" i="10" a="1"/>
  <c r="BA328" i="10" a="1"/>
  <c r="BA329" i="10" a="1"/>
  <c r="BA330" i="10" a="1"/>
  <c r="BA331" i="10" a="1"/>
  <c r="BA332" i="10" a="1"/>
  <c r="BA333" i="10" a="1"/>
  <c r="BA334" i="10" a="1"/>
  <c r="BA335" i="10" a="1"/>
  <c r="BA336" i="10" a="1"/>
  <c r="BA337" i="10" a="1"/>
  <c r="BA338" i="10" a="1"/>
  <c r="BA339" i="10" a="1"/>
  <c r="BA340" i="10" a="1"/>
  <c r="BA341" i="10" a="1"/>
  <c r="BA342" i="10" a="1"/>
  <c r="BA343" i="10" a="1"/>
  <c r="BA344" i="10" a="1"/>
  <c r="BA345" i="10" a="1"/>
  <c r="BA346" i="10" a="1"/>
  <c r="BA347" i="10" a="1"/>
  <c r="BA348" i="10" a="1"/>
  <c r="BA349" i="10" a="1"/>
  <c r="BA350" i="10" a="1"/>
  <c r="BA351" i="10" a="1"/>
  <c r="BA352" i="10" a="1"/>
  <c r="BA353" i="10" a="1"/>
  <c r="BA354" i="10" a="1"/>
  <c r="BA355" i="10" a="1"/>
  <c r="BA356" i="10" a="1"/>
  <c r="BA357" i="10" a="1"/>
  <c r="BA358" i="10" a="1"/>
  <c r="BA359" i="10" a="1"/>
  <c r="BA360" i="10" a="1"/>
  <c r="BA361" i="10" a="1"/>
  <c r="BA362" i="10" a="1"/>
  <c r="BA363" i="10" a="1"/>
  <c r="BA364" i="10" a="1"/>
  <c r="BA365" i="10" a="1"/>
  <c r="BA366" i="10" a="1"/>
  <c r="BA367" i="10" a="1"/>
  <c r="BA368" i="10" a="1"/>
  <c r="BA369" i="10" a="1"/>
  <c r="BA370" i="10" a="1"/>
  <c r="BA371" i="10" a="1"/>
  <c r="BA372" i="10" a="1"/>
  <c r="BA373" i="10" a="1"/>
  <c r="BA374" i="10" a="1"/>
  <c r="BA375" i="10" a="1"/>
  <c r="BA376" i="10" a="1"/>
  <c r="BA377" i="10" a="1"/>
  <c r="BA378" i="10" a="1"/>
  <c r="BA379" i="10" a="1"/>
  <c r="BA380" i="10" a="1"/>
  <c r="BA381" i="10" a="1"/>
  <c r="BA382" i="10" a="1"/>
  <c r="BA383" i="10" a="1"/>
  <c r="BA384" i="10" a="1"/>
  <c r="BA385" i="10" a="1"/>
  <c r="BA386" i="10" a="1"/>
  <c r="BA387" i="10" a="1"/>
  <c r="BA388" i="10" a="1"/>
  <c r="BA389" i="10" a="1"/>
  <c r="BA390" i="10" a="1"/>
  <c r="BA391" i="10" a="1"/>
  <c r="BA392" i="10" a="1"/>
  <c r="BA393" i="10" a="1"/>
  <c r="BA394" i="10" a="1"/>
  <c r="BA395" i="10" a="1"/>
  <c r="BA396" i="10" a="1"/>
  <c r="BA397" i="10" a="1"/>
  <c r="BA398" i="10" a="1"/>
  <c r="BA399" i="10" a="1"/>
  <c r="BA400" i="10" a="1"/>
  <c r="BA401" i="10" a="1"/>
  <c r="BA402" i="10" a="1"/>
  <c r="BA403" i="10" a="1"/>
  <c r="BA404" i="10" a="1"/>
  <c r="BA405" i="10" a="1"/>
  <c r="BA406" i="10" a="1"/>
  <c r="BA407" i="10" a="1"/>
  <c r="BA408" i="10" a="1"/>
  <c r="BA409" i="10" a="1"/>
  <c r="BA410" i="10" a="1"/>
  <c r="BA411" i="10" a="1"/>
  <c r="BA412" i="10" a="1"/>
  <c r="BA413" i="10" a="1"/>
  <c r="BA414" i="10" a="1"/>
  <c r="BA415" i="10" a="1"/>
  <c r="BA416" i="10" a="1"/>
  <c r="BA417" i="10" a="1"/>
  <c r="BA418" i="10" a="1"/>
  <c r="BA419" i="10" a="1"/>
  <c r="BA420" i="10" a="1"/>
  <c r="BA421" i="10" a="1"/>
  <c r="BA422" i="10" a="1"/>
  <c r="BA423" i="10" a="1"/>
  <c r="BA424" i="10" a="1"/>
  <c r="BA425" i="10" a="1"/>
  <c r="BA426" i="10" a="1"/>
  <c r="BA427" i="10" a="1"/>
  <c r="BA428" i="10" a="1"/>
  <c r="BA429" i="10" a="1"/>
  <c r="BA430" i="10" a="1"/>
  <c r="BA431" i="10" a="1"/>
  <c r="BA432" i="10" a="1"/>
  <c r="BA433" i="10" a="1"/>
  <c r="BA434" i="10" a="1"/>
  <c r="BA435" i="10" a="1"/>
  <c r="BA436" i="10" a="1"/>
  <c r="BA437" i="10" a="1"/>
  <c r="BA438" i="10" a="1"/>
  <c r="BA439" i="10" a="1"/>
  <c r="BA440" i="10" a="1"/>
  <c r="BA441" i="10" a="1"/>
  <c r="BA442" i="10" a="1"/>
  <c r="BA443" i="10" a="1"/>
  <c r="BA444" i="10" a="1"/>
  <c r="BA445" i="10" a="1"/>
  <c r="BA446" i="10" a="1"/>
  <c r="BA447" i="10" a="1"/>
  <c r="BA448" i="10" a="1"/>
  <c r="BA449" i="10" a="1"/>
  <c r="BA450" i="10" a="1"/>
  <c r="BA451" i="10" a="1"/>
  <c r="BA452" i="10" a="1"/>
  <c r="BA453" i="10" a="1"/>
  <c r="BA454" i="10" a="1"/>
  <c r="BA455" i="10" a="1"/>
  <c r="BA456" i="10" a="1"/>
  <c r="BA457" i="10" a="1"/>
  <c r="BA458" i="10" a="1"/>
  <c r="BA459" i="10" a="1"/>
  <c r="BA460" i="10" a="1"/>
  <c r="BA461" i="10" a="1"/>
  <c r="BA462" i="10" a="1"/>
  <c r="BA463" i="10" a="1"/>
  <c r="BA464" i="10" a="1"/>
  <c r="BA465" i="10" a="1"/>
  <c r="BA466" i="10" a="1"/>
  <c r="BA467" i="10" a="1"/>
  <c r="BA468" i="10" a="1"/>
  <c r="BA469" i="10" a="1"/>
  <c r="BA470" i="10" a="1"/>
  <c r="BA471" i="10" a="1"/>
  <c r="BA472" i="10" a="1"/>
  <c r="BA473" i="10" a="1"/>
  <c r="BA474" i="10" a="1"/>
  <c r="BA475" i="10" a="1"/>
  <c r="BA476" i="10" a="1"/>
  <c r="BA477" i="10" a="1"/>
  <c r="BA478" i="10" a="1"/>
  <c r="BA479" i="10" a="1"/>
  <c r="BA480" i="10" a="1"/>
  <c r="BA481" i="10" a="1"/>
  <c r="BA482" i="10" a="1"/>
  <c r="BA483" i="10" a="1"/>
  <c r="BA484" i="10" a="1"/>
  <c r="BA485" i="10" a="1"/>
  <c r="BA486" i="10" a="1"/>
  <c r="BA487" i="10" a="1"/>
  <c r="BA488" i="10" a="1"/>
  <c r="BA489" i="10" a="1"/>
  <c r="BA490" i="10" a="1"/>
  <c r="BA491" i="10" a="1"/>
  <c r="BA492" i="10" a="1"/>
  <c r="BA3" i="10" a="1"/>
  <c r="AI2" i="9" a="1"/>
  <c r="I11" i="3"/>
  <c r="K11" i="3" s="1"/>
  <c r="H11" i="3"/>
  <c r="O11" i="3"/>
  <c r="P11" i="3"/>
  <c r="Q11" i="3"/>
  <c r="R11" i="3"/>
  <c r="N33" i="1"/>
  <c r="P33" i="1"/>
  <c r="Q33" i="1"/>
  <c r="R33" i="1"/>
  <c r="H41" i="6"/>
  <c r="I41" i="6"/>
  <c r="J41" i="6"/>
  <c r="K24" i="4"/>
  <c r="L24" i="4" s="1"/>
  <c r="M24" i="4" s="1"/>
  <c r="N24" i="4"/>
  <c r="O24" i="4"/>
  <c r="P24" i="4"/>
  <c r="K25" i="4"/>
  <c r="L25" i="4" s="1"/>
  <c r="M25" i="4" s="1"/>
  <c r="N25" i="4"/>
  <c r="O25" i="4"/>
  <c r="P25" i="4"/>
  <c r="K26" i="4"/>
  <c r="L26" i="4" s="1"/>
  <c r="M26" i="4" s="1"/>
  <c r="N26" i="4"/>
  <c r="O26" i="4"/>
  <c r="P26" i="4"/>
  <c r="K27" i="4"/>
  <c r="L27" i="4" s="1"/>
  <c r="M27" i="4" s="1"/>
  <c r="N27" i="4"/>
  <c r="O27" i="4"/>
  <c r="P27" i="4"/>
  <c r="K28" i="4"/>
  <c r="L28" i="4" s="1"/>
  <c r="M28" i="4" s="1"/>
  <c r="N28" i="4"/>
  <c r="O28" i="4"/>
  <c r="P28" i="4"/>
  <c r="I12" i="3"/>
  <c r="K12" i="3" s="1"/>
  <c r="H12" i="3"/>
  <c r="O12" i="3"/>
  <c r="P12" i="3"/>
  <c r="Q12" i="3"/>
  <c r="R12" i="3"/>
  <c r="H42" i="6"/>
  <c r="I42" i="6"/>
  <c r="J42" i="6"/>
  <c r="P34" i="1"/>
  <c r="Q34" i="1"/>
  <c r="R34" i="1"/>
  <c r="P35" i="1"/>
  <c r="Q35" i="1"/>
  <c r="R35" i="1"/>
  <c r="H43" i="6"/>
  <c r="I43" i="6"/>
  <c r="J43" i="6"/>
  <c r="H44" i="6"/>
  <c r="I44" i="6"/>
  <c r="J44" i="6"/>
  <c r="N36" i="1"/>
  <c r="P36" i="1"/>
  <c r="Q36" i="1"/>
  <c r="R36" i="1"/>
  <c r="H45" i="6"/>
  <c r="I45" i="6"/>
  <c r="J45" i="6"/>
  <c r="H46" i="6"/>
  <c r="I46" i="6"/>
  <c r="J46" i="6"/>
  <c r="P37" i="1"/>
  <c r="Q37" i="1"/>
  <c r="R37" i="1"/>
  <c r="P38" i="1"/>
  <c r="Q38" i="1"/>
  <c r="R38" i="1"/>
  <c r="H47" i="6"/>
  <c r="I47" i="6"/>
  <c r="J47" i="6"/>
  <c r="H48" i="6"/>
  <c r="I48" i="6"/>
  <c r="J48" i="6"/>
  <c r="N39" i="1"/>
  <c r="P39" i="1"/>
  <c r="Q39" i="1"/>
  <c r="R39" i="1"/>
  <c r="H49" i="6"/>
  <c r="I49" i="6"/>
  <c r="J49" i="6"/>
  <c r="H13" i="3"/>
  <c r="K13" i="3"/>
  <c r="O13" i="3"/>
  <c r="P13" i="3"/>
  <c r="Q13" i="3"/>
  <c r="R13" i="3"/>
  <c r="N40" i="1"/>
  <c r="P40" i="1"/>
  <c r="Q40" i="1"/>
  <c r="R40" i="1"/>
  <c r="H50" i="6"/>
  <c r="I50" i="6"/>
  <c r="J50" i="6"/>
  <c r="H51" i="6"/>
  <c r="I51" i="6"/>
  <c r="J51" i="6"/>
  <c r="N41" i="1"/>
  <c r="P41" i="1"/>
  <c r="Q41" i="1"/>
  <c r="R41" i="1"/>
  <c r="H52" i="6"/>
  <c r="I52" i="6"/>
  <c r="J52" i="6"/>
  <c r="K29" i="4"/>
  <c r="L29" i="4" s="1"/>
  <c r="M29" i="4" s="1"/>
  <c r="N29" i="4"/>
  <c r="O29" i="4"/>
  <c r="P29" i="4"/>
  <c r="F3" i="14"/>
  <c r="G3" i="14"/>
  <c r="I5" i="10"/>
  <c r="J5" i="10" s="1"/>
  <c r="L5" i="10"/>
  <c r="H14" i="3"/>
  <c r="K14" i="3"/>
  <c r="O14" i="3"/>
  <c r="P14" i="3"/>
  <c r="Q14" i="3"/>
  <c r="R14" i="3"/>
  <c r="AL5" i="9" l="1" a="1"/>
  <c r="AL13" i="9" a="1"/>
  <c r="AL3" i="9" a="1"/>
  <c r="AL12" i="9" a="1"/>
  <c r="AL6" i="9" a="1"/>
  <c r="AL11" i="9" a="1"/>
  <c r="AL4" i="9" a="1"/>
  <c r="AK4" i="9"/>
  <c r="AK5" i="9"/>
  <c r="AK7" i="9"/>
  <c r="AK10" i="9"/>
  <c r="AK12" i="9"/>
  <c r="AK3" i="9"/>
  <c r="AK6" i="9"/>
  <c r="AK8" i="9"/>
  <c r="AK9" i="9"/>
  <c r="AK11" i="9"/>
  <c r="AK13" i="9"/>
  <c r="K30" i="4"/>
  <c r="L30" i="4" s="1"/>
  <c r="M30" i="4" s="1"/>
  <c r="N30" i="4"/>
  <c r="O30" i="4"/>
  <c r="P30" i="4"/>
  <c r="K31" i="4"/>
  <c r="L31" i="4" s="1"/>
  <c r="M31" i="4" s="1"/>
  <c r="N31" i="4"/>
  <c r="O31" i="4"/>
  <c r="P31" i="4"/>
  <c r="K32" i="4"/>
  <c r="L32" i="4" s="1"/>
  <c r="M32" i="4" s="1"/>
  <c r="N32" i="4"/>
  <c r="O32" i="4"/>
  <c r="P32" i="4"/>
  <c r="N42" i="1"/>
  <c r="P42" i="1"/>
  <c r="Q42" i="1"/>
  <c r="R42" i="1"/>
  <c r="H53" i="6"/>
  <c r="I53" i="6"/>
  <c r="J53" i="6"/>
  <c r="N43" i="1"/>
  <c r="P43" i="1"/>
  <c r="Q43" i="1"/>
  <c r="R43" i="1"/>
  <c r="H54" i="6"/>
  <c r="I54" i="6"/>
  <c r="J54" i="6"/>
  <c r="H15" i="3"/>
  <c r="K15" i="3"/>
  <c r="O15" i="3"/>
  <c r="P15" i="3"/>
  <c r="Q15" i="3"/>
  <c r="R15" i="3"/>
  <c r="K33" i="4"/>
  <c r="L33" i="4" s="1"/>
  <c r="M33" i="4" s="1"/>
  <c r="N33" i="4"/>
  <c r="O33" i="4"/>
  <c r="P33" i="4"/>
  <c r="K34" i="4"/>
  <c r="L34" i="4" s="1"/>
  <c r="M34" i="4" s="1"/>
  <c r="N34" i="4"/>
  <c r="O34" i="4"/>
  <c r="P34" i="4"/>
  <c r="K35" i="4"/>
  <c r="L35" i="4" s="1"/>
  <c r="M35" i="4" s="1"/>
  <c r="N35" i="4"/>
  <c r="O35" i="4"/>
  <c r="P35" i="4"/>
  <c r="K36" i="4"/>
  <c r="L36" i="4" s="1"/>
  <c r="M36" i="4" s="1"/>
  <c r="N36" i="4"/>
  <c r="O36" i="4"/>
  <c r="P36" i="4"/>
  <c r="K37" i="4"/>
  <c r="L37" i="4" s="1"/>
  <c r="M37" i="4" s="1"/>
  <c r="N37" i="4"/>
  <c r="O37" i="4"/>
  <c r="P37" i="4"/>
  <c r="L38" i="4"/>
  <c r="M38" i="4" s="1"/>
  <c r="N38" i="4"/>
  <c r="O38" i="4"/>
  <c r="P38" i="4"/>
  <c r="N44" i="1"/>
  <c r="P44" i="1"/>
  <c r="Q44" i="1"/>
  <c r="R44" i="1"/>
  <c r="H55" i="6"/>
  <c r="I55" i="6"/>
  <c r="J55" i="6"/>
  <c r="H56" i="6"/>
  <c r="I56" i="6"/>
  <c r="J56" i="6"/>
  <c r="N45" i="1"/>
  <c r="P45" i="1"/>
  <c r="Q45" i="1"/>
  <c r="R45" i="1"/>
  <c r="H57" i="6"/>
  <c r="I57" i="6"/>
  <c r="J57" i="6"/>
  <c r="I17" i="3"/>
  <c r="K17" i="3" s="1"/>
  <c r="I16" i="3"/>
  <c r="K16" i="3" s="1"/>
  <c r="H16" i="3"/>
  <c r="O16" i="3"/>
  <c r="P16" i="3"/>
  <c r="Q16" i="3"/>
  <c r="R16" i="3"/>
  <c r="H17" i="3"/>
  <c r="O17" i="3"/>
  <c r="P17" i="3"/>
  <c r="Q17" i="3"/>
  <c r="R17" i="3"/>
  <c r="N46" i="1"/>
  <c r="P46" i="1"/>
  <c r="Q46" i="1"/>
  <c r="R46" i="1"/>
  <c r="H58" i="6"/>
  <c r="I58" i="6"/>
  <c r="J58" i="6"/>
  <c r="N47" i="1"/>
  <c r="P47" i="1"/>
  <c r="Q47" i="1"/>
  <c r="R47" i="1"/>
  <c r="H59" i="6"/>
  <c r="I59" i="6"/>
  <c r="J59" i="6"/>
  <c r="L39" i="4"/>
  <c r="M39" i="4" s="1"/>
  <c r="N39" i="4"/>
  <c r="O39" i="4"/>
  <c r="P39" i="4"/>
  <c r="K40" i="4" l="1"/>
  <c r="L40" i="4" s="1"/>
  <c r="M40" i="4" s="1"/>
  <c r="N40" i="4"/>
  <c r="O40" i="4"/>
  <c r="P40" i="4"/>
  <c r="K41" i="4"/>
  <c r="L41" i="4" s="1"/>
  <c r="M41" i="4" s="1"/>
  <c r="N41" i="4"/>
  <c r="O41" i="4"/>
  <c r="P41" i="4"/>
  <c r="K42" i="4"/>
  <c r="L42" i="4" s="1"/>
  <c r="M42" i="4" s="1"/>
  <c r="N42" i="4"/>
  <c r="O42" i="4"/>
  <c r="P42" i="4"/>
  <c r="N48" i="1"/>
  <c r="P48" i="1"/>
  <c r="Q48" i="1"/>
  <c r="R48" i="1"/>
  <c r="H60" i="6"/>
  <c r="I60" i="6"/>
  <c r="J60" i="6"/>
  <c r="H61" i="6"/>
  <c r="I61" i="6"/>
  <c r="J61" i="6"/>
  <c r="N49" i="1"/>
  <c r="P49" i="1"/>
  <c r="Q49" i="1"/>
  <c r="R49" i="1"/>
  <c r="H62" i="6"/>
  <c r="I62" i="6"/>
  <c r="J62" i="6"/>
  <c r="B17" i="9"/>
  <c r="D16" i="9" a="1"/>
  <c r="C16" i="9" a="1"/>
  <c r="G5" i="14"/>
  <c r="D15" i="9" s="1" a="1"/>
  <c r="G6" i="14"/>
  <c r="F4" i="14"/>
  <c r="B16" i="9"/>
  <c r="C15" i="9" a="1"/>
  <c r="B15" i="9"/>
  <c r="B14" i="9"/>
  <c r="F5" i="14"/>
  <c r="F6" i="14"/>
  <c r="D14" i="9" s="1" a="1"/>
  <c r="C14" i="9" a="1"/>
  <c r="K43" i="4"/>
  <c r="L43" i="4" s="1"/>
  <c r="M43" i="4" s="1"/>
  <c r="N43" i="4"/>
  <c r="O43" i="4"/>
  <c r="P43" i="4"/>
  <c r="K44" i="4"/>
  <c r="L44" i="4" s="1"/>
  <c r="M44" i="4" s="1"/>
  <c r="N44" i="4"/>
  <c r="O44" i="4"/>
  <c r="P44" i="4"/>
  <c r="K45" i="4"/>
  <c r="L45" i="4" s="1"/>
  <c r="M45" i="4" s="1"/>
  <c r="N45" i="4"/>
  <c r="O45" i="4"/>
  <c r="P45" i="4"/>
  <c r="K46" i="4"/>
  <c r="L46" i="4" s="1"/>
  <c r="M46" i="4" s="1"/>
  <c r="N46" i="4"/>
  <c r="O46" i="4"/>
  <c r="P46" i="4"/>
  <c r="I18" i="3"/>
  <c r="K18" i="3" s="1"/>
  <c r="H18" i="3"/>
  <c r="O18" i="3"/>
  <c r="P18" i="3"/>
  <c r="Q18" i="3"/>
  <c r="R18" i="3"/>
  <c r="P50" i="1"/>
  <c r="Q50" i="1"/>
  <c r="R50" i="1"/>
  <c r="H63" i="6"/>
  <c r="I63" i="6"/>
  <c r="J63" i="6"/>
  <c r="H64" i="6"/>
  <c r="I64" i="6"/>
  <c r="J64" i="6"/>
  <c r="N51" i="1"/>
  <c r="P51" i="1"/>
  <c r="Q51" i="1"/>
  <c r="R51" i="1"/>
  <c r="N52" i="1"/>
  <c r="P52" i="1"/>
  <c r="Q52" i="1"/>
  <c r="R52" i="1"/>
  <c r="H65" i="6"/>
  <c r="I65" i="6"/>
  <c r="J65" i="6"/>
  <c r="BA493" i="10" a="1"/>
  <c r="BA494" i="10" a="1"/>
  <c r="BA495" i="10" a="1"/>
  <c r="BA496" i="10" a="1"/>
  <c r="BA497" i="10" a="1"/>
  <c r="BA498" i="10" a="1"/>
  <c r="BA499" i="10" a="1"/>
  <c r="BA500" i="10" a="1"/>
  <c r="BA501" i="10" a="1"/>
  <c r="BA502" i="10" a="1"/>
  <c r="BA503" i="10" a="1"/>
  <c r="BA504" i="10" a="1"/>
  <c r="BA505" i="10" a="1"/>
  <c r="BA506" i="10" a="1"/>
  <c r="BA507" i="10" a="1"/>
  <c r="BA508" i="10" a="1"/>
  <c r="BA509" i="10" a="1"/>
  <c r="BA510" i="10" a="1"/>
  <c r="BA511" i="10" a="1"/>
  <c r="BA512" i="10" a="1"/>
  <c r="BA513" i="10" a="1"/>
  <c r="BA514" i="10" a="1"/>
  <c r="BA515" i="10" a="1"/>
  <c r="BA516" i="10" a="1"/>
  <c r="BA517" i="10" a="1"/>
  <c r="BA518" i="10" a="1"/>
  <c r="BA519" i="10" a="1"/>
  <c r="BA520" i="10" a="1"/>
  <c r="BA521" i="10" a="1"/>
  <c r="BA522" i="10" a="1"/>
  <c r="BA523" i="10" a="1"/>
  <c r="BA524" i="10" a="1"/>
  <c r="BA525" i="10" a="1"/>
  <c r="BA526" i="10" a="1"/>
  <c r="BA527" i="10" a="1"/>
  <c r="BA528" i="10" a="1"/>
  <c r="BA529" i="10" a="1"/>
  <c r="BA530" i="10" a="1"/>
  <c r="BA531" i="10" a="1"/>
  <c r="BA532" i="10" a="1"/>
  <c r="BA533" i="10" a="1"/>
  <c r="BA534" i="10" a="1"/>
  <c r="BA535" i="10" a="1"/>
  <c r="BA536" i="10" a="1"/>
  <c r="BA537" i="10" a="1"/>
  <c r="BA538" i="10" a="1"/>
  <c r="BA539" i="10" a="1"/>
  <c r="BA540" i="10" a="1"/>
  <c r="BA541" i="10" a="1"/>
  <c r="BA542" i="10" a="1"/>
  <c r="BA543" i="10" a="1"/>
  <c r="BA544" i="10" a="1"/>
  <c r="BA545" i="10" a="1"/>
  <c r="BA546" i="10" a="1"/>
  <c r="BA547" i="10" a="1"/>
  <c r="BA548" i="10" a="1"/>
  <c r="BA549" i="10" a="1"/>
  <c r="BA550" i="10" a="1"/>
  <c r="BA551" i="10" a="1"/>
  <c r="BA552" i="10" a="1"/>
  <c r="BA553" i="10" a="1"/>
  <c r="BA554" i="10" a="1"/>
  <c r="BA555" i="10" a="1"/>
  <c r="BA556" i="10" a="1"/>
  <c r="BA557" i="10" a="1"/>
  <c r="BA558" i="10" a="1"/>
  <c r="BA559" i="10" a="1"/>
  <c r="BA560" i="10" a="1"/>
  <c r="BA561" i="10" a="1"/>
  <c r="BA562" i="10" a="1"/>
  <c r="BA563" i="10" a="1"/>
  <c r="BA564" i="10" a="1"/>
  <c r="BA565" i="10" a="1"/>
  <c r="BA566" i="10" a="1"/>
  <c r="BA567" i="10" a="1"/>
  <c r="BA568" i="10" a="1"/>
  <c r="BA569" i="10" a="1"/>
  <c r="BA570" i="10" a="1"/>
  <c r="BA571" i="10" a="1"/>
  <c r="BA572" i="10" a="1"/>
  <c r="BA573" i="10" a="1"/>
  <c r="BA574" i="10" a="1"/>
  <c r="BA575" i="10" a="1"/>
  <c r="BA576" i="10" a="1"/>
  <c r="BA577" i="10" a="1"/>
  <c r="BA578" i="10" a="1"/>
  <c r="BA579" i="10" a="1"/>
  <c r="BA580" i="10" a="1"/>
  <c r="BA581" i="10" a="1"/>
  <c r="BA582" i="10" a="1"/>
  <c r="BA583" i="10" a="1"/>
  <c r="BA584" i="10" a="1"/>
  <c r="BA585" i="10" a="1"/>
  <c r="BA586" i="10" a="1"/>
  <c r="BA587" i="10" a="1"/>
  <c r="BA588" i="10" a="1"/>
  <c r="BA589" i="10" a="1"/>
  <c r="BA590" i="10" a="1"/>
  <c r="BA591" i="10" a="1"/>
  <c r="BA592" i="10" a="1"/>
  <c r="BA593" i="10" a="1"/>
  <c r="BA594" i="10" a="1"/>
  <c r="BA595" i="10" a="1"/>
  <c r="BA596" i="10" a="1"/>
  <c r="BA597" i="10" a="1"/>
  <c r="BA598" i="10" a="1"/>
  <c r="BA599" i="10" a="1"/>
  <c r="BA600" i="10" a="1"/>
  <c r="BA601" i="10" a="1"/>
  <c r="BA602" i="10" a="1"/>
  <c r="BA603" i="10" a="1"/>
  <c r="BA604" i="10" a="1"/>
  <c r="BA605" i="10" a="1"/>
  <c r="BA606" i="10" a="1"/>
  <c r="BA607" i="10" a="1"/>
  <c r="BA608" i="10" a="1"/>
  <c r="BA609" i="10" a="1"/>
  <c r="BA610" i="10" a="1"/>
  <c r="BA611" i="10" a="1"/>
  <c r="BA612" i="10" a="1"/>
  <c r="BA613" i="10" a="1"/>
  <c r="BA614" i="10" a="1"/>
  <c r="BA615" i="10" a="1"/>
  <c r="BA616" i="10" a="1"/>
  <c r="BA617" i="10" a="1"/>
  <c r="BA618" i="10" a="1"/>
  <c r="BA619" i="10" a="1"/>
  <c r="BA620" i="10" a="1"/>
  <c r="BA621" i="10" a="1"/>
  <c r="BA622" i="10" a="1"/>
  <c r="BA623" i="10" a="1"/>
  <c r="BA624" i="10" a="1"/>
  <c r="BA625" i="10" a="1"/>
  <c r="BA626" i="10" a="1"/>
  <c r="BA627" i="10" a="1"/>
  <c r="BA628" i="10" a="1"/>
  <c r="BA629" i="10" a="1"/>
  <c r="BA630" i="10" a="1"/>
  <c r="BA631" i="10" a="1"/>
  <c r="BA632" i="10" a="1"/>
  <c r="BA633" i="10" a="1"/>
  <c r="BA634" i="10" a="1"/>
  <c r="BA635" i="10" a="1"/>
  <c r="BA636" i="10" a="1"/>
  <c r="BA637" i="10" a="1"/>
  <c r="BA638" i="10" a="1"/>
  <c r="BA639" i="10" a="1"/>
  <c r="BA640" i="10" a="1"/>
  <c r="BA641" i="10" a="1"/>
  <c r="BA642" i="10" a="1"/>
  <c r="BA643" i="10" a="1"/>
  <c r="BA644" i="10" a="1"/>
  <c r="BA645" i="10" a="1"/>
  <c r="BA646" i="10" a="1"/>
  <c r="BA647" i="10" a="1"/>
  <c r="BA648" i="10" a="1"/>
  <c r="BA649" i="10" a="1"/>
  <c r="BA650" i="10" a="1"/>
  <c r="BA651" i="10" a="1"/>
  <c r="BA652" i="10" a="1"/>
  <c r="BA653" i="10" a="1"/>
  <c r="BA654" i="10" a="1"/>
  <c r="BA655" i="10" a="1"/>
  <c r="BA656" i="10" a="1"/>
  <c r="BA657" i="10" a="1"/>
  <c r="BA658" i="10" a="1"/>
  <c r="BA659" i="10" a="1"/>
  <c r="BA660" i="10" a="1"/>
  <c r="BA661" i="10" a="1"/>
  <c r="BA662" i="10" a="1"/>
  <c r="BA663" i="10" a="1"/>
  <c r="BA664" i="10" a="1"/>
  <c r="BA665" i="10" a="1"/>
  <c r="BA666" i="10" a="1"/>
  <c r="BA667" i="10" a="1"/>
  <c r="BA668" i="10" a="1"/>
  <c r="BA669" i="10" a="1"/>
  <c r="BA670" i="10" a="1"/>
  <c r="BA671" i="10" a="1"/>
  <c r="BA672" i="10" a="1"/>
  <c r="BA673" i="10" a="1"/>
  <c r="BA674" i="10" a="1"/>
  <c r="BA675" i="10" a="1"/>
  <c r="BA676" i="10" a="1"/>
  <c r="BA677" i="10" a="1"/>
  <c r="BA678" i="10" a="1"/>
  <c r="BA679" i="10" a="1"/>
  <c r="BA680" i="10" a="1"/>
  <c r="BA681" i="10" a="1"/>
  <c r="BA682" i="10" a="1"/>
  <c r="BA683" i="10" a="1"/>
  <c r="BA684" i="10" a="1"/>
  <c r="BA685" i="10" a="1"/>
  <c r="BA686" i="10" a="1"/>
  <c r="BA687" i="10" a="1"/>
  <c r="BA688" i="10" a="1"/>
  <c r="BA689" i="10" a="1"/>
  <c r="BA690" i="10" a="1"/>
  <c r="BA691" i="10" a="1"/>
  <c r="BA692" i="10" a="1"/>
  <c r="BA693" i="10" a="1"/>
  <c r="BA694" i="10" a="1"/>
  <c r="BA695" i="10" a="1"/>
  <c r="BA696" i="10" a="1"/>
  <c r="BA697" i="10" a="1"/>
  <c r="BA698" i="10" a="1"/>
  <c r="BA699" i="10" a="1"/>
  <c r="BA700" i="10" a="1"/>
  <c r="BA701" i="10" a="1"/>
  <c r="BA702" i="10" a="1"/>
  <c r="BA703" i="10" a="1"/>
  <c r="BA704" i="10" a="1"/>
  <c r="BA705" i="10" a="1"/>
  <c r="BA706" i="10" a="1"/>
  <c r="BA707" i="10" a="1"/>
  <c r="BA708" i="10" a="1"/>
  <c r="BA709" i="10" a="1"/>
  <c r="BA710" i="10" a="1"/>
  <c r="BA711" i="10" a="1"/>
  <c r="BA712" i="10" a="1"/>
  <c r="BA713" i="10" a="1"/>
  <c r="BA714" i="10" a="1"/>
  <c r="BA715" i="10" a="1"/>
  <c r="BA716" i="10" a="1"/>
  <c r="BA717" i="10" a="1"/>
  <c r="BA718" i="10" a="1"/>
  <c r="BA719" i="10" a="1"/>
  <c r="BA720" i="10" a="1"/>
  <c r="BA721" i="10" a="1"/>
  <c r="BA722" i="10" a="1"/>
  <c r="BA723" i="10" a="1"/>
  <c r="BA724" i="10" a="1"/>
  <c r="BA725" i="10" a="1"/>
  <c r="BA726" i="10" a="1"/>
  <c r="BA727" i="10" a="1"/>
  <c r="BA728" i="10" a="1"/>
  <c r="BA729" i="10" a="1"/>
  <c r="BA730" i="10" a="1"/>
  <c r="BA731" i="10" a="1"/>
  <c r="BA732" i="10" a="1"/>
  <c r="BA733" i="10" a="1"/>
  <c r="BA734" i="10" a="1"/>
  <c r="BA735" i="10" a="1"/>
  <c r="BA736" i="10" a="1"/>
  <c r="BA737" i="10" a="1"/>
  <c r="BA738" i="10" a="1"/>
  <c r="BA739" i="10" a="1"/>
  <c r="BA740" i="10" a="1"/>
  <c r="BA741" i="10" a="1"/>
  <c r="BA742" i="10" a="1"/>
  <c r="BA743" i="10" a="1"/>
  <c r="BA744" i="10" a="1"/>
  <c r="BA745" i="10" a="1"/>
  <c r="BA746" i="10" a="1"/>
  <c r="BA747" i="10" a="1"/>
  <c r="BA748" i="10" a="1"/>
  <c r="BA749" i="10" a="1"/>
  <c r="BA750" i="10" a="1"/>
  <c r="BA751" i="10" a="1"/>
  <c r="BA752" i="10" a="1"/>
  <c r="BA753" i="10" a="1"/>
  <c r="BA754" i="10" a="1"/>
  <c r="BA755" i="10" a="1"/>
  <c r="BA756" i="10" a="1"/>
  <c r="BA757" i="10" a="1"/>
  <c r="BA758" i="10" a="1"/>
  <c r="BA759" i="10" a="1"/>
  <c r="BA760" i="10" a="1"/>
  <c r="BA761" i="10" a="1"/>
  <c r="BA762" i="10" a="1"/>
  <c r="BA763" i="10" a="1"/>
  <c r="BA764" i="10" a="1"/>
  <c r="BA765" i="10" a="1"/>
  <c r="BA766" i="10" a="1"/>
  <c r="BA767" i="10" a="1"/>
  <c r="BA768" i="10" a="1"/>
  <c r="BA769" i="10" a="1"/>
  <c r="BA770" i="10" a="1"/>
  <c r="BA771" i="10" a="1"/>
  <c r="BA772" i="10" a="1"/>
  <c r="BA773" i="10" a="1"/>
  <c r="BA774" i="10" a="1"/>
  <c r="BA775" i="10" a="1"/>
  <c r="BA776" i="10" a="1"/>
  <c r="BA777" i="10" a="1"/>
  <c r="BA778" i="10" a="1"/>
  <c r="BA779" i="10" a="1"/>
  <c r="BA780" i="10" a="1"/>
  <c r="BA781" i="10" a="1"/>
  <c r="BA782" i="10" a="1"/>
  <c r="BA783" i="10" a="1"/>
  <c r="BA784" i="10" a="1"/>
  <c r="BA785" i="10" a="1"/>
  <c r="BA786" i="10" a="1"/>
  <c r="BA787" i="10" a="1"/>
  <c r="BA788" i="10" a="1"/>
  <c r="BA789" i="10" a="1"/>
  <c r="BA790" i="10" a="1"/>
  <c r="BA791" i="10" a="1"/>
  <c r="BA792" i="10" a="1"/>
  <c r="BA793" i="10" a="1"/>
  <c r="BA794" i="10" a="1"/>
  <c r="BA795" i="10" a="1"/>
  <c r="BA796" i="10" a="1"/>
  <c r="BA797" i="10" a="1"/>
  <c r="BA798" i="10" a="1"/>
  <c r="BA799" i="10" a="1"/>
  <c r="BA800" i="10" a="1"/>
  <c r="BA801" i="10" a="1"/>
  <c r="BA802" i="10" a="1"/>
  <c r="BA803" i="10" a="1"/>
  <c r="BA804" i="10" a="1"/>
  <c r="BA805" i="10" a="1"/>
  <c r="BA806" i="10" a="1"/>
  <c r="BA807" i="10" a="1"/>
  <c r="BA808" i="10" a="1"/>
  <c r="BA809" i="10" a="1"/>
  <c r="BA810" i="10" a="1"/>
  <c r="BA811" i="10" a="1"/>
  <c r="BA812" i="10" a="1"/>
  <c r="BA813" i="10" a="1"/>
  <c r="BA814" i="10" a="1"/>
  <c r="BA815" i="10" a="1"/>
  <c r="BA816" i="10" a="1"/>
  <c r="BA817" i="10" a="1"/>
  <c r="BA818" i="10" a="1"/>
  <c r="BA819" i="10" a="1"/>
  <c r="BA820" i="10" a="1"/>
  <c r="BA821" i="10" a="1"/>
  <c r="BA822" i="10" a="1"/>
  <c r="BA823" i="10" a="1"/>
  <c r="BA824" i="10" a="1"/>
  <c r="BA825" i="10" a="1"/>
  <c r="BA826" i="10" a="1"/>
  <c r="BA827" i="10" a="1"/>
  <c r="BA828" i="10" a="1"/>
  <c r="BA829" i="10" a="1"/>
  <c r="BA830" i="10" a="1"/>
  <c r="BA831" i="10" a="1"/>
  <c r="BA832" i="10" a="1"/>
  <c r="BA833" i="10" a="1"/>
  <c r="BA834" i="10" a="1"/>
  <c r="BA835" i="10" a="1"/>
  <c r="BA836" i="10" a="1"/>
  <c r="BA837" i="10" a="1"/>
  <c r="BA838" i="10" a="1"/>
  <c r="BA839" i="10" a="1"/>
  <c r="BA840" i="10" a="1"/>
  <c r="BA841" i="10" a="1"/>
  <c r="BA842" i="10" a="1"/>
  <c r="BA843" i="10" a="1"/>
  <c r="BA844" i="10" a="1"/>
  <c r="BA845" i="10" a="1"/>
  <c r="BA846" i="10" a="1"/>
  <c r="BA847" i="10" a="1"/>
  <c r="BA848" i="10" a="1"/>
  <c r="BA849" i="10" a="1"/>
  <c r="BA850" i="10" a="1"/>
  <c r="BA851" i="10" a="1"/>
  <c r="BA852" i="10" a="1"/>
  <c r="BA853" i="10" a="1"/>
  <c r="BA854" i="10" a="1"/>
  <c r="BA855" i="10" a="1"/>
  <c r="BA856" i="10" a="1"/>
  <c r="BA857" i="10" a="1"/>
  <c r="BA858" i="10" a="1"/>
  <c r="BA859" i="10" a="1"/>
  <c r="BA860" i="10" a="1"/>
  <c r="BA861" i="10" a="1"/>
  <c r="BA862" i="10" a="1"/>
  <c r="BA863" i="10" a="1"/>
  <c r="BA864" i="10" a="1"/>
  <c r="BA865" i="10" a="1"/>
  <c r="BA866" i="10" a="1"/>
  <c r="BA867" i="10" a="1"/>
  <c r="BA868" i="10" a="1"/>
  <c r="BA869" i="10" a="1"/>
  <c r="BA870" i="10" a="1"/>
  <c r="BA871" i="10" a="1"/>
  <c r="BA872" i="10" a="1"/>
  <c r="BA873" i="10" a="1"/>
  <c r="BA874" i="10" a="1"/>
  <c r="BA875" i="10" a="1"/>
  <c r="BA876" i="10" a="1"/>
  <c r="BA877" i="10" a="1"/>
  <c r="BA878" i="10" a="1"/>
  <c r="BA879" i="10" a="1"/>
  <c r="BA880" i="10" a="1"/>
  <c r="BA881" i="10" a="1"/>
  <c r="BA882" i="10" a="1"/>
  <c r="BA883" i="10" a="1"/>
  <c r="BA884" i="10" a="1"/>
  <c r="BA885" i="10" a="1"/>
  <c r="BA886" i="10" a="1"/>
  <c r="BA887" i="10" a="1"/>
  <c r="BA888" i="10" a="1"/>
  <c r="BA889" i="10" a="1"/>
  <c r="BA890" i="10" a="1"/>
  <c r="BA891" i="10" a="1"/>
  <c r="BA892" i="10" a="1"/>
  <c r="BA893" i="10" a="1"/>
  <c r="BA894" i="10" a="1"/>
  <c r="BA895" i="10" a="1"/>
  <c r="BA896" i="10" a="1"/>
  <c r="BA897" i="10" a="1"/>
  <c r="BA898" i="10" a="1"/>
  <c r="BA899" i="10" a="1"/>
  <c r="BA900" i="10" a="1"/>
  <c r="BA901" i="10" a="1"/>
  <c r="BA902" i="10" a="1"/>
  <c r="BA903" i="10" a="1"/>
  <c r="BA904" i="10" a="1"/>
  <c r="BA905" i="10" a="1"/>
  <c r="BA906" i="10" a="1"/>
  <c r="BA907" i="10" a="1"/>
  <c r="BA908" i="10" a="1"/>
  <c r="BA909" i="10" a="1"/>
  <c r="BA910" i="10" a="1"/>
  <c r="BA911" i="10" a="1"/>
  <c r="BA912" i="10" a="1"/>
  <c r="BA913" i="10" a="1"/>
  <c r="BA914" i="10" a="1"/>
  <c r="BA915" i="10" a="1"/>
  <c r="BA916" i="10" a="1"/>
  <c r="BA917" i="10" a="1"/>
  <c r="BA918" i="10" a="1"/>
  <c r="BA919" i="10" a="1"/>
  <c r="BA920" i="10" a="1"/>
  <c r="BA921" i="10" a="1"/>
  <c r="BA922" i="10" a="1"/>
  <c r="BA923" i="10" a="1"/>
  <c r="BA924" i="10" a="1"/>
  <c r="BA925" i="10" a="1"/>
  <c r="BA926" i="10" a="1"/>
  <c r="BA927" i="10" a="1"/>
  <c r="BA928" i="10" a="1"/>
  <c r="BA929" i="10" a="1"/>
  <c r="BA930" i="10" a="1"/>
  <c r="BA931" i="10" a="1"/>
  <c r="BA932" i="10" a="1"/>
  <c r="BA933" i="10" a="1"/>
  <c r="BA934" i="10" a="1"/>
  <c r="BA935" i="10" a="1"/>
  <c r="BA936" i="10" a="1"/>
  <c r="BA937" i="10" a="1"/>
  <c r="BA938" i="10" a="1"/>
  <c r="BA939" i="10" a="1"/>
  <c r="BA940" i="10" a="1"/>
  <c r="BA941" i="10" a="1"/>
  <c r="BA942" i="10" a="1"/>
  <c r="BA943" i="10" a="1"/>
  <c r="BA944" i="10" a="1"/>
  <c r="BA945" i="10" a="1"/>
  <c r="BA946" i="10" a="1"/>
  <c r="BA947" i="10" a="1"/>
  <c r="BA948" i="10" a="1"/>
  <c r="BA949" i="10" a="1"/>
  <c r="BA950" i="10" a="1"/>
  <c r="BA951" i="10" a="1"/>
  <c r="BA952" i="10" a="1"/>
  <c r="BA953" i="10" a="1"/>
  <c r="BA954" i="10" a="1"/>
  <c r="BA955" i="10" a="1"/>
  <c r="BA956" i="10" a="1"/>
  <c r="BA957" i="10" a="1"/>
  <c r="BA958" i="10" a="1"/>
  <c r="BA959" i="10" a="1"/>
  <c r="BA960" i="10" a="1"/>
  <c r="BA961" i="10" a="1"/>
  <c r="BA962" i="10" a="1"/>
  <c r="BA963" i="10" a="1"/>
  <c r="BA964" i="10" a="1"/>
  <c r="BA965" i="10" a="1"/>
  <c r="BA966" i="10" a="1"/>
  <c r="BA967" i="10" a="1"/>
  <c r="BA968" i="10" a="1"/>
  <c r="BA969" i="10" a="1"/>
  <c r="BA970" i="10" a="1"/>
  <c r="BA971" i="10" a="1"/>
  <c r="BA972" i="10" a="1"/>
  <c r="BA973" i="10" a="1"/>
  <c r="BA974" i="10" a="1"/>
  <c r="BA975" i="10" a="1"/>
  <c r="BA976" i="10" a="1"/>
  <c r="BA977" i="10" a="1"/>
  <c r="BA978" i="10" a="1"/>
  <c r="BA979" i="10" a="1"/>
  <c r="BA980" i="10" a="1"/>
  <c r="BA981" i="10" a="1"/>
  <c r="BA982" i="10" a="1"/>
  <c r="BA983" i="10" a="1"/>
  <c r="BA984" i="10" a="1"/>
  <c r="BA985" i="10" a="1"/>
  <c r="BA986" i="10" a="1"/>
  <c r="BA987" i="10" a="1"/>
  <c r="BA988" i="10" a="1"/>
  <c r="BA989" i="10" a="1"/>
  <c r="BA990" i="10" a="1"/>
  <c r="BA991" i="10" a="1"/>
  <c r="BA992" i="10" a="1"/>
  <c r="BA993" i="10" a="1"/>
  <c r="BA994" i="10" a="1"/>
  <c r="BA995" i="10" a="1"/>
  <c r="BA996" i="10" a="1"/>
  <c r="BA997" i="10" a="1"/>
  <c r="BA998" i="10" a="1"/>
  <c r="BA999" i="10" a="1"/>
  <c r="BA1000" i="10" a="1"/>
  <c r="BA1001" i="10" a="1"/>
  <c r="BA1002" i="10" a="1"/>
  <c r="BA1003" i="10" a="1"/>
  <c r="BA1004" i="10" a="1"/>
  <c r="BA1005" i="10" a="1"/>
  <c r="BA1006" i="10" a="1"/>
  <c r="BA1007" i="10" a="1"/>
  <c r="BA1008" i="10" a="1"/>
  <c r="BA1009" i="10" a="1"/>
  <c r="BA1010" i="10" a="1"/>
  <c r="BA1011" i="10" a="1"/>
  <c r="BA1012" i="10" a="1"/>
  <c r="BA1013" i="10" a="1"/>
  <c r="BA1014" i="10" a="1"/>
  <c r="BA1015" i="10" a="1"/>
  <c r="BA1016" i="10" a="1"/>
  <c r="BA1017" i="10" a="1"/>
  <c r="BA1018" i="10" a="1"/>
  <c r="BA1019" i="10" a="1"/>
  <c r="BA1020" i="10" a="1"/>
  <c r="BA1021" i="10" a="1"/>
  <c r="BA1022" i="10" a="1"/>
  <c r="BA1023" i="10" a="1"/>
  <c r="BA1024" i="10" a="1"/>
  <c r="BA1025" i="10" a="1"/>
  <c r="BA1026" i="10" a="1"/>
  <c r="BA1027" i="10" a="1"/>
  <c r="BA1028" i="10" a="1"/>
  <c r="BA1029" i="10" a="1"/>
  <c r="BA1030" i="10" a="1"/>
  <c r="BA1031" i="10" a="1"/>
  <c r="BA1032" i="10" a="1"/>
  <c r="BA1033" i="10" a="1"/>
  <c r="BA1034" i="10" a="1"/>
  <c r="BA1035" i="10" a="1"/>
  <c r="BA1036" i="10" a="1"/>
  <c r="BA1037" i="10" a="1"/>
  <c r="BA1038" i="10" a="1"/>
  <c r="BA1039" i="10" a="1"/>
  <c r="BA1040" i="10" a="1"/>
  <c r="BA1041" i="10" a="1"/>
  <c r="BA1042" i="10" a="1"/>
  <c r="BA1043" i="10" a="1"/>
  <c r="BA1044" i="10" a="1"/>
  <c r="BA1045" i="10" a="1"/>
  <c r="BA1046" i="10" a="1"/>
  <c r="BA1047" i="10" a="1"/>
  <c r="BA1048" i="10" a="1"/>
  <c r="BA1049" i="10" a="1"/>
  <c r="BA1050" i="10" a="1"/>
  <c r="BA1051" i="10" a="1"/>
  <c r="BA1052" i="10" a="1"/>
  <c r="BA1053" i="10" a="1"/>
  <c r="BA1054" i="10" a="1"/>
  <c r="BA1055" i="10" a="1"/>
  <c r="BA1056" i="10" a="1"/>
  <c r="BA1057" i="10" a="1"/>
  <c r="BA1058" i="10" a="1"/>
  <c r="BA1059" i="10" a="1"/>
  <c r="BA1060" i="10" a="1"/>
  <c r="BA1061" i="10" a="1"/>
  <c r="BA1062" i="10" a="1"/>
  <c r="BA1063" i="10" a="1"/>
  <c r="BA1064" i="10" a="1"/>
  <c r="BA1065" i="10" a="1"/>
  <c r="BA1066" i="10" a="1"/>
  <c r="BA1067" i="10" a="1"/>
  <c r="BA1068" i="10" a="1"/>
  <c r="BA1069" i="10" a="1"/>
  <c r="BA1070" i="10" a="1"/>
  <c r="BA1071" i="10" a="1"/>
  <c r="BA1072" i="10" a="1"/>
  <c r="BA1073" i="10" a="1"/>
  <c r="BA1074" i="10" a="1"/>
  <c r="BA1075" i="10" a="1"/>
  <c r="BA1076" i="10" a="1"/>
  <c r="BA1077" i="10" a="1"/>
  <c r="BA1078" i="10" a="1"/>
  <c r="BA1079" i="10" a="1"/>
  <c r="BA1080" i="10" a="1"/>
  <c r="BA1081" i="10" a="1"/>
  <c r="BA1082" i="10" a="1"/>
  <c r="BA1083" i="10" a="1"/>
  <c r="BA1084" i="10" a="1"/>
  <c r="BA1085" i="10" a="1"/>
  <c r="BA1086" i="10" a="1"/>
  <c r="BA1087" i="10" a="1"/>
  <c r="BA1088" i="10" a="1"/>
  <c r="BA1089" i="10" a="1"/>
  <c r="BA1090" i="10" a="1"/>
  <c r="BA1091" i="10" a="1"/>
  <c r="BA1092" i="10" a="1"/>
  <c r="BA1093" i="10" a="1"/>
  <c r="BA1094" i="10" a="1"/>
  <c r="BA1095" i="10" a="1"/>
  <c r="BA1096" i="10" a="1"/>
  <c r="BA1097" i="10" a="1"/>
  <c r="BA1098" i="10" a="1"/>
  <c r="BA1099" i="10" a="1"/>
  <c r="BA1100" i="10" a="1"/>
  <c r="BA1101" i="10" a="1"/>
  <c r="BA1102" i="10" a="1"/>
  <c r="BA1103" i="10" a="1"/>
  <c r="BA1104" i="10" a="1"/>
  <c r="BA1105" i="10" a="1"/>
  <c r="BA1106" i="10" a="1"/>
  <c r="BA1107" i="10" a="1"/>
  <c r="BA1108" i="10" a="1"/>
  <c r="BA1109" i="10" a="1"/>
  <c r="BA1110" i="10" a="1"/>
  <c r="BA1111" i="10" a="1"/>
  <c r="BA1112" i="10" a="1"/>
  <c r="BA1113" i="10" a="1"/>
  <c r="BA1114" i="10" a="1"/>
  <c r="BA1115" i="10" a="1"/>
  <c r="BA1116" i="10" a="1"/>
  <c r="BA1117" i="10" a="1"/>
  <c r="BA1118" i="10" a="1"/>
  <c r="BA1119" i="10" a="1"/>
  <c r="BA1120" i="10" a="1"/>
  <c r="BA1121" i="10" a="1"/>
  <c r="BA1122" i="10" a="1"/>
  <c r="BA1123" i="10" a="1"/>
  <c r="BA1124" i="10" a="1"/>
  <c r="BA1125" i="10" a="1"/>
  <c r="BA1126" i="10" a="1"/>
  <c r="BA1127" i="10" a="1"/>
  <c r="BA1128" i="10" a="1"/>
  <c r="BA1129" i="10" a="1"/>
  <c r="BA1130" i="10" a="1"/>
  <c r="BA1131" i="10" a="1"/>
  <c r="BA1132" i="10" a="1"/>
  <c r="BA1133" i="10" a="1"/>
  <c r="BA1134" i="10" a="1"/>
  <c r="BA1135" i="10" a="1"/>
  <c r="BA1136" i="10" a="1"/>
  <c r="BA1137" i="10" a="1"/>
  <c r="BA1138" i="10" a="1"/>
  <c r="BA1139" i="10" a="1"/>
  <c r="BA1140" i="10" a="1"/>
  <c r="BA1141" i="10" a="1"/>
  <c r="BA1142" i="10" a="1"/>
  <c r="BA1143" i="10" a="1"/>
  <c r="BA1144" i="10" a="1"/>
  <c r="BA1145" i="10" a="1"/>
  <c r="BA1146" i="10" a="1"/>
  <c r="BA1147" i="10" a="1"/>
  <c r="BA1148" i="10" a="1"/>
  <c r="BA1149" i="10" a="1"/>
  <c r="BA1150" i="10" a="1"/>
  <c r="BA1151" i="10" a="1"/>
  <c r="BA1152" i="10" a="1"/>
  <c r="BA1153" i="10" a="1"/>
  <c r="BA1154" i="10" a="1"/>
  <c r="BA1155" i="10" a="1"/>
  <c r="BA1156" i="10" a="1"/>
  <c r="BA1157" i="10" a="1"/>
  <c r="BA1158" i="10" a="1"/>
  <c r="BA1159" i="10" a="1"/>
  <c r="BA1160" i="10" a="1"/>
  <c r="BA1161" i="10" a="1"/>
  <c r="BA1162" i="10" a="1"/>
  <c r="BA1163" i="10" a="1"/>
  <c r="BA1164" i="10" a="1"/>
  <c r="BA1165" i="10" a="1"/>
  <c r="BA1166" i="10" a="1"/>
  <c r="BA1167" i="10" a="1"/>
  <c r="BA1168" i="10" a="1"/>
  <c r="BA1169" i="10" a="1"/>
  <c r="BA1170" i="10" a="1"/>
  <c r="BA1171" i="10" a="1"/>
  <c r="BA1172" i="10" a="1"/>
  <c r="BA1173" i="10" a="1"/>
  <c r="BA1174" i="10" a="1"/>
  <c r="BA1175" i="10" a="1"/>
  <c r="BA1176" i="10" a="1"/>
  <c r="BA1177" i="10" a="1"/>
  <c r="BA1178" i="10" a="1"/>
  <c r="BA1179" i="10" a="1"/>
  <c r="BA1180" i="10" a="1"/>
  <c r="BA1181" i="10" a="1"/>
  <c r="BA1182" i="10" a="1"/>
  <c r="BA1183" i="10" a="1"/>
  <c r="BA1184" i="10" a="1"/>
  <c r="BA1185" i="10" a="1"/>
  <c r="BA1186" i="10" a="1"/>
  <c r="BA1187" i="10" a="1"/>
  <c r="BA1188" i="10" a="1"/>
  <c r="BA1189" i="10" a="1"/>
  <c r="BA1190" i="10" a="1"/>
  <c r="BA1191" i="10" a="1"/>
  <c r="BA1192" i="10" a="1"/>
  <c r="BA1193" i="10" a="1"/>
  <c r="BA1194" i="10" a="1"/>
  <c r="BA1195" i="10" a="1"/>
  <c r="BA1196" i="10" a="1"/>
  <c r="BA1197" i="10" a="1"/>
  <c r="BA1198" i="10" a="1"/>
  <c r="BA1199" i="10" a="1"/>
  <c r="BA1200" i="10" a="1"/>
  <c r="BA1201" i="10" a="1"/>
  <c r="BA1202" i="10" a="1"/>
  <c r="BA1203" i="10" a="1"/>
  <c r="BA1204" i="10" a="1"/>
  <c r="BA1205" i="10" a="1"/>
  <c r="BA1206" i="10" a="1"/>
  <c r="BA1207" i="10" a="1"/>
  <c r="BA1208" i="10" a="1"/>
  <c r="BA1209" i="10" a="1"/>
  <c r="BA1210" i="10" a="1"/>
  <c r="BA1211" i="10" a="1"/>
  <c r="BA1212" i="10" a="1"/>
  <c r="BA1213" i="10" a="1"/>
  <c r="BA1214" i="10" a="1"/>
  <c r="BA1215" i="10" a="1"/>
  <c r="BA1216" i="10" a="1"/>
  <c r="BA1217" i="10" a="1"/>
  <c r="BA1218" i="10" a="1"/>
  <c r="BA1219" i="10" a="1"/>
  <c r="BA1220" i="10" a="1"/>
  <c r="BA1221" i="10" a="1"/>
  <c r="BA1222" i="10" a="1"/>
  <c r="BA1223" i="10" a="1"/>
  <c r="BA1224" i="10" a="1"/>
  <c r="BA1225" i="10" a="1"/>
  <c r="BA1226" i="10" a="1"/>
  <c r="BA1227" i="10" a="1"/>
  <c r="BA1228" i="10" a="1"/>
  <c r="BA1229" i="10" a="1"/>
  <c r="BA1230" i="10" a="1"/>
  <c r="BA1231" i="10" a="1"/>
  <c r="BA1232" i="10" a="1"/>
  <c r="BA1233" i="10" a="1"/>
  <c r="BA1234" i="10" a="1"/>
  <c r="AR7" i="9"/>
  <c r="AP7" i="9"/>
  <c r="I19" i="3"/>
  <c r="K19" i="3" s="1"/>
  <c r="H19" i="3"/>
  <c r="O19" i="3"/>
  <c r="P19" i="3"/>
  <c r="Q19" i="3"/>
  <c r="R19" i="3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P53" i="1"/>
  <c r="Q53" i="1"/>
  <c r="R53" i="1"/>
  <c r="N54" i="1"/>
  <c r="P54" i="1"/>
  <c r="Q54" i="1"/>
  <c r="R54" i="1"/>
  <c r="I6" i="10"/>
  <c r="J6" i="10" s="1"/>
  <c r="L6" i="10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H20" i="3"/>
  <c r="K20" i="3"/>
  <c r="O20" i="3"/>
  <c r="P20" i="3"/>
  <c r="Q20" i="3"/>
  <c r="K47" i="4"/>
  <c r="L47" i="4" s="1"/>
  <c r="M47" i="4" s="1"/>
  <c r="N47" i="4"/>
  <c r="O47" i="4"/>
  <c r="P47" i="4"/>
  <c r="K48" i="4"/>
  <c r="L48" i="4" s="1"/>
  <c r="M48" i="4" s="1"/>
  <c r="N48" i="4"/>
  <c r="O48" i="4"/>
  <c r="P48" i="4"/>
  <c r="K49" i="4"/>
  <c r="L49" i="4" s="1"/>
  <c r="M49" i="4" s="1"/>
  <c r="N49" i="4"/>
  <c r="O49" i="4"/>
  <c r="P49" i="4"/>
  <c r="K50" i="4"/>
  <c r="L50" i="4" s="1"/>
  <c r="M50" i="4" s="1"/>
  <c r="N50" i="4"/>
  <c r="O50" i="4"/>
  <c r="P50" i="4"/>
  <c r="S4" i="3" l="1" a="1"/>
  <c r="S39" i="3" a="1"/>
  <c r="S47" i="3" a="1"/>
  <c r="S46" i="3" a="1"/>
  <c r="S9" i="3" a="1"/>
  <c r="S7" i="3" a="1"/>
  <c r="S5" i="3" a="1"/>
  <c r="S6" i="3" a="1"/>
  <c r="S8" i="3" a="1"/>
  <c r="S44" i="3" a="1"/>
  <c r="S40" i="3" a="1"/>
  <c r="S41" i="3" a="1"/>
  <c r="S45" i="3" a="1"/>
  <c r="S42" i="3" a="1"/>
  <c r="S25" i="3" a="1"/>
  <c r="S30" i="3" a="1"/>
  <c r="S38" i="3" a="1"/>
  <c r="S21" i="3" a="1"/>
  <c r="S33" i="3" a="1"/>
  <c r="S23" i="3" a="1"/>
  <c r="S28" i="3" a="1"/>
  <c r="S37" i="3" a="1"/>
  <c r="S32" i="3" a="1"/>
  <c r="S20" i="3" a="1"/>
  <c r="S26" i="3" a="1"/>
  <c r="S35" i="3" a="1"/>
  <c r="S19" i="3" a="1"/>
  <c r="S27" i="3" a="1"/>
  <c r="S34" i="3" a="1"/>
  <c r="S22" i="3" a="1"/>
  <c r="S29" i="3" a="1"/>
  <c r="S36" i="3" a="1"/>
  <c r="S24" i="3" a="1"/>
  <c r="S31" i="3" a="1"/>
  <c r="S17" i="3" a="1"/>
  <c r="S14" i="3" a="1"/>
  <c r="S10" i="3" a="1"/>
  <c r="S15" i="3" a="1"/>
  <c r="S16" i="3" a="1"/>
  <c r="S18" i="3" a="1"/>
  <c r="S11" i="3" a="1"/>
  <c r="S13" i="3" a="1"/>
  <c r="S12" i="3" a="1"/>
  <c r="K51" i="4"/>
  <c r="L51" i="4" s="1"/>
  <c r="M51" i="4" s="1"/>
  <c r="N51" i="4"/>
  <c r="O51" i="4"/>
  <c r="P51" i="4"/>
  <c r="J56" i="4"/>
  <c r="E1" i="13" s="1" a="1"/>
  <c r="K52" i="4"/>
  <c r="L52" i="4" s="1"/>
  <c r="M52" i="4" s="1"/>
  <c r="N52" i="4"/>
  <c r="O52" i="4"/>
  <c r="P52" i="4"/>
  <c r="L53" i="4"/>
  <c r="M53" i="4" s="1"/>
  <c r="N53" i="4"/>
  <c r="O53" i="4"/>
  <c r="P53" i="4"/>
  <c r="K54" i="4"/>
  <c r="L54" i="4" s="1"/>
  <c r="M54" i="4" s="1"/>
  <c r="N54" i="4"/>
  <c r="O54" i="4"/>
  <c r="P54" i="4"/>
  <c r="K55" i="4"/>
  <c r="L55" i="4" s="1"/>
  <c r="M55" i="4" s="1"/>
  <c r="N55" i="4"/>
  <c r="O55" i="4"/>
  <c r="P55" i="4"/>
  <c r="K56" i="4"/>
  <c r="N56" i="4"/>
  <c r="O56" i="4"/>
  <c r="P56" i="4"/>
  <c r="K57" i="4"/>
  <c r="L57" i="4" s="1"/>
  <c r="M57" i="4" s="1"/>
  <c r="N57" i="4"/>
  <c r="O57" i="4"/>
  <c r="P57" i="4"/>
  <c r="K58" i="4"/>
  <c r="L58" i="4" s="1"/>
  <c r="M58" i="4" s="1"/>
  <c r="N58" i="4"/>
  <c r="O58" i="4"/>
  <c r="P58" i="4"/>
  <c r="K59" i="4"/>
  <c r="L59" i="4" s="1"/>
  <c r="M59" i="4" s="1"/>
  <c r="N59" i="4"/>
  <c r="O59" i="4"/>
  <c r="P59" i="4"/>
  <c r="P55" i="1"/>
  <c r="Q55" i="1"/>
  <c r="R55" i="1"/>
  <c r="N56" i="1"/>
  <c r="P56" i="1"/>
  <c r="Q56" i="1"/>
  <c r="R56" i="1"/>
  <c r="I12" i="10"/>
  <c r="J12" i="10" s="1"/>
  <c r="L12" i="10"/>
  <c r="K60" i="4"/>
  <c r="L60" i="4" s="1"/>
  <c r="M60" i="4" s="1"/>
  <c r="N60" i="4"/>
  <c r="O60" i="4"/>
  <c r="P60" i="4"/>
  <c r="L61" i="4"/>
  <c r="M61" i="4" s="1"/>
  <c r="N61" i="4"/>
  <c r="O61" i="4"/>
  <c r="P61" i="4"/>
  <c r="N57" i="1"/>
  <c r="P57" i="1"/>
  <c r="Q57" i="1"/>
  <c r="R57" i="1"/>
  <c r="H21" i="3"/>
  <c r="K21" i="3"/>
  <c r="O21" i="3"/>
  <c r="P21" i="3"/>
  <c r="Q21" i="3"/>
  <c r="P58" i="1"/>
  <c r="Q58" i="1"/>
  <c r="R58" i="1"/>
  <c r="N59" i="1"/>
  <c r="P59" i="1"/>
  <c r="Q59" i="1"/>
  <c r="R59" i="1"/>
  <c r="N60" i="1"/>
  <c r="P60" i="1"/>
  <c r="Q60" i="1"/>
  <c r="R60" i="1"/>
  <c r="K62" i="4"/>
  <c r="L62" i="4" s="1"/>
  <c r="M62" i="4" s="1"/>
  <c r="N62" i="4"/>
  <c r="O62" i="4"/>
  <c r="P62" i="4"/>
  <c r="AB5" i="10" a="1"/>
  <c r="H22" i="3"/>
  <c r="K22" i="3"/>
  <c r="O22" i="3"/>
  <c r="P22" i="3"/>
  <c r="Q22" i="3"/>
  <c r="L3" i="11"/>
  <c r="M3" i="11"/>
  <c r="N3" i="11"/>
  <c r="H23" i="3"/>
  <c r="K23" i="3"/>
  <c r="O23" i="3"/>
  <c r="P23" i="3"/>
  <c r="Q23" i="3"/>
  <c r="I8" i="10"/>
  <c r="J8" i="10" s="1"/>
  <c r="L8" i="10"/>
  <c r="I9" i="10"/>
  <c r="J9" i="10" s="1"/>
  <c r="L9" i="10"/>
  <c r="I10" i="10"/>
  <c r="J10" i="10" s="1"/>
  <c r="L10" i="10"/>
  <c r="I7" i="10"/>
  <c r="J7" i="10" s="1"/>
  <c r="L7" i="10"/>
  <c r="N61" i="1"/>
  <c r="P61" i="1"/>
  <c r="Q61" i="1"/>
  <c r="R61" i="1"/>
  <c r="N62" i="1"/>
  <c r="P62" i="1"/>
  <c r="Q62" i="1"/>
  <c r="R62" i="1"/>
  <c r="N63" i="1"/>
  <c r="P63" i="1"/>
  <c r="Q63" i="1"/>
  <c r="R63" i="1"/>
  <c r="N64" i="1"/>
  <c r="P64" i="1"/>
  <c r="Q64" i="1"/>
  <c r="R64" i="1"/>
  <c r="L63" i="4"/>
  <c r="M63" i="4" s="1"/>
  <c r="N63" i="4"/>
  <c r="O63" i="4"/>
  <c r="P63" i="4"/>
  <c r="L64" i="4"/>
  <c r="M64" i="4" s="1"/>
  <c r="N64" i="4"/>
  <c r="O64" i="4"/>
  <c r="P64" i="4"/>
  <c r="K65" i="4"/>
  <c r="L65" i="4" s="1"/>
  <c r="M65" i="4" s="1"/>
  <c r="N65" i="4"/>
  <c r="O65" i="4"/>
  <c r="P65" i="4"/>
  <c r="N65" i="1"/>
  <c r="P65" i="1"/>
  <c r="Q65" i="1"/>
  <c r="R65" i="1"/>
  <c r="H24" i="3"/>
  <c r="K24" i="3"/>
  <c r="O24" i="3"/>
  <c r="P24" i="3"/>
  <c r="Q24" i="3"/>
  <c r="P1235" i="10" a="1"/>
  <c r="P1236" i="10" a="1"/>
  <c r="B1" i="8"/>
  <c r="H25" i="3"/>
  <c r="K25" i="3"/>
  <c r="O25" i="3"/>
  <c r="P25" i="3"/>
  <c r="Q25" i="3"/>
  <c r="L66" i="4"/>
  <c r="M66" i="4" s="1"/>
  <c r="N66" i="4"/>
  <c r="O66" i="4"/>
  <c r="P66" i="4"/>
  <c r="L67" i="4"/>
  <c r="M67" i="4" s="1"/>
  <c r="N67" i="4"/>
  <c r="O67" i="4"/>
  <c r="P67" i="4"/>
  <c r="L68" i="4"/>
  <c r="M68" i="4" s="1"/>
  <c r="N68" i="4"/>
  <c r="O68" i="4"/>
  <c r="P68" i="4"/>
  <c r="N66" i="1"/>
  <c r="P66" i="1"/>
  <c r="Q66" i="1"/>
  <c r="R66" i="1"/>
  <c r="N67" i="1"/>
  <c r="P67" i="1"/>
  <c r="Q67" i="1"/>
  <c r="R67" i="1"/>
  <c r="L69" i="4"/>
  <c r="M69" i="4" s="1"/>
  <c r="N69" i="4"/>
  <c r="O69" i="4"/>
  <c r="P69" i="4"/>
  <c r="L70" i="4"/>
  <c r="M70" i="4" s="1"/>
  <c r="N70" i="4"/>
  <c r="O70" i="4"/>
  <c r="P70" i="4"/>
  <c r="L71" i="4"/>
  <c r="M71" i="4" s="1"/>
  <c r="N71" i="4"/>
  <c r="O71" i="4"/>
  <c r="P71" i="4"/>
  <c r="L72" i="4"/>
  <c r="M72" i="4" s="1"/>
  <c r="N72" i="4"/>
  <c r="O72" i="4"/>
  <c r="P72" i="4"/>
  <c r="H137" i="13" a="1"/>
  <c r="H138" i="13" a="1"/>
  <c r="H139" i="13" a="1"/>
  <c r="H140" i="13" a="1"/>
  <c r="H141" i="13" a="1"/>
  <c r="H142" i="13" a="1"/>
  <c r="H143" i="13" a="1"/>
  <c r="H144" i="13" a="1"/>
  <c r="H145" i="13" a="1"/>
  <c r="H146" i="13" a="1"/>
  <c r="H147" i="13" a="1"/>
  <c r="H148" i="13" a="1"/>
  <c r="H149" i="13" a="1"/>
  <c r="H150" i="13" a="1"/>
  <c r="H151" i="13" a="1"/>
  <c r="H152" i="13" a="1"/>
  <c r="H153" i="13" a="1"/>
  <c r="H154" i="13" a="1"/>
  <c r="H155" i="13" a="1"/>
  <c r="H156" i="13" a="1"/>
  <c r="H157" i="13" a="1"/>
  <c r="H158" i="13" a="1"/>
  <c r="H159" i="13" a="1"/>
  <c r="H160" i="13" a="1"/>
  <c r="H161" i="13" a="1"/>
  <c r="H162" i="13" a="1"/>
  <c r="H163" i="13" a="1"/>
  <c r="H164" i="13" a="1"/>
  <c r="H165" i="13" a="1"/>
  <c r="H166" i="13" a="1"/>
  <c r="H167" i="13" a="1"/>
  <c r="H168" i="13" a="1"/>
  <c r="H169" i="13" a="1"/>
  <c r="H170" i="13" a="1"/>
  <c r="H171" i="13" a="1"/>
  <c r="H172" i="13" a="1"/>
  <c r="H173" i="13" a="1"/>
  <c r="H174" i="13" a="1"/>
  <c r="H175" i="13" a="1"/>
  <c r="H176" i="13" a="1"/>
  <c r="H177" i="13" a="1"/>
  <c r="H178" i="13" a="1"/>
  <c r="H179" i="13" a="1"/>
  <c r="H180" i="13" a="1"/>
  <c r="H181" i="13" a="1"/>
  <c r="H182" i="13" a="1"/>
  <c r="H183" i="13" a="1"/>
  <c r="H184" i="13" a="1"/>
  <c r="H185" i="13" a="1"/>
  <c r="H186" i="13" a="1"/>
  <c r="H187" i="13" a="1"/>
  <c r="H188" i="13" a="1"/>
  <c r="H189" i="13" a="1"/>
  <c r="H190" i="13" a="1"/>
  <c r="H191" i="13" a="1"/>
  <c r="H192" i="13" a="1"/>
  <c r="H193" i="13" a="1"/>
  <c r="H194" i="13" a="1"/>
  <c r="H195" i="13" a="1"/>
  <c r="H196" i="13" a="1"/>
  <c r="H197" i="13" a="1"/>
  <c r="H198" i="13" a="1"/>
  <c r="H199" i="13" a="1"/>
  <c r="H200" i="13" a="1"/>
  <c r="H201" i="13" a="1"/>
  <c r="H202" i="13" a="1"/>
  <c r="H203" i="13" a="1"/>
  <c r="H204" i="13" a="1"/>
  <c r="H205" i="13" a="1"/>
  <c r="H206" i="13" a="1"/>
  <c r="H207" i="13" a="1"/>
  <c r="H208" i="13" a="1"/>
  <c r="H209" i="13" a="1"/>
  <c r="H210" i="13" a="1"/>
  <c r="H211" i="13" a="1"/>
  <c r="H212" i="13" a="1"/>
  <c r="H213" i="13" a="1"/>
  <c r="H214" i="13" a="1"/>
  <c r="H215" i="13" a="1"/>
  <c r="H216" i="13" a="1"/>
  <c r="H217" i="13" a="1"/>
  <c r="H218" i="13" a="1"/>
  <c r="H219" i="13" a="1"/>
  <c r="H220" i="13" a="1"/>
  <c r="H221" i="13" a="1"/>
  <c r="H222" i="13" a="1"/>
  <c r="H223" i="13" a="1"/>
  <c r="H224" i="13" a="1"/>
  <c r="H225" i="13" a="1"/>
  <c r="H226" i="13" a="1"/>
  <c r="H227" i="13" a="1"/>
  <c r="H228" i="13" a="1"/>
  <c r="H229" i="13" a="1"/>
  <c r="H230" i="13" a="1"/>
  <c r="H231" i="13" a="1"/>
  <c r="H232" i="13" a="1"/>
  <c r="H233" i="13" a="1"/>
  <c r="H234" i="13" a="1"/>
  <c r="H235" i="13" a="1"/>
  <c r="H236" i="13" a="1"/>
  <c r="H237" i="13" a="1"/>
  <c r="H238" i="13" a="1"/>
  <c r="H239" i="13" a="1"/>
  <c r="H240" i="13" a="1"/>
  <c r="H241" i="13" a="1"/>
  <c r="H242" i="13" a="1"/>
  <c r="H243" i="13" a="1"/>
  <c r="H244" i="13" a="1"/>
  <c r="H245" i="13" a="1"/>
  <c r="H246" i="13" a="1"/>
  <c r="H247" i="13" a="1"/>
  <c r="H248" i="13" a="1"/>
  <c r="H249" i="13" a="1"/>
  <c r="H250" i="13" a="1"/>
  <c r="H251" i="13" a="1"/>
  <c r="H252" i="13" a="1"/>
  <c r="H253" i="13" a="1"/>
  <c r="H254" i="13" a="1"/>
  <c r="H255" i="13" a="1"/>
  <c r="H256" i="13" a="1"/>
  <c r="H257" i="13" a="1"/>
  <c r="H258" i="13" a="1"/>
  <c r="H259" i="13" a="1"/>
  <c r="H260" i="13" a="1"/>
  <c r="H261" i="13" a="1"/>
  <c r="H262" i="13" a="1"/>
  <c r="H263" i="13" a="1"/>
  <c r="H264" i="13" a="1"/>
  <c r="H265" i="13" a="1"/>
  <c r="H266" i="13" a="1"/>
  <c r="H267" i="13" a="1"/>
  <c r="H268" i="13" a="1"/>
  <c r="H269" i="13" a="1"/>
  <c r="H270" i="13" a="1"/>
  <c r="H271" i="13" a="1"/>
  <c r="H272" i="13" a="1"/>
  <c r="H273" i="13" a="1"/>
  <c r="H274" i="13" a="1"/>
  <c r="H275" i="13" a="1"/>
  <c r="H276" i="13" a="1"/>
  <c r="H277" i="13" a="1"/>
  <c r="H278" i="13" a="1"/>
  <c r="H279" i="13" a="1"/>
  <c r="H280" i="13" a="1"/>
  <c r="H281" i="13" a="1"/>
  <c r="H282" i="13" a="1"/>
  <c r="H283" i="13" a="1"/>
  <c r="H284" i="13" a="1"/>
  <c r="H285" i="13" a="1"/>
  <c r="H286" i="13" a="1"/>
  <c r="H287" i="13" a="1"/>
  <c r="H288" i="13" a="1"/>
  <c r="H289" i="13" a="1"/>
  <c r="H290" i="13" a="1"/>
  <c r="H291" i="13" a="1"/>
  <c r="H292" i="13" a="1"/>
  <c r="H293" i="13" a="1"/>
  <c r="H294" i="13" a="1"/>
  <c r="H295" i="13" a="1"/>
  <c r="H296" i="13" a="1"/>
  <c r="H297" i="13" a="1"/>
  <c r="H298" i="13" a="1"/>
  <c r="H299" i="13" a="1"/>
  <c r="H300" i="13" a="1"/>
  <c r="H301" i="13" a="1"/>
  <c r="H302" i="13" a="1"/>
  <c r="H303" i="13" a="1"/>
  <c r="H304" i="13" a="1"/>
  <c r="H305" i="13" a="1"/>
  <c r="H306" i="13" a="1"/>
  <c r="H307" i="13" a="1"/>
  <c r="H308" i="13" a="1"/>
  <c r="H309" i="13" a="1"/>
  <c r="H310" i="13" a="1"/>
  <c r="H311" i="13" a="1"/>
  <c r="H312" i="13" a="1"/>
  <c r="H313" i="13" a="1"/>
  <c r="H314" i="13" a="1"/>
  <c r="H315" i="13" a="1"/>
  <c r="H316" i="13" a="1"/>
  <c r="H317" i="13" a="1"/>
  <c r="H318" i="13" a="1"/>
  <c r="H319" i="13" a="1"/>
  <c r="H320" i="13" a="1"/>
  <c r="H321" i="13" a="1"/>
  <c r="H322" i="13" a="1"/>
  <c r="H323" i="13" a="1"/>
  <c r="H324" i="13" a="1"/>
  <c r="H325" i="13" a="1"/>
  <c r="H326" i="13" a="1"/>
  <c r="H327" i="13" a="1"/>
  <c r="H328" i="13" a="1"/>
  <c r="H329" i="13" a="1"/>
  <c r="H330" i="13" a="1"/>
  <c r="H331" i="13" a="1"/>
  <c r="H332" i="13" a="1"/>
  <c r="H333" i="13" a="1"/>
  <c r="H334" i="13" a="1"/>
  <c r="H335" i="13" a="1"/>
  <c r="H336" i="13" a="1"/>
  <c r="H337" i="13" a="1"/>
  <c r="H338" i="13" a="1"/>
  <c r="H339" i="13" a="1"/>
  <c r="H340" i="13" a="1"/>
  <c r="H341" i="13" a="1"/>
  <c r="H342" i="13" a="1"/>
  <c r="H343" i="13" a="1"/>
  <c r="H344" i="13" a="1"/>
  <c r="H345" i="13" a="1"/>
  <c r="H346" i="13" a="1"/>
  <c r="H347" i="13" a="1"/>
  <c r="H348" i="13" a="1"/>
  <c r="H349" i="13" a="1"/>
  <c r="H350" i="13" a="1"/>
  <c r="H351" i="13" a="1"/>
  <c r="H352" i="13" a="1"/>
  <c r="H353" i="13" a="1"/>
  <c r="H354" i="13" a="1"/>
  <c r="H355" i="13" a="1"/>
  <c r="H356" i="13" a="1"/>
  <c r="H357" i="13" a="1"/>
  <c r="H358" i="13" a="1"/>
  <c r="H359" i="13" a="1"/>
  <c r="H360" i="13" a="1"/>
  <c r="H361" i="13" a="1"/>
  <c r="H362" i="13" a="1"/>
  <c r="H363" i="13" a="1"/>
  <c r="H364" i="13" a="1"/>
  <c r="H365" i="13" a="1"/>
  <c r="H366" i="13" a="1"/>
  <c r="H367" i="13" a="1"/>
  <c r="H368" i="13" a="1"/>
  <c r="H369" i="13" a="1"/>
  <c r="H370" i="13" a="1"/>
  <c r="H371" i="13" a="1"/>
  <c r="H372" i="13" a="1"/>
  <c r="H373" i="13" a="1"/>
  <c r="H374" i="13" a="1"/>
  <c r="H375" i="13" a="1"/>
  <c r="H376" i="13" a="1"/>
  <c r="H377" i="13" a="1"/>
  <c r="H378" i="13" a="1"/>
  <c r="H379" i="13" a="1"/>
  <c r="H380" i="13" a="1"/>
  <c r="H381" i="13" a="1"/>
  <c r="H382" i="13" a="1"/>
  <c r="H383" i="13" a="1"/>
  <c r="H384" i="13" a="1"/>
  <c r="H385" i="13" a="1"/>
  <c r="H386" i="13" a="1"/>
  <c r="H387" i="13" a="1"/>
  <c r="H388" i="13" a="1"/>
  <c r="H389" i="13" a="1"/>
  <c r="H390" i="13" a="1"/>
  <c r="H391" i="13" a="1"/>
  <c r="H392" i="13" a="1"/>
  <c r="H393" i="13" a="1"/>
  <c r="H394" i="13" a="1"/>
  <c r="H395" i="13" a="1"/>
  <c r="H396" i="13" a="1"/>
  <c r="H397" i="13" a="1"/>
  <c r="H398" i="13" a="1"/>
  <c r="H399" i="13" a="1"/>
  <c r="H400" i="13" a="1"/>
  <c r="H401" i="13" a="1"/>
  <c r="H402" i="13" a="1"/>
  <c r="H403" i="13" a="1"/>
  <c r="H404" i="13" a="1"/>
  <c r="H405" i="13" a="1"/>
  <c r="H406" i="13" a="1"/>
  <c r="H407" i="13" a="1"/>
  <c r="H408" i="13" a="1"/>
  <c r="H409" i="13" a="1"/>
  <c r="H410" i="13" a="1"/>
  <c r="H411" i="13" a="1"/>
  <c r="H412" i="13" a="1"/>
  <c r="H413" i="13" a="1"/>
  <c r="H414" i="13" a="1"/>
  <c r="H415" i="13" a="1"/>
  <c r="H416" i="13" a="1"/>
  <c r="H417" i="13" a="1"/>
  <c r="H418" i="13" a="1"/>
  <c r="H419" i="13" a="1"/>
  <c r="H420" i="13" a="1"/>
  <c r="H421" i="13" a="1"/>
  <c r="H422" i="13" a="1"/>
  <c r="H423" i="13" a="1"/>
  <c r="H424" i="13" a="1"/>
  <c r="H425" i="13" a="1"/>
  <c r="H426" i="13" a="1"/>
  <c r="H427" i="13" a="1"/>
  <c r="H428" i="13" a="1"/>
  <c r="H429" i="13" a="1"/>
  <c r="H430" i="13" a="1"/>
  <c r="H431" i="13" a="1"/>
  <c r="H432" i="13" a="1"/>
  <c r="H433" i="13" a="1"/>
  <c r="H434" i="13" a="1"/>
  <c r="H435" i="13" a="1"/>
  <c r="H436" i="13" a="1"/>
  <c r="H437" i="13" a="1"/>
  <c r="H438" i="13" a="1"/>
  <c r="H439" i="13" a="1"/>
  <c r="H440" i="13" a="1"/>
  <c r="H441" i="13" a="1"/>
  <c r="H442" i="13" a="1"/>
  <c r="H443" i="13" a="1"/>
  <c r="H444" i="13" a="1"/>
  <c r="H445" i="13" a="1"/>
  <c r="H446" i="13" a="1"/>
  <c r="H447" i="13" a="1"/>
  <c r="H448" i="13" a="1"/>
  <c r="H449" i="13" a="1"/>
  <c r="H450" i="13" a="1"/>
  <c r="H451" i="13" a="1"/>
  <c r="H452" i="13" a="1"/>
  <c r="H453" i="13" a="1"/>
  <c r="H454" i="13" a="1"/>
  <c r="H455" i="13" a="1"/>
  <c r="H456" i="13" a="1"/>
  <c r="H457" i="13" a="1"/>
  <c r="H458" i="13" a="1"/>
  <c r="H459" i="13" a="1"/>
  <c r="H460" i="13" a="1"/>
  <c r="H461" i="13" a="1"/>
  <c r="H462" i="13" a="1"/>
  <c r="H463" i="13" a="1"/>
  <c r="H464" i="13" a="1"/>
  <c r="H465" i="13" a="1"/>
  <c r="H466" i="13" a="1"/>
  <c r="H467" i="13" a="1"/>
  <c r="H468" i="13" a="1"/>
  <c r="H469" i="13" a="1"/>
  <c r="H470" i="13" a="1"/>
  <c r="H471" i="13" a="1"/>
  <c r="H472" i="13" a="1"/>
  <c r="H473" i="13" a="1"/>
  <c r="H474" i="13" a="1"/>
  <c r="H475" i="13" a="1"/>
  <c r="H476" i="13" a="1"/>
  <c r="H477" i="13" a="1"/>
  <c r="H478" i="13" a="1"/>
  <c r="H479" i="13" a="1"/>
  <c r="H480" i="13" a="1"/>
  <c r="H481" i="13" a="1"/>
  <c r="H482" i="13" a="1"/>
  <c r="H483" i="13" a="1"/>
  <c r="H484" i="13" a="1"/>
  <c r="H485" i="13" a="1"/>
  <c r="H486" i="13" a="1"/>
  <c r="H487" i="13" a="1"/>
  <c r="H488" i="13" a="1"/>
  <c r="H489" i="13" a="1"/>
  <c r="H490" i="13" a="1"/>
  <c r="H491" i="13" a="1"/>
  <c r="H492" i="13" a="1"/>
  <c r="H493" i="13" a="1"/>
  <c r="H494" i="13" a="1"/>
  <c r="H495" i="13" a="1"/>
  <c r="H496" i="13" a="1"/>
  <c r="H497" i="13" a="1"/>
  <c r="H498" i="13" a="1"/>
  <c r="H499" i="13" a="1"/>
  <c r="H500" i="13" a="1"/>
  <c r="H501" i="13" a="1"/>
  <c r="H502" i="13" a="1"/>
  <c r="H503" i="13" a="1"/>
  <c r="H504" i="13" a="1"/>
  <c r="H505" i="13" a="1"/>
  <c r="H506" i="13" a="1"/>
  <c r="H507" i="13" a="1"/>
  <c r="H508" i="13" a="1"/>
  <c r="H509" i="13" a="1"/>
  <c r="H510" i="13" a="1"/>
  <c r="H511" i="13" a="1"/>
  <c r="H512" i="13" a="1"/>
  <c r="H513" i="13" a="1"/>
  <c r="H514" i="13" a="1"/>
  <c r="H515" i="13" a="1"/>
  <c r="H516" i="13" a="1"/>
  <c r="H517" i="13" a="1"/>
  <c r="H518" i="13" a="1"/>
  <c r="H519" i="13" a="1"/>
  <c r="H520" i="13" a="1"/>
  <c r="H521" i="13" a="1"/>
  <c r="H522" i="13" a="1"/>
  <c r="H523" i="13" a="1"/>
  <c r="H524" i="13" a="1"/>
  <c r="H525" i="13" a="1"/>
  <c r="H526" i="13" a="1"/>
  <c r="H527" i="13" a="1"/>
  <c r="H528" i="13" a="1"/>
  <c r="H529" i="13" a="1"/>
  <c r="H530" i="13" a="1"/>
  <c r="H531" i="13" a="1"/>
  <c r="H532" i="13" a="1"/>
  <c r="H533" i="13" a="1"/>
  <c r="H534" i="13" a="1"/>
  <c r="H535" i="13" a="1"/>
  <c r="H536" i="13" a="1"/>
  <c r="H537" i="13" a="1"/>
  <c r="H538" i="13" a="1"/>
  <c r="H539" i="13" a="1"/>
  <c r="H540" i="13" a="1"/>
  <c r="H541" i="13" a="1"/>
  <c r="H542" i="13" a="1"/>
  <c r="H543" i="13" a="1"/>
  <c r="H544" i="13" a="1"/>
  <c r="H545" i="13" a="1"/>
  <c r="H546" i="13" a="1"/>
  <c r="H547" i="13" a="1"/>
  <c r="H548" i="13" a="1"/>
  <c r="H549" i="13" a="1"/>
  <c r="H550" i="13" a="1"/>
  <c r="H551" i="13" a="1"/>
  <c r="H552" i="13" a="1"/>
  <c r="H553" i="13" a="1"/>
  <c r="H554" i="13" a="1"/>
  <c r="H555" i="13" a="1"/>
  <c r="H556" i="13" a="1"/>
  <c r="H557" i="13" a="1"/>
  <c r="H558" i="13" a="1"/>
  <c r="H559" i="13" a="1"/>
  <c r="H560" i="13" a="1"/>
  <c r="H561" i="13" a="1"/>
  <c r="H562" i="13" a="1"/>
  <c r="H563" i="13" a="1"/>
  <c r="H564" i="13" a="1"/>
  <c r="H565" i="13" a="1"/>
  <c r="H566" i="13" a="1"/>
  <c r="H567" i="13" a="1"/>
  <c r="H568" i="13" a="1"/>
  <c r="H569" i="13" a="1"/>
  <c r="H570" i="13" a="1"/>
  <c r="H571" i="13" a="1"/>
  <c r="H572" i="13" a="1"/>
  <c r="H573" i="13" a="1"/>
  <c r="H574" i="13" a="1"/>
  <c r="H575" i="13" a="1"/>
  <c r="H576" i="13" a="1"/>
  <c r="H577" i="13" a="1"/>
  <c r="H578" i="13" a="1"/>
  <c r="H579" i="13" a="1"/>
  <c r="H580" i="13" a="1"/>
  <c r="H581" i="13" a="1"/>
  <c r="H582" i="13" a="1"/>
  <c r="H583" i="13" a="1"/>
  <c r="H584" i="13" a="1"/>
  <c r="H585" i="13" a="1"/>
  <c r="H586" i="13" a="1"/>
  <c r="H587" i="13" a="1"/>
  <c r="H588" i="13" a="1"/>
  <c r="H589" i="13" a="1"/>
  <c r="H590" i="13" a="1"/>
  <c r="H591" i="13" a="1"/>
  <c r="H592" i="13" a="1"/>
  <c r="H593" i="13" a="1"/>
  <c r="H594" i="13" a="1"/>
  <c r="H595" i="13" a="1"/>
  <c r="H596" i="13" a="1"/>
  <c r="H597" i="13" a="1"/>
  <c r="H598" i="13" a="1"/>
  <c r="H599" i="13" a="1"/>
  <c r="H600" i="13" a="1"/>
  <c r="H601" i="13" a="1"/>
  <c r="H602" i="13" a="1"/>
  <c r="H603" i="13" a="1"/>
  <c r="H604" i="13" a="1"/>
  <c r="H605" i="13" a="1"/>
  <c r="H606" i="13" a="1"/>
  <c r="H607" i="13" a="1"/>
  <c r="H608" i="13" a="1"/>
  <c r="H609" i="13" a="1"/>
  <c r="H610" i="13" a="1"/>
  <c r="H611" i="13" a="1"/>
  <c r="H612" i="13" a="1"/>
  <c r="H613" i="13" a="1"/>
  <c r="H614" i="13" a="1"/>
  <c r="H615" i="13" a="1"/>
  <c r="H616" i="13" a="1"/>
  <c r="H617" i="13" a="1"/>
  <c r="H618" i="13" a="1"/>
  <c r="H619" i="13" a="1"/>
  <c r="H620" i="13" a="1"/>
  <c r="H621" i="13" a="1"/>
  <c r="H622" i="13" a="1"/>
  <c r="H623" i="13" a="1"/>
  <c r="H624" i="13" a="1"/>
  <c r="H625" i="13" a="1"/>
  <c r="H626" i="13" a="1"/>
  <c r="H627" i="13" a="1"/>
  <c r="H628" i="13" a="1"/>
  <c r="H629" i="13" a="1"/>
  <c r="H630" i="13" a="1"/>
  <c r="H631" i="13" a="1"/>
  <c r="H632" i="13" a="1"/>
  <c r="H633" i="13" a="1"/>
  <c r="H634" i="13" a="1"/>
  <c r="H635" i="13" a="1"/>
  <c r="H636" i="13" a="1"/>
  <c r="H637" i="13" a="1"/>
  <c r="H638" i="13" a="1"/>
  <c r="H639" i="13" a="1"/>
  <c r="H640" i="13" a="1"/>
  <c r="H641" i="13" a="1"/>
  <c r="H642" i="13" a="1"/>
  <c r="H643" i="13" a="1"/>
  <c r="H644" i="13" a="1"/>
  <c r="H645" i="13" a="1"/>
  <c r="H646" i="13" a="1"/>
  <c r="H647" i="13" a="1"/>
  <c r="H648" i="13" a="1"/>
  <c r="H649" i="13" a="1"/>
  <c r="H650" i="13" a="1"/>
  <c r="H651" i="13" a="1"/>
  <c r="H652" i="13" a="1"/>
  <c r="H653" i="13" a="1"/>
  <c r="H654" i="13" a="1"/>
  <c r="H655" i="13" a="1"/>
  <c r="H656" i="13" a="1"/>
  <c r="H657" i="13" a="1"/>
  <c r="H658" i="13" a="1"/>
  <c r="H659" i="13" a="1"/>
  <c r="H660" i="13" a="1"/>
  <c r="H661" i="13" a="1"/>
  <c r="H662" i="13" a="1"/>
  <c r="H663" i="13" a="1"/>
  <c r="H664" i="13" a="1"/>
  <c r="H665" i="13" a="1"/>
  <c r="H666" i="13" a="1"/>
  <c r="H667" i="13" a="1"/>
  <c r="H668" i="13" a="1"/>
  <c r="H669" i="13" a="1"/>
  <c r="H670" i="13" a="1"/>
  <c r="H671" i="13" a="1"/>
  <c r="H672" i="13" a="1"/>
  <c r="H673" i="13" a="1"/>
  <c r="H674" i="13" a="1"/>
  <c r="H675" i="13" a="1"/>
  <c r="H676" i="13" a="1"/>
  <c r="H677" i="13" a="1"/>
  <c r="H678" i="13" a="1"/>
  <c r="H679" i="13" a="1"/>
  <c r="A680" i="13" a="1"/>
  <c r="A681" i="13" a="1"/>
  <c r="A682" i="13" a="1"/>
  <c r="A683" i="13" a="1"/>
  <c r="H6" i="13" a="1"/>
  <c r="H7" i="13" a="1"/>
  <c r="H8" i="13" a="1"/>
  <c r="H9" i="13" a="1"/>
  <c r="H10" i="13" a="1"/>
  <c r="H11" i="13" a="1"/>
  <c r="H12" i="13" a="1"/>
  <c r="H13" i="13" a="1"/>
  <c r="H14" i="13" a="1"/>
  <c r="H15" i="13" a="1"/>
  <c r="H16" i="13" a="1"/>
  <c r="H17" i="13" a="1"/>
  <c r="H18" i="13" a="1"/>
  <c r="H19" i="13" a="1"/>
  <c r="H20" i="13" a="1"/>
  <c r="H21" i="13" a="1"/>
  <c r="H22" i="13" a="1"/>
  <c r="H23" i="13" a="1"/>
  <c r="H24" i="13" a="1"/>
  <c r="H25" i="13" a="1"/>
  <c r="H26" i="13" a="1"/>
  <c r="H27" i="13" a="1"/>
  <c r="H28" i="13" a="1"/>
  <c r="H29" i="13" a="1"/>
  <c r="H30" i="13" a="1"/>
  <c r="H31" i="13" a="1"/>
  <c r="H32" i="13" a="1"/>
  <c r="H33" i="13" a="1"/>
  <c r="H34" i="13" a="1"/>
  <c r="H35" i="13" a="1"/>
  <c r="H36" i="13" a="1"/>
  <c r="H37" i="13" a="1"/>
  <c r="H38" i="13" a="1"/>
  <c r="H39" i="13" a="1"/>
  <c r="H40" i="13" a="1"/>
  <c r="H41" i="13" a="1"/>
  <c r="H42" i="13" a="1"/>
  <c r="H43" i="13" a="1"/>
  <c r="H44" i="13" a="1"/>
  <c r="H45" i="13" a="1"/>
  <c r="H46" i="13" a="1"/>
  <c r="H47" i="13" a="1"/>
  <c r="H48" i="13" a="1"/>
  <c r="H49" i="13" a="1"/>
  <c r="H50" i="13" a="1"/>
  <c r="H51" i="13" a="1"/>
  <c r="H52" i="13" a="1"/>
  <c r="H53" i="13" a="1"/>
  <c r="H54" i="13" a="1"/>
  <c r="H55" i="13" a="1"/>
  <c r="H56" i="13" a="1"/>
  <c r="H57" i="13" a="1"/>
  <c r="H58" i="13" a="1"/>
  <c r="H59" i="13" a="1"/>
  <c r="H60" i="13" a="1"/>
  <c r="H61" i="13" a="1"/>
  <c r="H62" i="13" a="1"/>
  <c r="H63" i="13" a="1"/>
  <c r="H64" i="13" a="1"/>
  <c r="H65" i="13" a="1"/>
  <c r="H66" i="13" a="1"/>
  <c r="H67" i="13" a="1"/>
  <c r="H68" i="13" a="1"/>
  <c r="H69" i="13" a="1"/>
  <c r="H70" i="13" a="1"/>
  <c r="H71" i="13" a="1"/>
  <c r="H72" i="13" a="1"/>
  <c r="H73" i="13" a="1"/>
  <c r="H74" i="13" a="1"/>
  <c r="H75" i="13" a="1"/>
  <c r="H76" i="13" a="1"/>
  <c r="H77" i="13" a="1"/>
  <c r="H78" i="13" a="1"/>
  <c r="H79" i="13" a="1"/>
  <c r="H80" i="13" a="1"/>
  <c r="H81" i="13" a="1"/>
  <c r="H82" i="13" a="1"/>
  <c r="H83" i="13" a="1"/>
  <c r="H84" i="13" a="1"/>
  <c r="H85" i="13" a="1"/>
  <c r="H86" i="13" a="1"/>
  <c r="H87" i="13" a="1"/>
  <c r="H88" i="13" a="1"/>
  <c r="H89" i="13" a="1"/>
  <c r="H90" i="13" a="1"/>
  <c r="H91" i="13" a="1"/>
  <c r="H92" i="13" a="1"/>
  <c r="H93" i="13" a="1"/>
  <c r="H94" i="13" a="1"/>
  <c r="H95" i="13" a="1"/>
  <c r="H96" i="13" a="1"/>
  <c r="H97" i="13" a="1"/>
  <c r="H98" i="13" a="1"/>
  <c r="H99" i="13" a="1"/>
  <c r="H100" i="13" a="1"/>
  <c r="H101" i="13" a="1"/>
  <c r="H102" i="13" a="1"/>
  <c r="H103" i="13" a="1"/>
  <c r="H104" i="13" a="1"/>
  <c r="H105" i="13" a="1"/>
  <c r="H106" i="13" a="1"/>
  <c r="H107" i="13" a="1"/>
  <c r="H108" i="13" a="1"/>
  <c r="H109" i="13" a="1"/>
  <c r="H110" i="13" a="1"/>
  <c r="H111" i="13" a="1"/>
  <c r="H112" i="13" a="1"/>
  <c r="H113" i="13" a="1"/>
  <c r="H114" i="13" a="1"/>
  <c r="H115" i="13" a="1"/>
  <c r="H116" i="13" a="1"/>
  <c r="H117" i="13" a="1"/>
  <c r="H118" i="13" a="1"/>
  <c r="H119" i="13" a="1"/>
  <c r="H120" i="13" a="1"/>
  <c r="H121" i="13" a="1"/>
  <c r="H122" i="13" a="1"/>
  <c r="H123" i="13" a="1"/>
  <c r="H124" i="13" a="1"/>
  <c r="H125" i="13" a="1"/>
  <c r="H126" i="13" a="1"/>
  <c r="H127" i="13" a="1"/>
  <c r="H128" i="13" a="1"/>
  <c r="H129" i="13" a="1"/>
  <c r="H130" i="13" a="1"/>
  <c r="H131" i="13" a="1"/>
  <c r="H132" i="13" a="1"/>
  <c r="H133" i="13" a="1"/>
  <c r="H134" i="13" a="1"/>
  <c r="H135" i="13" a="1"/>
  <c r="H136" i="13" a="1"/>
  <c r="H5" i="13" a="1"/>
  <c r="L73" i="4"/>
  <c r="M73" i="4" s="1"/>
  <c r="N73" i="4"/>
  <c r="O73" i="4"/>
  <c r="P73" i="4"/>
  <c r="K74" i="4"/>
  <c r="L74" i="4" s="1"/>
  <c r="M74" i="4" s="1"/>
  <c r="N74" i="4"/>
  <c r="O74" i="4"/>
  <c r="P74" i="4"/>
  <c r="K75" i="4"/>
  <c r="L75" i="4" s="1"/>
  <c r="M75" i="4" s="1"/>
  <c r="N75" i="4"/>
  <c r="O75" i="4"/>
  <c r="P75" i="4"/>
  <c r="K76" i="4"/>
  <c r="L76" i="4" s="1"/>
  <c r="M76" i="4" s="1"/>
  <c r="N76" i="4"/>
  <c r="O76" i="4"/>
  <c r="P76" i="4"/>
  <c r="K77" i="4"/>
  <c r="L77" i="4" s="1"/>
  <c r="M77" i="4" s="1"/>
  <c r="N77" i="4"/>
  <c r="O77" i="4"/>
  <c r="P77" i="4"/>
  <c r="H27" i="3"/>
  <c r="H28" i="3"/>
  <c r="H29" i="3"/>
  <c r="H30" i="3"/>
  <c r="H31" i="3"/>
  <c r="H32" i="3"/>
  <c r="H33" i="3"/>
  <c r="H35" i="3"/>
  <c r="H36" i="3"/>
  <c r="H37" i="3"/>
  <c r="H38" i="3"/>
  <c r="H39" i="3"/>
  <c r="H40" i="3"/>
  <c r="H26" i="3"/>
  <c r="K26" i="3"/>
  <c r="O26" i="3"/>
  <c r="P26" i="3"/>
  <c r="Q26" i="3"/>
  <c r="K27" i="3"/>
  <c r="O27" i="3"/>
  <c r="P27" i="3"/>
  <c r="Q27" i="3"/>
  <c r="N68" i="1"/>
  <c r="P68" i="1"/>
  <c r="Q68" i="1"/>
  <c r="R68" i="1"/>
  <c r="N69" i="1"/>
  <c r="P69" i="1"/>
  <c r="Q69" i="1"/>
  <c r="R69" i="1"/>
  <c r="N70" i="1"/>
  <c r="P70" i="1"/>
  <c r="Q70" i="1"/>
  <c r="R70" i="1"/>
  <c r="N71" i="1"/>
  <c r="P71" i="1"/>
  <c r="Q71" i="1"/>
  <c r="R71" i="1"/>
  <c r="N72" i="1"/>
  <c r="P72" i="1"/>
  <c r="Q72" i="1"/>
  <c r="R72" i="1"/>
  <c r="K28" i="3"/>
  <c r="O28" i="3"/>
  <c r="P28" i="3"/>
  <c r="Q28" i="3"/>
  <c r="N73" i="1"/>
  <c r="P73" i="1"/>
  <c r="Q73" i="1"/>
  <c r="R73" i="1"/>
  <c r="N74" i="1"/>
  <c r="P74" i="1"/>
  <c r="Q74" i="1"/>
  <c r="R74" i="1"/>
  <c r="L4" i="11"/>
  <c r="N78" i="4"/>
  <c r="M4" i="11"/>
  <c r="O78" i="4"/>
  <c r="N4" i="11"/>
  <c r="P78" i="4"/>
  <c r="L79" i="4"/>
  <c r="L80" i="4"/>
  <c r="M80" i="4" s="1"/>
  <c r="L81" i="4"/>
  <c r="M81" i="4" s="1"/>
  <c r="L82" i="4"/>
  <c r="M82" i="4" s="1"/>
  <c r="L84" i="4"/>
  <c r="M84" i="4" s="1"/>
  <c r="L86" i="4"/>
  <c r="M86" i="4" s="1"/>
  <c r="K78" i="4"/>
  <c r="L78" i="4" s="1"/>
  <c r="N79" i="4"/>
  <c r="O79" i="4"/>
  <c r="P79" i="4"/>
  <c r="N80" i="4"/>
  <c r="O80" i="4"/>
  <c r="P80" i="4"/>
  <c r="N81" i="4"/>
  <c r="O81" i="4"/>
  <c r="P81" i="4"/>
  <c r="N75" i="1"/>
  <c r="P75" i="1"/>
  <c r="Q75" i="1"/>
  <c r="R75" i="1"/>
  <c r="K29" i="3"/>
  <c r="O29" i="3"/>
  <c r="P29" i="3"/>
  <c r="Q29" i="3"/>
  <c r="K30" i="3"/>
  <c r="O30" i="3"/>
  <c r="P30" i="3"/>
  <c r="Q30" i="3"/>
  <c r="G4" i="11"/>
  <c r="H4" i="11" s="1"/>
  <c r="N76" i="1"/>
  <c r="P76" i="1"/>
  <c r="Q76" i="1"/>
  <c r="R76" i="1"/>
  <c r="N77" i="1"/>
  <c r="P77" i="1"/>
  <c r="Q77" i="1"/>
  <c r="R77" i="1"/>
  <c r="N78" i="1"/>
  <c r="P78" i="1"/>
  <c r="Q78" i="1"/>
  <c r="R78" i="1"/>
  <c r="N79" i="1"/>
  <c r="P79" i="1"/>
  <c r="Q79" i="1"/>
  <c r="R79" i="1"/>
  <c r="N80" i="1"/>
  <c r="P80" i="1"/>
  <c r="Q80" i="1"/>
  <c r="R80" i="1"/>
  <c r="L81" i="1"/>
  <c r="N81" i="1" s="1"/>
  <c r="P81" i="1"/>
  <c r="Q81" i="1"/>
  <c r="R81" i="1"/>
  <c r="N82" i="1"/>
  <c r="P82" i="1"/>
  <c r="Q82" i="1"/>
  <c r="R82" i="1"/>
  <c r="N83" i="1"/>
  <c r="P83" i="1"/>
  <c r="Q83" i="1"/>
  <c r="R83" i="1"/>
  <c r="K31" i="3"/>
  <c r="O31" i="3"/>
  <c r="P31" i="3"/>
  <c r="Q31" i="3"/>
  <c r="N84" i="1"/>
  <c r="P84" i="1"/>
  <c r="Q84" i="1"/>
  <c r="R84" i="1"/>
  <c r="N85" i="1"/>
  <c r="P85" i="1"/>
  <c r="Q85" i="1"/>
  <c r="R85" i="1"/>
  <c r="K32" i="3"/>
  <c r="O32" i="3"/>
  <c r="P32" i="3"/>
  <c r="Q32" i="3"/>
  <c r="K33" i="3"/>
  <c r="O33" i="3"/>
  <c r="P33" i="3"/>
  <c r="Q33" i="3"/>
  <c r="N86" i="1"/>
  <c r="P86" i="1"/>
  <c r="Q86" i="1"/>
  <c r="R86" i="1"/>
  <c r="N87" i="1"/>
  <c r="P87" i="1"/>
  <c r="Q87" i="1"/>
  <c r="R87" i="1"/>
  <c r="N88" i="1"/>
  <c r="P88" i="1"/>
  <c r="Q88" i="1"/>
  <c r="R88" i="1"/>
  <c r="N89" i="1"/>
  <c r="P89" i="1"/>
  <c r="Q89" i="1"/>
  <c r="R89" i="1"/>
  <c r="N90" i="1"/>
  <c r="P90" i="1"/>
  <c r="Q90" i="1"/>
  <c r="R90" i="1"/>
  <c r="N91" i="1"/>
  <c r="P91" i="1"/>
  <c r="Q91" i="1"/>
  <c r="R91" i="1"/>
  <c r="O82" i="4"/>
  <c r="O83" i="4"/>
  <c r="O84" i="4"/>
  <c r="O85" i="4"/>
  <c r="O86" i="4"/>
  <c r="O87" i="4"/>
  <c r="O88" i="4"/>
  <c r="O89" i="4"/>
  <c r="O90" i="4"/>
  <c r="O91" i="4"/>
  <c r="P82" i="4"/>
  <c r="P83" i="4"/>
  <c r="P84" i="4"/>
  <c r="P85" i="4"/>
  <c r="P86" i="4"/>
  <c r="P87" i="4"/>
  <c r="P88" i="4"/>
  <c r="P89" i="4"/>
  <c r="P90" i="4"/>
  <c r="P91" i="4"/>
  <c r="N82" i="4"/>
  <c r="N83" i="4"/>
  <c r="N84" i="4"/>
  <c r="N85" i="4"/>
  <c r="N86" i="4"/>
  <c r="N87" i="4"/>
  <c r="N88" i="4"/>
  <c r="N89" i="4"/>
  <c r="N90" i="4"/>
  <c r="N91" i="4"/>
  <c r="P34" i="3"/>
  <c r="O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P47" i="3"/>
  <c r="P35" i="3"/>
  <c r="P36" i="3"/>
  <c r="P37" i="3"/>
  <c r="P38" i="3"/>
  <c r="P39" i="3"/>
  <c r="P40" i="3"/>
  <c r="P41" i="3"/>
  <c r="P42" i="3"/>
  <c r="P43" i="3"/>
  <c r="P44" i="3"/>
  <c r="P45" i="3"/>
  <c r="P46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L11" i="10"/>
  <c r="L13" i="10"/>
  <c r="L14" i="10"/>
  <c r="L15" i="10"/>
  <c r="Q34" i="3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AA1" i="8"/>
  <c r="K83" i="4"/>
  <c r="L83" i="4" s="1"/>
  <c r="I11" i="10"/>
  <c r="K34" i="3"/>
  <c r="L34" i="3" s="1"/>
  <c r="H34" i="3" s="1"/>
  <c r="K35" i="3"/>
  <c r="N92" i="1"/>
  <c r="N93" i="1"/>
  <c r="N94" i="1"/>
  <c r="N95" i="1"/>
  <c r="N96" i="1"/>
  <c r="N97" i="1"/>
  <c r="N98" i="1"/>
  <c r="K36" i="3"/>
  <c r="N99" i="1"/>
  <c r="N100" i="1"/>
  <c r="N101" i="1"/>
  <c r="I15" i="10"/>
  <c r="J15" i="10" s="1"/>
  <c r="I14" i="10"/>
  <c r="J14" i="10" s="1"/>
  <c r="N102" i="1"/>
  <c r="I13" i="10"/>
  <c r="J13" i="10" s="1"/>
  <c r="E11" i="8" a="1"/>
  <c r="N104" i="1"/>
  <c r="N105" i="1"/>
  <c r="N10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5" i="1"/>
  <c r="N137" i="1"/>
  <c r="N138" i="1"/>
  <c r="N103" i="1"/>
  <c r="K37" i="3"/>
  <c r="K38" i="3"/>
  <c r="K85" i="4"/>
  <c r="L85" i="4" s="1"/>
  <c r="K39" i="3"/>
  <c r="K87" i="4"/>
  <c r="L87" i="4" s="1"/>
  <c r="A5" i="9"/>
  <c r="K40" i="3"/>
  <c r="K41" i="3"/>
  <c r="L41" i="3" s="1"/>
  <c r="H41" i="3" s="1"/>
  <c r="K42" i="3"/>
  <c r="L42" i="3" s="1"/>
  <c r="H42" i="3" s="1"/>
  <c r="K43" i="3"/>
  <c r="L43" i="3" s="1"/>
  <c r="H43" i="3" s="1"/>
  <c r="K44" i="3"/>
  <c r="L44" i="3" s="1"/>
  <c r="H44" i="3" s="1"/>
  <c r="K45" i="3"/>
  <c r="L45" i="3" s="1"/>
  <c r="H45" i="3" s="1"/>
  <c r="K46" i="3"/>
  <c r="L46" i="3" s="1"/>
  <c r="H46" i="3" s="1"/>
  <c r="K47" i="3"/>
  <c r="L47" i="3" s="1"/>
  <c r="H47" i="3" s="1"/>
  <c r="A11" i="8" a="1"/>
  <c r="K88" i="4"/>
  <c r="L88" i="4" s="1"/>
  <c r="K124" i="1"/>
  <c r="AE10" i="9" l="1"/>
  <c r="E2" i="11"/>
  <c r="G2" i="11" s="1"/>
  <c r="H2" i="11" s="1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C7" i="8"/>
  <c r="A7" i="8" a="1"/>
  <c r="B7" i="8"/>
  <c r="K17" i="8" s="1" a="1"/>
  <c r="E7" i="9" a="1"/>
  <c r="AJ12" i="9" a="1"/>
  <c r="AJ7" i="9" a="1"/>
  <c r="AM3" i="9" a="1"/>
  <c r="AN6" i="9" a="1"/>
  <c r="AM13" i="9" a="1"/>
  <c r="AN8" i="9" a="1"/>
  <c r="AN7" i="9" a="1"/>
  <c r="AN12" i="9" a="1"/>
  <c r="AM9" i="9" a="1"/>
  <c r="AN5" i="9" a="1"/>
  <c r="AM8" i="9" a="1"/>
  <c r="AN13" i="9" a="1"/>
  <c r="AM10" i="9" a="1"/>
  <c r="AM4" i="9" a="1"/>
  <c r="AM11" i="9" a="1"/>
  <c r="AM7" i="9" a="1"/>
  <c r="AM12" i="9" a="1"/>
  <c r="AN9" i="9" a="1"/>
  <c r="AN10" i="9" a="1"/>
  <c r="AN4" i="9" a="1"/>
  <c r="AN3" i="9" a="1"/>
  <c r="AM6" i="9" a="1"/>
  <c r="AM5" i="9" a="1"/>
  <c r="AN11" i="9" a="1"/>
  <c r="AJ11" i="9" a="1"/>
  <c r="AJ3" i="9" a="1"/>
  <c r="AJ6" i="9" a="1"/>
  <c r="AJ9" i="9" a="1"/>
  <c r="AJ8" i="9" a="1"/>
  <c r="AJ5" i="9" a="1"/>
  <c r="AJ10" i="9" a="1"/>
  <c r="AJ4" i="9" a="1"/>
  <c r="AJ13" i="9" a="1"/>
  <c r="B7" i="9" a="1"/>
  <c r="L56" i="4"/>
  <c r="M56" i="4" s="1"/>
  <c r="AE9" i="9"/>
  <c r="H17" i="8"/>
  <c r="P2" i="9" a="1"/>
  <c r="J2" i="9" a="1"/>
  <c r="AQ7" i="9"/>
  <c r="AE7" i="9"/>
  <c r="AE8" i="9"/>
  <c r="Z11" i="9"/>
  <c r="AL10" i="9" s="1" a="1"/>
  <c r="Z9" i="9"/>
  <c r="AL8" i="9" s="1" a="1"/>
  <c r="Z8" i="9"/>
  <c r="AL7" i="9" s="1" a="1"/>
  <c r="Z7" i="9"/>
  <c r="Z10" i="9"/>
  <c r="AL9" i="9" s="1" a="1"/>
  <c r="E3" i="11"/>
  <c r="J11" i="10"/>
  <c r="M87" i="4"/>
  <c r="M83" i="4"/>
  <c r="M85" i="4"/>
  <c r="E6" i="9" a="1"/>
  <c r="B6" i="9" a="1"/>
  <c r="M88" i="4"/>
  <c r="A3" i="9"/>
  <c r="A4" i="9"/>
  <c r="K128" i="1"/>
  <c r="C7" i="9" s="1" a="1"/>
  <c r="K90" i="4"/>
  <c r="L90" i="4" s="1"/>
  <c r="M90" i="4" s="1"/>
  <c r="K89" i="4"/>
  <c r="L89" i="4" s="1"/>
  <c r="M89" i="4" s="1"/>
  <c r="K91" i="4"/>
  <c r="L91" i="4" s="1"/>
  <c r="I17" i="8" l="1"/>
  <c r="AS7" i="9"/>
  <c r="H12" i="8" s="1"/>
  <c r="L17" i="8" s="1" a="1"/>
  <c r="AT7" i="9"/>
  <c r="AA3" i="9"/>
  <c r="Y3" i="9"/>
  <c r="C6" i="9" a="1"/>
  <c r="AB6" i="10" a="1"/>
  <c r="G3" i="11"/>
  <c r="M91" i="4"/>
  <c r="F12" i="8" a="1"/>
  <c r="F13" i="8" a="1"/>
  <c r="F15" i="8" a="1"/>
  <c r="F16" i="8" a="1"/>
  <c r="F14" i="8" a="1"/>
  <c r="B3" i="9" a="1"/>
  <c r="C3" i="9" a="1"/>
  <c r="C4" i="9" a="1"/>
  <c r="E5" i="9" a="1"/>
  <c r="B5" i="9" a="1"/>
  <c r="B4" i="9" a="1"/>
  <c r="E3" i="9" a="1"/>
  <c r="C5" i="9" a="1"/>
  <c r="E4" i="9" a="1"/>
  <c r="I12" i="8" l="1"/>
  <c r="AW7" i="9"/>
  <c r="L12" i="8" s="1"/>
  <c r="AU7" i="9"/>
  <c r="B6" i="12"/>
  <c r="H3" i="11"/>
  <c r="M78" i="4"/>
  <c r="B5" i="12" a="1"/>
  <c r="G6" i="13" l="1"/>
  <c r="E2" i="13"/>
  <c r="AV7" i="9"/>
  <c r="K12" i="8" s="1"/>
  <c r="J12" i="8"/>
  <c r="AB3" i="9"/>
  <c r="AD3" i="9" l="1"/>
  <c r="AC3" i="9"/>
  <c r="AG3" i="9" s="1"/>
  <c r="AE3" i="9"/>
  <c r="K4" i="8" l="1"/>
  <c r="J4" i="8"/>
  <c r="T5" i="3"/>
  <c r="AF9" i="9"/>
  <c r="AG9" i="9" s="1"/>
  <c r="T19" i="3"/>
  <c r="T18" i="3" s="1"/>
  <c r="T17" i="3" s="1"/>
  <c r="T16" i="3" s="1"/>
  <c r="E16" i="9" s="1"/>
  <c r="AF8" i="9"/>
  <c r="AG8" i="9" s="1"/>
  <c r="T23" i="3"/>
  <c r="T40" i="3"/>
  <c r="T39" i="3" s="1"/>
  <c r="T38" i="3" s="1"/>
  <c r="T37" i="3" s="1"/>
  <c r="T36" i="3" s="1"/>
  <c r="T35" i="3" s="1"/>
  <c r="T34" i="3" s="1"/>
  <c r="T33" i="3" s="1"/>
  <c r="T32" i="3" s="1"/>
  <c r="T31" i="3" s="1"/>
  <c r="T30" i="3" s="1"/>
  <c r="T29" i="3" s="1"/>
  <c r="T28" i="3" s="1"/>
  <c r="T27" i="3" s="1"/>
  <c r="T26" i="3" s="1"/>
  <c r="T25" i="3" s="1"/>
  <c r="T24" i="3" s="1"/>
  <c r="T22" i="3" s="1"/>
  <c r="T21" i="3" s="1"/>
  <c r="AL2" i="9" a="1"/>
  <c r="AK2" i="9"/>
  <c r="AN2" i="9" a="1"/>
  <c r="AJ2" i="9" a="1"/>
  <c r="AM2" i="9" a="1"/>
  <c r="AF10" i="9"/>
  <c r="AG10" i="9" s="1"/>
  <c r="T4" i="3"/>
  <c r="AF7" i="9"/>
  <c r="AG7" i="9" s="1"/>
  <c r="T44" i="3"/>
  <c r="T43" i="3" s="1"/>
  <c r="T42" i="3" s="1"/>
  <c r="T15" i="3" s="1"/>
  <c r="T14" i="3" s="1"/>
  <c r="T13" i="3" s="1"/>
  <c r="T12" i="3" s="1"/>
  <c r="T11" i="3" s="1"/>
  <c r="T10" i="3" s="1"/>
  <c r="T9" i="3" s="1"/>
  <c r="T8" i="3" s="1"/>
  <c r="T7" i="3" s="1"/>
  <c r="B11" i="8"/>
  <c r="J5" i="13" a="1"/>
  <c r="M11" i="9" l="1"/>
  <c r="M13" i="9"/>
  <c r="M17" i="9"/>
  <c r="M10" i="9"/>
  <c r="M15" i="9"/>
  <c r="M14" i="9"/>
  <c r="M16" i="9"/>
  <c r="M12" i="9"/>
  <c r="B29" i="8"/>
  <c r="J17" i="8"/>
  <c r="AX7" i="9" a="1"/>
  <c r="K6" i="8"/>
  <c r="J6" i="8"/>
  <c r="E14" i="9" l="1"/>
  <c r="A683" i="13" l="1"/>
  <c r="A682" i="13"/>
  <c r="A681" i="13"/>
  <c r="A680" i="13"/>
  <c r="H679" i="13"/>
  <c r="A679" i="13" s="1" a="1"/>
  <c r="A679" i="13" s="1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598" i="13"/>
  <c r="H597" i="13"/>
  <c r="H596" i="13"/>
  <c r="H595" i="13"/>
  <c r="H594" i="13"/>
  <c r="H593" i="13"/>
  <c r="H592" i="13"/>
  <c r="H591" i="13"/>
  <c r="H590" i="13"/>
  <c r="H589" i="13"/>
  <c r="H588" i="13"/>
  <c r="H587" i="13"/>
  <c r="H586" i="13"/>
  <c r="H585" i="13"/>
  <c r="H584" i="13"/>
  <c r="H583" i="13"/>
  <c r="H582" i="13"/>
  <c r="H581" i="13"/>
  <c r="H580" i="13"/>
  <c r="H579" i="13"/>
  <c r="H578" i="13"/>
  <c r="H577" i="13"/>
  <c r="H576" i="13"/>
  <c r="H575" i="13"/>
  <c r="H574" i="13"/>
  <c r="H573" i="13"/>
  <c r="H572" i="13"/>
  <c r="H571" i="13"/>
  <c r="H570" i="13"/>
  <c r="H569" i="13"/>
  <c r="H568" i="13"/>
  <c r="H567" i="13"/>
  <c r="H566" i="13"/>
  <c r="H565" i="13"/>
  <c r="H564" i="13"/>
  <c r="H563" i="13"/>
  <c r="H562" i="13"/>
  <c r="H561" i="13"/>
  <c r="H560" i="13"/>
  <c r="H559" i="13"/>
  <c r="H558" i="13"/>
  <c r="H557" i="13"/>
  <c r="H556" i="13"/>
  <c r="H555" i="13"/>
  <c r="H554" i="13"/>
  <c r="H553" i="13"/>
  <c r="H552" i="13"/>
  <c r="H551" i="13"/>
  <c r="H550" i="13"/>
  <c r="H549" i="13"/>
  <c r="H548" i="13"/>
  <c r="H547" i="13"/>
  <c r="H546" i="13"/>
  <c r="H545" i="13"/>
  <c r="H544" i="13"/>
  <c r="H543" i="13"/>
  <c r="H542" i="13"/>
  <c r="H541" i="13"/>
  <c r="H540" i="13"/>
  <c r="H539" i="13"/>
  <c r="H538" i="13"/>
  <c r="H537" i="13"/>
  <c r="H536" i="13"/>
  <c r="H535" i="13"/>
  <c r="H534" i="13"/>
  <c r="H533" i="13"/>
  <c r="H532" i="13"/>
  <c r="H531" i="13"/>
  <c r="H530" i="13"/>
  <c r="H529" i="13"/>
  <c r="H528" i="13"/>
  <c r="H527" i="13"/>
  <c r="H526" i="13"/>
  <c r="H525" i="13"/>
  <c r="H524" i="13"/>
  <c r="H523" i="13"/>
  <c r="H522" i="13"/>
  <c r="H521" i="13"/>
  <c r="H520" i="13"/>
  <c r="H519" i="13"/>
  <c r="H518" i="13"/>
  <c r="H517" i="13"/>
  <c r="H516" i="13"/>
  <c r="H515" i="13"/>
  <c r="H514" i="13"/>
  <c r="H513" i="13"/>
  <c r="H512" i="13"/>
  <c r="H511" i="13"/>
  <c r="H510" i="13"/>
  <c r="H509" i="13"/>
  <c r="H508" i="13"/>
  <c r="H507" i="13"/>
  <c r="H506" i="13"/>
  <c r="H505" i="13"/>
  <c r="H504" i="13"/>
  <c r="H503" i="13"/>
  <c r="H502" i="13"/>
  <c r="H501" i="13"/>
  <c r="H500" i="13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J5" i="13"/>
  <c r="H5" i="13"/>
  <c r="E1" i="13"/>
  <c r="B5" i="12"/>
  <c r="P1236" i="10"/>
  <c r="P1235" i="10"/>
  <c r="BA1234" i="10"/>
  <c r="BA1233" i="10"/>
  <c r="BA1232" i="10"/>
  <c r="BA1231" i="10"/>
  <c r="BA1230" i="10"/>
  <c r="BA1229" i="10"/>
  <c r="BA1228" i="10"/>
  <c r="BA1227" i="10"/>
  <c r="BA1226" i="10"/>
  <c r="BA1225" i="10"/>
  <c r="BA1224" i="10"/>
  <c r="BA1223" i="10"/>
  <c r="BA1222" i="10"/>
  <c r="BA1221" i="10"/>
  <c r="BA1220" i="10"/>
  <c r="BA1219" i="10"/>
  <c r="BA1218" i="10"/>
  <c r="BA1217" i="10"/>
  <c r="BA1216" i="10"/>
  <c r="BA1215" i="10"/>
  <c r="BA1214" i="10"/>
  <c r="BA1213" i="10"/>
  <c r="BA1212" i="10"/>
  <c r="BA1211" i="10"/>
  <c r="BA1210" i="10"/>
  <c r="BA1209" i="10"/>
  <c r="BA1208" i="10"/>
  <c r="BA1207" i="10"/>
  <c r="BA1206" i="10"/>
  <c r="BA1205" i="10"/>
  <c r="BA1204" i="10"/>
  <c r="BA1203" i="10"/>
  <c r="BA1202" i="10"/>
  <c r="BA1201" i="10"/>
  <c r="BA1200" i="10"/>
  <c r="BA1199" i="10"/>
  <c r="BA1198" i="10"/>
  <c r="BA1197" i="10"/>
  <c r="BA1196" i="10"/>
  <c r="BA1195" i="10"/>
  <c r="BA1194" i="10"/>
  <c r="BA1193" i="10"/>
  <c r="BA1192" i="10"/>
  <c r="BA1191" i="10"/>
  <c r="BA1190" i="10"/>
  <c r="BA1189" i="10"/>
  <c r="BA1188" i="10"/>
  <c r="BA1187" i="10"/>
  <c r="BA1186" i="10"/>
  <c r="BA1185" i="10"/>
  <c r="BA1184" i="10"/>
  <c r="BA1183" i="10"/>
  <c r="BA1182" i="10"/>
  <c r="BA1181" i="10"/>
  <c r="BA1180" i="10"/>
  <c r="BA1179" i="10"/>
  <c r="BA1178" i="10"/>
  <c r="BA1177" i="10"/>
  <c r="BA1176" i="10"/>
  <c r="BA1175" i="10"/>
  <c r="BA1174" i="10"/>
  <c r="BA1173" i="10"/>
  <c r="BA1172" i="10"/>
  <c r="BA1171" i="10"/>
  <c r="BA1170" i="10"/>
  <c r="BA1169" i="10"/>
  <c r="BA1168" i="10"/>
  <c r="BA1167" i="10"/>
  <c r="BA1166" i="10"/>
  <c r="BA1165" i="10"/>
  <c r="BA1164" i="10"/>
  <c r="BA1163" i="10"/>
  <c r="BA1162" i="10"/>
  <c r="BA1161" i="10"/>
  <c r="BA1160" i="10"/>
  <c r="BA1159" i="10"/>
  <c r="BA1158" i="10"/>
  <c r="BA1157" i="10"/>
  <c r="BA1156" i="10"/>
  <c r="BA1155" i="10"/>
  <c r="BA1154" i="10"/>
  <c r="BA1153" i="10"/>
  <c r="BA1152" i="10"/>
  <c r="BA1151" i="10"/>
  <c r="BA1150" i="10"/>
  <c r="BA1149" i="10"/>
  <c r="BA1148" i="10"/>
  <c r="BA1147" i="10"/>
  <c r="BA1146" i="10"/>
  <c r="BA1145" i="10"/>
  <c r="BA1144" i="10"/>
  <c r="BA1143" i="10"/>
  <c r="BA1142" i="10"/>
  <c r="BA1141" i="10"/>
  <c r="BA1140" i="10"/>
  <c r="BA1139" i="10"/>
  <c r="BA1138" i="10"/>
  <c r="BA1137" i="10"/>
  <c r="BA1136" i="10"/>
  <c r="BA1135" i="10"/>
  <c r="BA1134" i="10"/>
  <c r="BA1133" i="10"/>
  <c r="BA1132" i="10"/>
  <c r="BA1131" i="10"/>
  <c r="BA1130" i="10"/>
  <c r="BA1129" i="10"/>
  <c r="BA1128" i="10"/>
  <c r="BA1127" i="10"/>
  <c r="BA1126" i="10"/>
  <c r="BA1125" i="10"/>
  <c r="BA1124" i="10"/>
  <c r="BA1123" i="10"/>
  <c r="BA1122" i="10"/>
  <c r="BA1121" i="10"/>
  <c r="BA1120" i="10"/>
  <c r="BA1119" i="10"/>
  <c r="BA1118" i="10"/>
  <c r="BA1117" i="10"/>
  <c r="BA1116" i="10"/>
  <c r="BA1115" i="10"/>
  <c r="BA1114" i="10"/>
  <c r="BA1113" i="10"/>
  <c r="BA1112" i="10"/>
  <c r="BA1111" i="10"/>
  <c r="BA1110" i="10"/>
  <c r="BA1109" i="10"/>
  <c r="BA1108" i="10"/>
  <c r="BA1107" i="10"/>
  <c r="BA1106" i="10"/>
  <c r="BA1105" i="10"/>
  <c r="BA1104" i="10"/>
  <c r="BA1103" i="10"/>
  <c r="BA1102" i="10"/>
  <c r="BA1101" i="10"/>
  <c r="BA1100" i="10"/>
  <c r="BA1099" i="10"/>
  <c r="BA1098" i="10"/>
  <c r="BA1097" i="10"/>
  <c r="BA1096" i="10"/>
  <c r="BA1095" i="10"/>
  <c r="BA1094" i="10"/>
  <c r="BA1093" i="10"/>
  <c r="BA1092" i="10"/>
  <c r="BA1091" i="10"/>
  <c r="BA1090" i="10"/>
  <c r="BA1089" i="10"/>
  <c r="BA1088" i="10"/>
  <c r="BA1087" i="10"/>
  <c r="BA1086" i="10"/>
  <c r="BA1085" i="10"/>
  <c r="BA1084" i="10"/>
  <c r="BA1083" i="10"/>
  <c r="BA1082" i="10"/>
  <c r="BA1081" i="10"/>
  <c r="BA1080" i="10"/>
  <c r="BA1079" i="10"/>
  <c r="BA1078" i="10"/>
  <c r="BA1077" i="10"/>
  <c r="BA1076" i="10"/>
  <c r="BA1075" i="10"/>
  <c r="BA1074" i="10"/>
  <c r="BA1073" i="10"/>
  <c r="BA1072" i="10"/>
  <c r="BA1071" i="10"/>
  <c r="BA1070" i="10"/>
  <c r="BA1069" i="10"/>
  <c r="BA1068" i="10"/>
  <c r="BA1067" i="10"/>
  <c r="BA1066" i="10"/>
  <c r="BA1065" i="10"/>
  <c r="BA1064" i="10"/>
  <c r="BA1063" i="10"/>
  <c r="BA1062" i="10"/>
  <c r="BA1061" i="10"/>
  <c r="BA1060" i="10"/>
  <c r="BA1059" i="10"/>
  <c r="BA1058" i="10"/>
  <c r="BA1057" i="10"/>
  <c r="BA1056" i="10"/>
  <c r="BA1055" i="10"/>
  <c r="BA1054" i="10"/>
  <c r="BA1053" i="10"/>
  <c r="BA1052" i="10"/>
  <c r="BA1051" i="10"/>
  <c r="BA1050" i="10"/>
  <c r="BA1049" i="10"/>
  <c r="BA1048" i="10"/>
  <c r="BA1047" i="10"/>
  <c r="BA1046" i="10"/>
  <c r="BA1045" i="10"/>
  <c r="BA1044" i="10"/>
  <c r="BA1043" i="10"/>
  <c r="BA1042" i="10"/>
  <c r="BA1041" i="10"/>
  <c r="BA1040" i="10"/>
  <c r="BA1039" i="10"/>
  <c r="BA1038" i="10"/>
  <c r="BA1037" i="10"/>
  <c r="BA1036" i="10"/>
  <c r="BA1035" i="10"/>
  <c r="BA1034" i="10"/>
  <c r="BA1033" i="10"/>
  <c r="BA1032" i="10"/>
  <c r="BA1031" i="10"/>
  <c r="BA1030" i="10"/>
  <c r="BA1029" i="10"/>
  <c r="BA1028" i="10"/>
  <c r="BA1027" i="10"/>
  <c r="BA1026" i="10"/>
  <c r="BA1025" i="10"/>
  <c r="BA1024" i="10"/>
  <c r="BA1023" i="10"/>
  <c r="BA1022" i="10"/>
  <c r="BA1021" i="10"/>
  <c r="BA1020" i="10"/>
  <c r="BA1019" i="10"/>
  <c r="BA1018" i="10"/>
  <c r="BA1017" i="10"/>
  <c r="BA1016" i="10"/>
  <c r="BA1015" i="10"/>
  <c r="BA1014" i="10"/>
  <c r="BA1013" i="10"/>
  <c r="BA1012" i="10"/>
  <c r="BA1011" i="10"/>
  <c r="BA1010" i="10"/>
  <c r="BA1009" i="10"/>
  <c r="BA1008" i="10"/>
  <c r="BA1007" i="10"/>
  <c r="BA1006" i="10"/>
  <c r="BA1005" i="10"/>
  <c r="BA1004" i="10"/>
  <c r="BA1003" i="10"/>
  <c r="BA1002" i="10"/>
  <c r="BA1001" i="10"/>
  <c r="BA1000" i="10"/>
  <c r="BA999" i="10"/>
  <c r="BA998" i="10"/>
  <c r="BA997" i="10"/>
  <c r="BA996" i="10"/>
  <c r="BA995" i="10"/>
  <c r="BA994" i="10"/>
  <c r="BA993" i="10"/>
  <c r="BA992" i="10"/>
  <c r="BA991" i="10"/>
  <c r="BA990" i="10"/>
  <c r="BA989" i="10"/>
  <c r="BA988" i="10"/>
  <c r="BA987" i="10"/>
  <c r="BA986" i="10"/>
  <c r="BA985" i="10"/>
  <c r="BA984" i="10"/>
  <c r="BA983" i="10"/>
  <c r="BA982" i="10"/>
  <c r="BA981" i="10"/>
  <c r="BA980" i="10"/>
  <c r="BA979" i="10"/>
  <c r="BA978" i="10"/>
  <c r="BA977" i="10"/>
  <c r="BA976" i="10"/>
  <c r="BA975" i="10"/>
  <c r="BA974" i="10"/>
  <c r="BA973" i="10"/>
  <c r="BA972" i="10"/>
  <c r="BA971" i="10"/>
  <c r="BA970" i="10"/>
  <c r="BA969" i="10"/>
  <c r="BA968" i="10"/>
  <c r="BA967" i="10"/>
  <c r="BA966" i="10"/>
  <c r="BA965" i="10"/>
  <c r="BA964" i="10"/>
  <c r="BA963" i="10"/>
  <c r="BA962" i="10"/>
  <c r="BA961" i="10"/>
  <c r="BA960" i="10"/>
  <c r="BA959" i="10"/>
  <c r="BA958" i="10"/>
  <c r="BA957" i="10"/>
  <c r="BA956" i="10"/>
  <c r="BA955" i="10"/>
  <c r="BA954" i="10"/>
  <c r="BA953" i="10"/>
  <c r="BA952" i="10"/>
  <c r="BA951" i="10"/>
  <c r="BA950" i="10"/>
  <c r="BA949" i="10"/>
  <c r="BA948" i="10"/>
  <c r="BA947" i="10"/>
  <c r="BA946" i="10"/>
  <c r="BA945" i="10"/>
  <c r="BA944" i="10"/>
  <c r="BA943" i="10"/>
  <c r="BA942" i="10"/>
  <c r="BA941" i="10"/>
  <c r="BA940" i="10"/>
  <c r="BA939" i="10"/>
  <c r="BA938" i="10"/>
  <c r="BA937" i="10"/>
  <c r="BA936" i="10"/>
  <c r="BA935" i="10"/>
  <c r="BA934" i="10"/>
  <c r="BA933" i="10"/>
  <c r="BA932" i="10"/>
  <c r="BA931" i="10"/>
  <c r="BA930" i="10"/>
  <c r="BA929" i="10"/>
  <c r="BA928" i="10"/>
  <c r="BA927" i="10"/>
  <c r="BA926" i="10"/>
  <c r="BA925" i="10"/>
  <c r="BA924" i="10"/>
  <c r="BA923" i="10"/>
  <c r="BA922" i="10"/>
  <c r="BA921" i="10"/>
  <c r="BA920" i="10"/>
  <c r="BA919" i="10"/>
  <c r="BA918" i="10"/>
  <c r="BA917" i="10"/>
  <c r="BA916" i="10"/>
  <c r="BA915" i="10"/>
  <c r="BA914" i="10"/>
  <c r="BA913" i="10"/>
  <c r="BA912" i="10"/>
  <c r="BA911" i="10"/>
  <c r="BA910" i="10"/>
  <c r="BA909" i="10"/>
  <c r="BA908" i="10"/>
  <c r="BA907" i="10"/>
  <c r="BA906" i="10"/>
  <c r="BA905" i="10"/>
  <c r="BA904" i="10"/>
  <c r="BA903" i="10"/>
  <c r="BA902" i="10"/>
  <c r="BA901" i="10"/>
  <c r="BA900" i="10"/>
  <c r="BA899" i="10"/>
  <c r="BA898" i="10"/>
  <c r="BA897" i="10"/>
  <c r="BA896" i="10"/>
  <c r="BA895" i="10"/>
  <c r="BA894" i="10"/>
  <c r="BA893" i="10"/>
  <c r="BA892" i="10"/>
  <c r="BA891" i="10"/>
  <c r="BA890" i="10"/>
  <c r="BA889" i="10"/>
  <c r="BA888" i="10"/>
  <c r="BA887" i="10"/>
  <c r="BA886" i="10"/>
  <c r="BA885" i="10"/>
  <c r="BA884" i="10"/>
  <c r="BA883" i="10"/>
  <c r="BA882" i="10"/>
  <c r="BA881" i="10"/>
  <c r="BA880" i="10"/>
  <c r="BA879" i="10"/>
  <c r="BA878" i="10"/>
  <c r="BA877" i="10"/>
  <c r="BA876" i="10"/>
  <c r="BA875" i="10"/>
  <c r="BA874" i="10"/>
  <c r="BA873" i="10"/>
  <c r="BA872" i="10"/>
  <c r="BA871" i="10"/>
  <c r="BA870" i="10"/>
  <c r="BA869" i="10"/>
  <c r="BA868" i="10"/>
  <c r="BA867" i="10"/>
  <c r="BA866" i="10"/>
  <c r="BA865" i="10"/>
  <c r="BA864" i="10"/>
  <c r="BA863" i="10"/>
  <c r="BA862" i="10"/>
  <c r="BA861" i="10"/>
  <c r="BA860" i="10"/>
  <c r="BA859" i="10"/>
  <c r="BA858" i="10"/>
  <c r="BA857" i="10"/>
  <c r="BA856" i="10"/>
  <c r="BA855" i="10"/>
  <c r="BA854" i="10"/>
  <c r="BA853" i="10"/>
  <c r="BA852" i="10"/>
  <c r="BA851" i="10"/>
  <c r="BA850" i="10"/>
  <c r="BA849" i="10"/>
  <c r="BA848" i="10"/>
  <c r="BA847" i="10"/>
  <c r="BA846" i="10"/>
  <c r="BA845" i="10"/>
  <c r="BA844" i="10"/>
  <c r="BA843" i="10"/>
  <c r="BA842" i="10"/>
  <c r="BA841" i="10"/>
  <c r="BA840" i="10"/>
  <c r="BA839" i="10"/>
  <c r="BA838" i="10"/>
  <c r="BA837" i="10"/>
  <c r="BA836" i="10"/>
  <c r="BA835" i="10"/>
  <c r="BA834" i="10"/>
  <c r="BA833" i="10"/>
  <c r="BA832" i="10"/>
  <c r="BA831" i="10"/>
  <c r="BA830" i="10"/>
  <c r="BA829" i="10"/>
  <c r="BA828" i="10"/>
  <c r="BA827" i="10"/>
  <c r="BA826" i="10"/>
  <c r="BA825" i="10"/>
  <c r="BA824" i="10"/>
  <c r="BA823" i="10"/>
  <c r="BA822" i="10"/>
  <c r="BA821" i="10"/>
  <c r="BA820" i="10"/>
  <c r="BA819" i="10"/>
  <c r="BA818" i="10"/>
  <c r="BA817" i="10"/>
  <c r="BA816" i="10"/>
  <c r="BA815" i="10"/>
  <c r="BA814" i="10"/>
  <c r="BA813" i="10"/>
  <c r="BA812" i="10"/>
  <c r="BA811" i="10"/>
  <c r="BA810" i="10"/>
  <c r="BA809" i="10"/>
  <c r="BA808" i="10"/>
  <c r="BA807" i="10"/>
  <c r="BA806" i="10"/>
  <c r="BA805" i="10"/>
  <c r="BA804" i="10"/>
  <c r="BA803" i="10"/>
  <c r="BA802" i="10"/>
  <c r="BA801" i="10"/>
  <c r="BA800" i="10"/>
  <c r="BA799" i="10"/>
  <c r="BA798" i="10"/>
  <c r="BA797" i="10"/>
  <c r="BA796" i="10"/>
  <c r="BA795" i="10"/>
  <c r="BA794" i="10"/>
  <c r="BA793" i="10"/>
  <c r="BA792" i="10"/>
  <c r="BA791" i="10"/>
  <c r="BA790" i="10"/>
  <c r="BA789" i="10"/>
  <c r="BA788" i="10"/>
  <c r="BA787" i="10"/>
  <c r="BA786" i="10"/>
  <c r="BA785" i="10"/>
  <c r="BA784" i="10"/>
  <c r="BA783" i="10"/>
  <c r="BA782" i="10"/>
  <c r="BA781" i="10"/>
  <c r="BA780" i="10"/>
  <c r="BA779" i="10"/>
  <c r="BA778" i="10"/>
  <c r="BA777" i="10"/>
  <c r="BA776" i="10"/>
  <c r="BA775" i="10"/>
  <c r="BA774" i="10"/>
  <c r="BA773" i="10"/>
  <c r="BA772" i="10"/>
  <c r="BA771" i="10"/>
  <c r="BA770" i="10"/>
  <c r="BA769" i="10"/>
  <c r="BA768" i="10"/>
  <c r="BA767" i="10"/>
  <c r="BA766" i="10"/>
  <c r="BA765" i="10"/>
  <c r="BA764" i="10"/>
  <c r="BA763" i="10"/>
  <c r="BA762" i="10"/>
  <c r="BA761" i="10"/>
  <c r="BA760" i="10"/>
  <c r="BA759" i="10"/>
  <c r="BA758" i="10"/>
  <c r="BA757" i="10"/>
  <c r="BA756" i="10"/>
  <c r="BA755" i="10"/>
  <c r="BA754" i="10"/>
  <c r="BA753" i="10"/>
  <c r="BA752" i="10"/>
  <c r="BA751" i="10"/>
  <c r="BA750" i="10"/>
  <c r="BA749" i="10"/>
  <c r="BA748" i="10"/>
  <c r="BA747" i="10"/>
  <c r="BA746" i="10"/>
  <c r="BA745" i="10"/>
  <c r="BA744" i="10"/>
  <c r="BA743" i="10"/>
  <c r="BA742" i="10"/>
  <c r="BA741" i="10"/>
  <c r="BA740" i="10"/>
  <c r="BA739" i="10"/>
  <c r="BA738" i="10"/>
  <c r="BA737" i="10"/>
  <c r="BA736" i="10"/>
  <c r="BA735" i="10"/>
  <c r="BA734" i="10"/>
  <c r="BA733" i="10"/>
  <c r="BA732" i="10"/>
  <c r="BA731" i="10"/>
  <c r="BA730" i="10"/>
  <c r="BA729" i="10"/>
  <c r="BA728" i="10"/>
  <c r="BA727" i="10"/>
  <c r="BA726" i="10"/>
  <c r="BA725" i="10"/>
  <c r="BA724" i="10"/>
  <c r="BA723" i="10"/>
  <c r="BA722" i="10"/>
  <c r="BA721" i="10"/>
  <c r="BA720" i="10"/>
  <c r="BA719" i="10"/>
  <c r="BA718" i="10"/>
  <c r="BA717" i="10"/>
  <c r="BA716" i="10"/>
  <c r="BA715" i="10"/>
  <c r="BA714" i="10"/>
  <c r="BA713" i="10"/>
  <c r="BA712" i="10"/>
  <c r="BA711" i="10"/>
  <c r="BA710" i="10"/>
  <c r="BA709" i="10"/>
  <c r="BA708" i="10"/>
  <c r="BA707" i="10"/>
  <c r="BA706" i="10"/>
  <c r="BA705" i="10"/>
  <c r="BA704" i="10"/>
  <c r="BA703" i="10"/>
  <c r="BA702" i="10"/>
  <c r="BA701" i="10"/>
  <c r="BA700" i="10"/>
  <c r="BA699" i="10"/>
  <c r="BA698" i="10"/>
  <c r="BA697" i="10"/>
  <c r="BA696" i="10"/>
  <c r="BA695" i="10"/>
  <c r="BA694" i="10"/>
  <c r="BA693" i="10"/>
  <c r="BA692" i="10"/>
  <c r="BA691" i="10"/>
  <c r="BA690" i="10"/>
  <c r="BA689" i="10"/>
  <c r="BA688" i="10"/>
  <c r="BA687" i="10"/>
  <c r="BA686" i="10"/>
  <c r="BA685" i="10"/>
  <c r="BA684" i="10"/>
  <c r="BA683" i="10"/>
  <c r="BA682" i="10"/>
  <c r="BA681" i="10"/>
  <c r="BA680" i="10"/>
  <c r="BA679" i="10"/>
  <c r="BA678" i="10"/>
  <c r="BA677" i="10"/>
  <c r="BA676" i="10"/>
  <c r="BA675" i="10"/>
  <c r="BA674" i="10"/>
  <c r="BA673" i="10"/>
  <c r="BA672" i="10"/>
  <c r="BA671" i="10"/>
  <c r="BA670" i="10"/>
  <c r="BA669" i="10"/>
  <c r="BA668" i="10"/>
  <c r="BA667" i="10"/>
  <c r="BA666" i="10"/>
  <c r="BA665" i="10"/>
  <c r="BA664" i="10"/>
  <c r="BA663" i="10"/>
  <c r="BA662" i="10"/>
  <c r="BA661" i="10"/>
  <c r="BA660" i="10"/>
  <c r="BA659" i="10"/>
  <c r="BA658" i="10"/>
  <c r="BA657" i="10"/>
  <c r="BA656" i="10"/>
  <c r="BA655" i="10"/>
  <c r="BA654" i="10"/>
  <c r="BA653" i="10"/>
  <c r="BA652" i="10"/>
  <c r="BA651" i="10"/>
  <c r="BA650" i="10"/>
  <c r="BA649" i="10"/>
  <c r="BA648" i="10"/>
  <c r="BA647" i="10"/>
  <c r="BA646" i="10"/>
  <c r="BA645" i="10"/>
  <c r="BA644" i="10"/>
  <c r="BA643" i="10"/>
  <c r="BA642" i="10"/>
  <c r="BA641" i="10"/>
  <c r="BA640" i="10"/>
  <c r="BA639" i="10"/>
  <c r="BA638" i="10"/>
  <c r="BA637" i="10"/>
  <c r="BA636" i="10"/>
  <c r="BA635" i="10"/>
  <c r="BA634" i="10"/>
  <c r="BA633" i="10"/>
  <c r="BA632" i="10"/>
  <c r="BA631" i="10"/>
  <c r="BA630" i="10"/>
  <c r="BA629" i="10"/>
  <c r="BA628" i="10"/>
  <c r="BA627" i="10"/>
  <c r="BA626" i="10"/>
  <c r="BA625" i="10"/>
  <c r="BA624" i="10"/>
  <c r="BA623" i="10"/>
  <c r="BA622" i="10"/>
  <c r="BA621" i="10"/>
  <c r="BA620" i="10"/>
  <c r="BA619" i="10"/>
  <c r="BA618" i="10"/>
  <c r="BA617" i="10"/>
  <c r="BA616" i="10"/>
  <c r="BA615" i="10"/>
  <c r="BA614" i="10"/>
  <c r="BA613" i="10"/>
  <c r="BA612" i="10"/>
  <c r="BA611" i="10"/>
  <c r="BA610" i="10"/>
  <c r="BA609" i="10"/>
  <c r="BA608" i="10"/>
  <c r="BA607" i="10"/>
  <c r="BA606" i="10"/>
  <c r="BA605" i="10"/>
  <c r="BA604" i="10"/>
  <c r="BA603" i="10"/>
  <c r="BA602" i="10"/>
  <c r="BA601" i="10"/>
  <c r="BA600" i="10"/>
  <c r="BA599" i="10"/>
  <c r="BA598" i="10"/>
  <c r="BA597" i="10"/>
  <c r="BA596" i="10"/>
  <c r="BA595" i="10"/>
  <c r="BA594" i="10"/>
  <c r="BA593" i="10"/>
  <c r="BA592" i="10"/>
  <c r="BA591" i="10"/>
  <c r="BA590" i="10"/>
  <c r="BA589" i="10"/>
  <c r="BA588" i="10"/>
  <c r="BA587" i="10"/>
  <c r="BA586" i="10"/>
  <c r="BA585" i="10"/>
  <c r="BA584" i="10"/>
  <c r="BA583" i="10"/>
  <c r="BA582" i="10"/>
  <c r="BA581" i="10"/>
  <c r="BA580" i="10"/>
  <c r="BA579" i="10"/>
  <c r="BA578" i="10"/>
  <c r="BA577" i="10"/>
  <c r="BA576" i="10"/>
  <c r="BA575" i="10"/>
  <c r="BA574" i="10"/>
  <c r="BA573" i="10"/>
  <c r="BA572" i="10"/>
  <c r="BA571" i="10"/>
  <c r="BA570" i="10"/>
  <c r="BA569" i="10"/>
  <c r="BA568" i="10"/>
  <c r="BA567" i="10"/>
  <c r="BA566" i="10"/>
  <c r="BA565" i="10"/>
  <c r="BA564" i="10"/>
  <c r="BA563" i="10"/>
  <c r="BA562" i="10"/>
  <c r="BA561" i="10"/>
  <c r="BA560" i="10"/>
  <c r="BA559" i="10"/>
  <c r="BA558" i="10"/>
  <c r="BA557" i="10"/>
  <c r="BA556" i="10"/>
  <c r="BA555" i="10"/>
  <c r="BA554" i="10"/>
  <c r="BA553" i="10"/>
  <c r="BA552" i="10"/>
  <c r="BA551" i="10"/>
  <c r="BA550" i="10"/>
  <c r="BA549" i="10"/>
  <c r="BA548" i="10"/>
  <c r="BA547" i="10"/>
  <c r="BA546" i="10"/>
  <c r="BA545" i="10"/>
  <c r="BA544" i="10"/>
  <c r="BA543" i="10"/>
  <c r="BA542" i="10"/>
  <c r="BA541" i="10"/>
  <c r="BA540" i="10"/>
  <c r="BA539" i="10"/>
  <c r="BA538" i="10"/>
  <c r="BA537" i="10"/>
  <c r="BA536" i="10"/>
  <c r="BA535" i="10"/>
  <c r="BA534" i="10"/>
  <c r="BA533" i="10"/>
  <c r="BA532" i="10"/>
  <c r="BA531" i="10"/>
  <c r="BA530" i="10"/>
  <c r="BA529" i="10"/>
  <c r="BA528" i="10"/>
  <c r="BA527" i="10"/>
  <c r="BA526" i="10"/>
  <c r="BA525" i="10"/>
  <c r="BA524" i="10"/>
  <c r="BA523" i="10"/>
  <c r="BA522" i="10"/>
  <c r="BA521" i="10"/>
  <c r="BA520" i="10"/>
  <c r="BA519" i="10"/>
  <c r="BA518" i="10"/>
  <c r="BA517" i="10"/>
  <c r="BA516" i="10"/>
  <c r="BA515" i="10"/>
  <c r="BA514" i="10"/>
  <c r="BA513" i="10"/>
  <c r="BA512" i="10"/>
  <c r="BA511" i="10"/>
  <c r="BA510" i="10"/>
  <c r="BA509" i="10"/>
  <c r="BA508" i="10"/>
  <c r="BA507" i="10"/>
  <c r="BA506" i="10"/>
  <c r="BA505" i="10"/>
  <c r="BA504" i="10"/>
  <c r="BA503" i="10"/>
  <c r="BA502" i="10"/>
  <c r="BA501" i="10"/>
  <c r="BA500" i="10"/>
  <c r="BA499" i="10"/>
  <c r="BA498" i="10"/>
  <c r="BA497" i="10"/>
  <c r="BA496" i="10"/>
  <c r="BA495" i="10"/>
  <c r="BA494" i="10"/>
  <c r="BA493" i="10"/>
  <c r="BA492" i="10"/>
  <c r="BA491" i="10"/>
  <c r="BA490" i="10"/>
  <c r="BA489" i="10"/>
  <c r="BA488" i="10"/>
  <c r="BA487" i="10"/>
  <c r="BA486" i="10"/>
  <c r="BA485" i="10"/>
  <c r="BA484" i="10"/>
  <c r="BA483" i="10"/>
  <c r="BA482" i="10"/>
  <c r="BA481" i="10"/>
  <c r="BA480" i="10"/>
  <c r="BA479" i="10"/>
  <c r="BA478" i="10"/>
  <c r="BA477" i="10"/>
  <c r="BA476" i="10"/>
  <c r="BA475" i="10"/>
  <c r="BA474" i="10"/>
  <c r="BA473" i="10"/>
  <c r="BA472" i="10"/>
  <c r="BA471" i="10"/>
  <c r="BA470" i="10"/>
  <c r="BA469" i="10"/>
  <c r="BA468" i="10"/>
  <c r="BA467" i="10"/>
  <c r="BA466" i="10"/>
  <c r="BA465" i="10"/>
  <c r="BA464" i="10"/>
  <c r="BA463" i="10"/>
  <c r="BA462" i="10"/>
  <c r="BA461" i="10"/>
  <c r="BA460" i="10"/>
  <c r="BA459" i="10"/>
  <c r="BA458" i="10"/>
  <c r="BA457" i="10"/>
  <c r="BA456" i="10"/>
  <c r="BA455" i="10"/>
  <c r="BA454" i="10"/>
  <c r="BA453" i="10"/>
  <c r="BA452" i="10"/>
  <c r="BA451" i="10"/>
  <c r="BA450" i="10"/>
  <c r="BA449" i="10"/>
  <c r="BA448" i="10"/>
  <c r="BA447" i="10"/>
  <c r="BA446" i="10"/>
  <c r="BA445" i="10"/>
  <c r="BA444" i="10"/>
  <c r="BA443" i="10"/>
  <c r="BA442" i="10"/>
  <c r="BA441" i="10"/>
  <c r="BA440" i="10"/>
  <c r="BA439" i="10"/>
  <c r="BA438" i="10"/>
  <c r="BA437" i="10"/>
  <c r="BA436" i="10"/>
  <c r="BA435" i="10"/>
  <c r="BA434" i="10"/>
  <c r="BA433" i="10"/>
  <c r="BA432" i="10"/>
  <c r="BA431" i="10"/>
  <c r="BA430" i="10"/>
  <c r="BA429" i="10"/>
  <c r="BA428" i="10"/>
  <c r="BA427" i="10"/>
  <c r="BA426" i="10"/>
  <c r="BA425" i="10"/>
  <c r="BA424" i="10"/>
  <c r="BA423" i="10"/>
  <c r="BA422" i="10"/>
  <c r="BA421" i="10"/>
  <c r="BA420" i="10"/>
  <c r="BA419" i="10"/>
  <c r="BA418" i="10"/>
  <c r="BA417" i="10"/>
  <c r="BA416" i="10"/>
  <c r="BA415" i="10"/>
  <c r="BA414" i="10"/>
  <c r="BA413" i="10"/>
  <c r="BA412" i="10"/>
  <c r="BA411" i="10"/>
  <c r="BA410" i="10"/>
  <c r="BA409" i="10"/>
  <c r="BA408" i="10"/>
  <c r="BA407" i="10"/>
  <c r="BA406" i="10"/>
  <c r="BA405" i="10"/>
  <c r="BA404" i="10"/>
  <c r="BA403" i="10"/>
  <c r="BA402" i="10"/>
  <c r="BA401" i="10"/>
  <c r="BA400" i="10"/>
  <c r="BA399" i="10"/>
  <c r="BA398" i="10"/>
  <c r="BA397" i="10"/>
  <c r="BA396" i="10"/>
  <c r="BA395" i="10"/>
  <c r="BA394" i="10"/>
  <c r="BA393" i="10"/>
  <c r="BA392" i="10"/>
  <c r="BA391" i="10"/>
  <c r="BA390" i="10"/>
  <c r="BA389" i="10"/>
  <c r="BA388" i="10"/>
  <c r="BA387" i="10"/>
  <c r="BA386" i="10"/>
  <c r="BA385" i="10"/>
  <c r="BA384" i="10"/>
  <c r="BA383" i="10"/>
  <c r="BA382" i="10"/>
  <c r="BA381" i="10"/>
  <c r="BA380" i="10"/>
  <c r="BA379" i="10"/>
  <c r="BA378" i="10"/>
  <c r="BA377" i="10"/>
  <c r="BA376" i="10"/>
  <c r="BA375" i="10"/>
  <c r="BA374" i="10"/>
  <c r="BA373" i="10"/>
  <c r="BA372" i="10"/>
  <c r="BA371" i="10"/>
  <c r="BA370" i="10"/>
  <c r="BA369" i="10"/>
  <c r="BA368" i="10"/>
  <c r="BA367" i="10"/>
  <c r="BA366" i="10"/>
  <c r="BA365" i="10"/>
  <c r="BA364" i="10"/>
  <c r="BA363" i="10"/>
  <c r="BA362" i="10"/>
  <c r="BA361" i="10"/>
  <c r="BA360" i="10"/>
  <c r="BA359" i="10"/>
  <c r="BA358" i="10"/>
  <c r="BA357" i="10"/>
  <c r="BA356" i="10"/>
  <c r="BA355" i="10"/>
  <c r="BA354" i="10"/>
  <c r="BA353" i="10"/>
  <c r="BA352" i="10"/>
  <c r="BA351" i="10"/>
  <c r="BA350" i="10"/>
  <c r="BA349" i="10"/>
  <c r="BA348" i="10"/>
  <c r="BA347" i="10"/>
  <c r="BA346" i="10"/>
  <c r="BA345" i="10"/>
  <c r="BA344" i="10"/>
  <c r="BA343" i="10"/>
  <c r="BA342" i="10"/>
  <c r="BA341" i="10"/>
  <c r="BA340" i="10"/>
  <c r="BA339" i="10"/>
  <c r="BA338" i="10"/>
  <c r="BA337" i="10"/>
  <c r="BA336" i="10"/>
  <c r="BA335" i="10"/>
  <c r="BA334" i="10"/>
  <c r="BA333" i="10"/>
  <c r="BA332" i="10"/>
  <c r="BA331" i="10"/>
  <c r="BA330" i="10"/>
  <c r="BA329" i="10"/>
  <c r="BA328" i="10"/>
  <c r="BA327" i="10"/>
  <c r="BA326" i="10"/>
  <c r="BA325" i="10"/>
  <c r="BA324" i="10"/>
  <c r="BA323" i="10"/>
  <c r="BA322" i="10"/>
  <c r="BA321" i="10"/>
  <c r="BA320" i="10"/>
  <c r="BA319" i="10"/>
  <c r="BA318" i="10"/>
  <c r="BA317" i="10"/>
  <c r="BA316" i="10"/>
  <c r="BA315" i="10"/>
  <c r="BA314" i="10"/>
  <c r="BA313" i="10"/>
  <c r="BA312" i="10"/>
  <c r="BA311" i="10"/>
  <c r="BA310" i="10"/>
  <c r="BA309" i="10"/>
  <c r="BA308" i="10"/>
  <c r="BA307" i="10"/>
  <c r="BA306" i="10"/>
  <c r="BA305" i="10"/>
  <c r="BA304" i="10"/>
  <c r="BA303" i="10"/>
  <c r="BA302" i="10"/>
  <c r="BA301" i="10"/>
  <c r="BA300" i="10"/>
  <c r="BA299" i="10"/>
  <c r="BA298" i="10"/>
  <c r="BA297" i="10"/>
  <c r="BA296" i="10"/>
  <c r="BA295" i="10"/>
  <c r="BA294" i="10"/>
  <c r="BA293" i="10"/>
  <c r="BA292" i="10"/>
  <c r="BA291" i="10"/>
  <c r="BA290" i="10"/>
  <c r="BA289" i="10"/>
  <c r="BA288" i="10"/>
  <c r="BA287" i="10"/>
  <c r="BA286" i="10"/>
  <c r="BA285" i="10"/>
  <c r="BA284" i="10"/>
  <c r="BA283" i="10"/>
  <c r="BA282" i="10"/>
  <c r="BA281" i="10"/>
  <c r="BA280" i="10"/>
  <c r="BA279" i="10"/>
  <c r="BA278" i="10"/>
  <c r="BA277" i="10"/>
  <c r="BA276" i="10"/>
  <c r="BA275" i="10"/>
  <c r="BA274" i="10"/>
  <c r="BA273" i="10"/>
  <c r="BA272" i="10"/>
  <c r="BA271" i="10"/>
  <c r="BA270" i="10"/>
  <c r="BA269" i="10"/>
  <c r="BA268" i="10"/>
  <c r="BA267" i="10"/>
  <c r="BA266" i="10"/>
  <c r="BA265" i="10"/>
  <c r="BA264" i="10"/>
  <c r="BA263" i="10"/>
  <c r="BA262" i="10"/>
  <c r="BA261" i="10"/>
  <c r="BA260" i="10"/>
  <c r="BA259" i="10"/>
  <c r="BA258" i="10"/>
  <c r="BA257" i="10"/>
  <c r="BA256" i="10"/>
  <c r="BA255" i="10"/>
  <c r="BA254" i="10"/>
  <c r="BA253" i="10"/>
  <c r="BA252" i="10"/>
  <c r="BA251" i="10"/>
  <c r="BA250" i="10"/>
  <c r="BA249" i="10"/>
  <c r="BA248" i="10"/>
  <c r="BA247" i="10"/>
  <c r="BA246" i="10"/>
  <c r="BA245" i="10"/>
  <c r="BA244" i="10"/>
  <c r="BA243" i="10"/>
  <c r="BA242" i="10"/>
  <c r="BA241" i="10"/>
  <c r="BA240" i="10"/>
  <c r="BA239" i="10"/>
  <c r="BA238" i="10"/>
  <c r="BA237" i="10"/>
  <c r="BA236" i="10"/>
  <c r="BA235" i="10"/>
  <c r="BA234" i="10"/>
  <c r="BA233" i="10"/>
  <c r="BA232" i="10"/>
  <c r="BA231" i="10"/>
  <c r="BA230" i="10"/>
  <c r="BA229" i="10"/>
  <c r="BA228" i="10"/>
  <c r="BA227" i="10"/>
  <c r="BA226" i="10"/>
  <c r="BA225" i="10"/>
  <c r="BA224" i="10"/>
  <c r="BA223" i="10"/>
  <c r="BA222" i="10"/>
  <c r="BA221" i="10"/>
  <c r="BA220" i="10"/>
  <c r="BA219" i="10"/>
  <c r="BA218" i="10"/>
  <c r="BA217" i="10"/>
  <c r="BA216" i="10"/>
  <c r="BA215" i="10"/>
  <c r="BA214" i="10"/>
  <c r="BA213" i="10"/>
  <c r="BA212" i="10"/>
  <c r="BA211" i="10"/>
  <c r="BA210" i="10"/>
  <c r="BA209" i="10"/>
  <c r="BA208" i="10"/>
  <c r="BA207" i="10"/>
  <c r="BA206" i="10"/>
  <c r="BA205" i="10"/>
  <c r="BA204" i="10"/>
  <c r="BA203" i="10"/>
  <c r="BA202" i="10"/>
  <c r="BA201" i="10"/>
  <c r="BA200" i="10"/>
  <c r="BA199" i="10"/>
  <c r="BA198" i="10"/>
  <c r="BA197" i="10"/>
  <c r="BA196" i="10"/>
  <c r="BA195" i="10"/>
  <c r="BA194" i="10"/>
  <c r="BA193" i="10"/>
  <c r="BA192" i="10"/>
  <c r="BA191" i="10"/>
  <c r="BA190" i="10"/>
  <c r="BA189" i="10"/>
  <c r="BA188" i="10"/>
  <c r="BA187" i="10"/>
  <c r="BA186" i="10"/>
  <c r="BA185" i="10"/>
  <c r="BA184" i="10"/>
  <c r="BA183" i="10"/>
  <c r="BA182" i="10"/>
  <c r="BA181" i="10"/>
  <c r="BA180" i="10"/>
  <c r="BA179" i="10"/>
  <c r="BA178" i="10"/>
  <c r="BA177" i="10"/>
  <c r="BA176" i="10"/>
  <c r="BA175" i="10"/>
  <c r="BA174" i="10"/>
  <c r="BA173" i="10"/>
  <c r="BA172" i="10"/>
  <c r="BA171" i="10"/>
  <c r="BA170" i="10"/>
  <c r="BA169" i="10"/>
  <c r="BA168" i="10"/>
  <c r="BA167" i="10"/>
  <c r="BA166" i="10"/>
  <c r="BA165" i="10"/>
  <c r="BA164" i="10"/>
  <c r="BA163" i="10"/>
  <c r="BA162" i="10"/>
  <c r="BA161" i="10"/>
  <c r="BA160" i="10"/>
  <c r="BA159" i="10"/>
  <c r="BA158" i="10"/>
  <c r="BA157" i="10"/>
  <c r="BA156" i="10"/>
  <c r="BA155" i="10"/>
  <c r="BA154" i="10"/>
  <c r="BA153" i="10"/>
  <c r="BA152" i="10"/>
  <c r="BA151" i="10"/>
  <c r="BA150" i="10"/>
  <c r="BA149" i="10"/>
  <c r="BA148" i="10"/>
  <c r="BA147" i="10"/>
  <c r="BA146" i="10"/>
  <c r="BA145" i="10"/>
  <c r="BA144" i="10"/>
  <c r="BA143" i="10"/>
  <c r="BA142" i="10"/>
  <c r="BA141" i="10"/>
  <c r="BA140" i="10"/>
  <c r="BA139" i="10"/>
  <c r="BA138" i="10"/>
  <c r="BA137" i="10"/>
  <c r="BA136" i="10"/>
  <c r="BA135" i="10"/>
  <c r="BA134" i="10"/>
  <c r="BA133" i="10"/>
  <c r="BA132" i="10"/>
  <c r="BA131" i="10"/>
  <c r="BA130" i="10"/>
  <c r="BA129" i="10"/>
  <c r="BA128" i="10"/>
  <c r="BA127" i="10"/>
  <c r="BA126" i="10"/>
  <c r="BA125" i="10"/>
  <c r="BA124" i="10"/>
  <c r="BA123" i="10"/>
  <c r="BA122" i="10"/>
  <c r="BA121" i="10"/>
  <c r="BA120" i="10"/>
  <c r="BA119" i="10"/>
  <c r="BA118" i="10"/>
  <c r="BA117" i="10"/>
  <c r="BA116" i="10"/>
  <c r="BA115" i="10"/>
  <c r="BA114" i="10"/>
  <c r="BA113" i="10"/>
  <c r="BA112" i="10"/>
  <c r="BA111" i="10"/>
  <c r="BA110" i="10"/>
  <c r="BA109" i="10"/>
  <c r="BA108" i="10"/>
  <c r="BA107" i="10"/>
  <c r="BA106" i="10"/>
  <c r="BA105" i="10"/>
  <c r="BA104" i="10"/>
  <c r="BA103" i="10"/>
  <c r="BA102" i="10"/>
  <c r="BA101" i="10"/>
  <c r="BA100" i="10"/>
  <c r="BA99" i="10"/>
  <c r="BA98" i="10"/>
  <c r="BA97" i="10"/>
  <c r="BA96" i="10"/>
  <c r="BA95" i="10"/>
  <c r="BA94" i="10"/>
  <c r="BA93" i="10"/>
  <c r="BA92" i="10"/>
  <c r="BA91" i="10"/>
  <c r="BA90" i="10"/>
  <c r="BA89" i="10"/>
  <c r="BA88" i="10"/>
  <c r="BA87" i="10"/>
  <c r="BA86" i="10"/>
  <c r="BA85" i="10"/>
  <c r="BA84" i="10"/>
  <c r="BA83" i="10"/>
  <c r="BA82" i="10"/>
  <c r="BA81" i="10"/>
  <c r="BA80" i="10"/>
  <c r="BA79" i="10"/>
  <c r="BA78" i="10"/>
  <c r="BA77" i="10"/>
  <c r="BA76" i="10"/>
  <c r="BA75" i="10"/>
  <c r="BA74" i="10"/>
  <c r="BA73" i="10"/>
  <c r="BA72" i="10"/>
  <c r="BA71" i="10"/>
  <c r="BA70" i="10"/>
  <c r="BA69" i="10"/>
  <c r="BA68" i="10"/>
  <c r="BA67" i="10"/>
  <c r="BA66" i="10"/>
  <c r="BA65" i="10"/>
  <c r="BA64" i="10"/>
  <c r="BA63" i="10"/>
  <c r="BA62" i="10"/>
  <c r="BA61" i="10"/>
  <c r="BA60" i="10"/>
  <c r="BA59" i="10"/>
  <c r="BA58" i="10"/>
  <c r="BA57" i="10"/>
  <c r="BA56" i="10"/>
  <c r="BA55" i="10"/>
  <c r="BA54" i="10"/>
  <c r="BA53" i="10"/>
  <c r="BA52" i="10"/>
  <c r="BA51" i="10"/>
  <c r="BA50" i="10"/>
  <c r="BA49" i="10"/>
  <c r="BA48" i="10"/>
  <c r="BA47" i="10"/>
  <c r="BA46" i="10"/>
  <c r="BA45" i="10"/>
  <c r="BA44" i="10"/>
  <c r="BA43" i="10"/>
  <c r="BA42" i="10"/>
  <c r="BA41" i="10"/>
  <c r="BA40" i="10"/>
  <c r="BA39" i="10"/>
  <c r="BA38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BA6" i="10"/>
  <c r="AB6" i="10"/>
  <c r="BA5" i="10"/>
  <c r="AB5" i="10"/>
  <c r="BA4" i="10"/>
  <c r="BA3" i="10"/>
  <c r="S47" i="3"/>
  <c r="S46" i="3"/>
  <c r="S45" i="3"/>
  <c r="S44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D16" i="9"/>
  <c r="C16" i="9"/>
  <c r="D15" i="9"/>
  <c r="C15" i="9"/>
  <c r="D14" i="9"/>
  <c r="C14" i="9"/>
  <c r="AN13" i="9"/>
  <c r="AM13" i="9"/>
  <c r="AL13" i="9"/>
  <c r="AJ13" i="9"/>
  <c r="AN12" i="9"/>
  <c r="AM12" i="9"/>
  <c r="AL12" i="9"/>
  <c r="AJ12" i="9"/>
  <c r="AN11" i="9"/>
  <c r="AM11" i="9"/>
  <c r="AL11" i="9"/>
  <c r="AJ11" i="9"/>
  <c r="AN10" i="9"/>
  <c r="AM10" i="9"/>
  <c r="AL10" i="9"/>
  <c r="AJ10" i="9"/>
  <c r="AN9" i="9"/>
  <c r="AM9" i="9"/>
  <c r="AL9" i="9"/>
  <c r="AJ9" i="9"/>
  <c r="AN8" i="9"/>
  <c r="AM8" i="9"/>
  <c r="AL8" i="9"/>
  <c r="AJ8" i="9"/>
  <c r="AX7" i="9"/>
  <c r="M12" i="8" s="1"/>
  <c r="AN7" i="9"/>
  <c r="AM7" i="9"/>
  <c r="AL7" i="9"/>
  <c r="AJ7" i="9"/>
  <c r="E7" i="9"/>
  <c r="C7" i="9"/>
  <c r="B7" i="9"/>
  <c r="AN6" i="9"/>
  <c r="AM6" i="9"/>
  <c r="AL6" i="9"/>
  <c r="AJ6" i="9"/>
  <c r="E6" i="9"/>
  <c r="C6" i="9"/>
  <c r="B6" i="9"/>
  <c r="AN5" i="9"/>
  <c r="AM5" i="9"/>
  <c r="AL5" i="9"/>
  <c r="AJ5" i="9"/>
  <c r="E5" i="9"/>
  <c r="G5" i="9" s="1"/>
  <c r="C5" i="9"/>
  <c r="B5" i="9"/>
  <c r="AN4" i="9"/>
  <c r="AM4" i="9"/>
  <c r="AL4" i="9"/>
  <c r="AJ4" i="9"/>
  <c r="E4" i="9"/>
  <c r="C4" i="9"/>
  <c r="B4" i="9"/>
  <c r="D4" i="9" s="1"/>
  <c r="AN3" i="9"/>
  <c r="AM3" i="9"/>
  <c r="AL3" i="9"/>
  <c r="AJ3" i="9"/>
  <c r="E3" i="9"/>
  <c r="G3" i="9" s="1"/>
  <c r="H3" i="9" s="1"/>
  <c r="C3" i="9"/>
  <c r="B3" i="9"/>
  <c r="AN2" i="9"/>
  <c r="AM2" i="9"/>
  <c r="AL2" i="9"/>
  <c r="AJ2" i="9"/>
  <c r="AI2" i="9"/>
  <c r="P2" i="9"/>
  <c r="J2" i="9"/>
  <c r="L17" i="8"/>
  <c r="K17" i="8"/>
  <c r="F16" i="8"/>
  <c r="F15" i="8"/>
  <c r="F14" i="8"/>
  <c r="F13" i="8"/>
  <c r="F12" i="8"/>
  <c r="E11" i="8"/>
  <c r="A11" i="8"/>
  <c r="A7" i="8"/>
  <c r="A678" i="13" l="1" a="1"/>
  <c r="A678" i="13" s="1"/>
  <c r="E96" i="13" a="1"/>
  <c r="E96" i="13" s="1"/>
  <c r="F96" i="13" a="1"/>
  <c r="F96" i="13" s="1"/>
  <c r="A96" i="13" a="1"/>
  <c r="A96" i="13" s="1"/>
  <c r="C96" i="13" a="1"/>
  <c r="C96" i="13" s="1"/>
  <c r="B96" i="13" a="1"/>
  <c r="B96" i="13" s="1"/>
  <c r="D96" i="13" a="1"/>
  <c r="D96" i="13" s="1"/>
  <c r="G96" i="13" a="1"/>
  <c r="G96" i="13" s="1"/>
  <c r="C12" i="13" a="1"/>
  <c r="C12" i="13" s="1"/>
  <c r="E12" i="13" a="1"/>
  <c r="E12" i="13" s="1"/>
  <c r="D12" i="13" a="1"/>
  <c r="D12" i="13" s="1"/>
  <c r="G12" i="13" a="1"/>
  <c r="G12" i="13" s="1"/>
  <c r="A12" i="13" a="1"/>
  <c r="A12" i="13" s="1"/>
  <c r="F12" i="13" a="1"/>
  <c r="F12" i="13" s="1"/>
  <c r="B12" i="13" a="1"/>
  <c r="B12" i="13" s="1"/>
  <c r="E16" i="13" a="1"/>
  <c r="E16" i="13" s="1"/>
  <c r="G16" i="13" a="1"/>
  <c r="G16" i="13" s="1"/>
  <c r="D16" i="13" a="1"/>
  <c r="D16" i="13" s="1"/>
  <c r="C16" i="13" a="1"/>
  <c r="C16" i="13" s="1"/>
  <c r="A16" i="13" a="1"/>
  <c r="A16" i="13" s="1"/>
  <c r="F16" i="13" a="1"/>
  <c r="F16" i="13" s="1"/>
  <c r="B16" i="13" a="1"/>
  <c r="B16" i="13" s="1"/>
  <c r="E35" i="13" a="1"/>
  <c r="E35" i="13" s="1"/>
  <c r="F35" i="13" a="1"/>
  <c r="F35" i="13" s="1"/>
  <c r="C35" i="13" a="1"/>
  <c r="C35" i="13" s="1"/>
  <c r="D35" i="13" a="1"/>
  <c r="D35" i="13" s="1"/>
  <c r="A35" i="13" a="1"/>
  <c r="A35" i="13" s="1"/>
  <c r="G35" i="13" a="1"/>
  <c r="G35" i="13" s="1"/>
  <c r="B35" i="13" a="1"/>
  <c r="B35" i="13" s="1"/>
  <c r="E43" i="13" a="1"/>
  <c r="E43" i="13" s="1"/>
  <c r="A43" i="13" a="1"/>
  <c r="A43" i="13" s="1"/>
  <c r="B43" i="13" a="1"/>
  <c r="B43" i="13" s="1"/>
  <c r="D43" i="13" a="1"/>
  <c r="D43" i="13" s="1"/>
  <c r="F43" i="13" a="1"/>
  <c r="F43" i="13" s="1"/>
  <c r="C43" i="13" a="1"/>
  <c r="C43" i="13" s="1"/>
  <c r="G43" i="13" a="1"/>
  <c r="G43" i="13" s="1"/>
  <c r="E51" i="13" a="1"/>
  <c r="E51" i="13" s="1"/>
  <c r="B51" i="13" a="1"/>
  <c r="B51" i="13" s="1"/>
  <c r="A51" i="13" a="1"/>
  <c r="A51" i="13" s="1"/>
  <c r="F51" i="13" a="1"/>
  <c r="F51" i="13" s="1"/>
  <c r="D51" i="13" a="1"/>
  <c r="D51" i="13" s="1"/>
  <c r="C51" i="13" a="1"/>
  <c r="C51" i="13" s="1"/>
  <c r="G51" i="13" a="1"/>
  <c r="G51" i="13" s="1"/>
  <c r="G59" i="13" a="1"/>
  <c r="G59" i="13" s="1"/>
  <c r="D59" i="13" a="1"/>
  <c r="D59" i="13" s="1"/>
  <c r="C59" i="13" a="1"/>
  <c r="C59" i="13" s="1"/>
  <c r="A59" i="13" a="1"/>
  <c r="A59" i="13" s="1"/>
  <c r="E59" i="13" a="1"/>
  <c r="E59" i="13" s="1"/>
  <c r="F59" i="13" a="1"/>
  <c r="F59" i="13" s="1"/>
  <c r="B59" i="13" a="1"/>
  <c r="B59" i="13" s="1"/>
  <c r="D67" i="13" a="1"/>
  <c r="D67" i="13" s="1"/>
  <c r="A67" i="13" a="1"/>
  <c r="A67" i="13" s="1"/>
  <c r="B67" i="13" a="1"/>
  <c r="B67" i="13" s="1"/>
  <c r="C67" i="13" a="1"/>
  <c r="C67" i="13" s="1"/>
  <c r="G67" i="13" a="1"/>
  <c r="G67" i="13" s="1"/>
  <c r="E67" i="13" a="1"/>
  <c r="E67" i="13" s="1"/>
  <c r="F67" i="13" a="1"/>
  <c r="F67" i="13" s="1"/>
  <c r="A75" i="13" a="1"/>
  <c r="A75" i="13" s="1"/>
  <c r="F75" i="13" a="1"/>
  <c r="F75" i="13" s="1"/>
  <c r="E75" i="13" a="1"/>
  <c r="E75" i="13" s="1"/>
  <c r="D75" i="13" a="1"/>
  <c r="D75" i="13" s="1"/>
  <c r="B75" i="13" a="1"/>
  <c r="B75" i="13" s="1"/>
  <c r="C75" i="13" a="1"/>
  <c r="C75" i="13" s="1"/>
  <c r="G75" i="13" a="1"/>
  <c r="G75" i="13" s="1"/>
  <c r="D83" i="13" a="1"/>
  <c r="D83" i="13" s="1"/>
  <c r="B83" i="13" a="1"/>
  <c r="B83" i="13" s="1"/>
  <c r="C83" i="13" a="1"/>
  <c r="C83" i="13" s="1"/>
  <c r="F83" i="13" a="1"/>
  <c r="F83" i="13" s="1"/>
  <c r="G83" i="13" a="1"/>
  <c r="G83" i="13" s="1"/>
  <c r="E83" i="13" a="1"/>
  <c r="E83" i="13" s="1"/>
  <c r="A83" i="13" a="1"/>
  <c r="A83" i="13" s="1"/>
  <c r="F91" i="13" a="1"/>
  <c r="F91" i="13" s="1"/>
  <c r="A91" i="13" a="1"/>
  <c r="A91" i="13" s="1"/>
  <c r="D91" i="13" a="1"/>
  <c r="D91" i="13" s="1"/>
  <c r="C91" i="13" a="1"/>
  <c r="C91" i="13" s="1"/>
  <c r="E91" i="13" a="1"/>
  <c r="E91" i="13" s="1"/>
  <c r="B91" i="13" a="1"/>
  <c r="B91" i="13" s="1"/>
  <c r="G91" i="13" a="1"/>
  <c r="G91" i="13" s="1"/>
  <c r="G99" i="13" a="1"/>
  <c r="G99" i="13" s="1"/>
  <c r="A99" i="13" a="1"/>
  <c r="A99" i="13" s="1"/>
  <c r="C99" i="13" a="1"/>
  <c r="C99" i="13" s="1"/>
  <c r="B99" i="13" a="1"/>
  <c r="B99" i="13" s="1"/>
  <c r="D99" i="13" a="1"/>
  <c r="D99" i="13" s="1"/>
  <c r="E99" i="13" a="1"/>
  <c r="E99" i="13" s="1"/>
  <c r="F99" i="13" a="1"/>
  <c r="F99" i="13" s="1"/>
  <c r="C107" i="13" a="1"/>
  <c r="C107" i="13" s="1"/>
  <c r="F107" i="13" a="1"/>
  <c r="F107" i="13" s="1"/>
  <c r="G107" i="13" a="1"/>
  <c r="G107" i="13" s="1"/>
  <c r="A107" i="13" a="1"/>
  <c r="A107" i="13" s="1"/>
  <c r="E107" i="13" a="1"/>
  <c r="E107" i="13" s="1"/>
  <c r="D107" i="13" a="1"/>
  <c r="D107" i="13" s="1"/>
  <c r="B107" i="13" a="1"/>
  <c r="B107" i="13" s="1"/>
  <c r="C115" i="13" a="1"/>
  <c r="C115" i="13" s="1"/>
  <c r="D115" i="13" a="1"/>
  <c r="D115" i="13" s="1"/>
  <c r="G115" i="13" a="1"/>
  <c r="G115" i="13" s="1"/>
  <c r="E115" i="13" a="1"/>
  <c r="E115" i="13" s="1"/>
  <c r="A115" i="13" a="1"/>
  <c r="A115" i="13" s="1"/>
  <c r="B115" i="13" a="1"/>
  <c r="B115" i="13" s="1"/>
  <c r="F115" i="13" a="1"/>
  <c r="F115" i="13" s="1"/>
  <c r="B123" i="13" a="1"/>
  <c r="B123" i="13" s="1"/>
  <c r="E123" i="13" a="1"/>
  <c r="E123" i="13" s="1"/>
  <c r="A123" i="13" a="1"/>
  <c r="A123" i="13" s="1"/>
  <c r="F123" i="13" a="1"/>
  <c r="F123" i="13" s="1"/>
  <c r="G123" i="13" a="1"/>
  <c r="G123" i="13" s="1"/>
  <c r="C123" i="13" a="1"/>
  <c r="C123" i="13" s="1"/>
  <c r="D123" i="13" a="1"/>
  <c r="D123" i="13" s="1"/>
  <c r="F25" i="13" a="1"/>
  <c r="F25" i="13" s="1"/>
  <c r="B25" i="13" a="1"/>
  <c r="B25" i="13" s="1"/>
  <c r="A25" i="13" a="1"/>
  <c r="A25" i="13" s="1"/>
  <c r="C25" i="13" a="1"/>
  <c r="C25" i="13" s="1"/>
  <c r="D25" i="13" a="1"/>
  <c r="D25" i="13" s="1"/>
  <c r="E25" i="13" a="1"/>
  <c r="E25" i="13" s="1"/>
  <c r="G25" i="13" a="1"/>
  <c r="G25" i="13" s="1"/>
  <c r="B32" i="13" a="1"/>
  <c r="B32" i="13" s="1"/>
  <c r="C32" i="13" a="1"/>
  <c r="C32" i="13" s="1"/>
  <c r="A32" i="13" a="1"/>
  <c r="A32" i="13" s="1"/>
  <c r="G32" i="13" a="1"/>
  <c r="G32" i="13" s="1"/>
  <c r="E32" i="13" a="1"/>
  <c r="E32" i="13" s="1"/>
  <c r="F32" i="13" a="1"/>
  <c r="F32" i="13" s="1"/>
  <c r="D32" i="13" a="1"/>
  <c r="D32" i="13" s="1"/>
  <c r="G48" i="13" a="1"/>
  <c r="G48" i="13" s="1"/>
  <c r="E48" i="13" a="1"/>
  <c r="E48" i="13" s="1"/>
  <c r="F48" i="13" a="1"/>
  <c r="F48" i="13" s="1"/>
  <c r="B48" i="13" a="1"/>
  <c r="B48" i="13" s="1"/>
  <c r="D48" i="13" a="1"/>
  <c r="D48" i="13" s="1"/>
  <c r="C48" i="13" a="1"/>
  <c r="C48" i="13" s="1"/>
  <c r="A48" i="13" a="1"/>
  <c r="A48" i="13" s="1"/>
  <c r="E80" i="13" a="1"/>
  <c r="E80" i="13" s="1"/>
  <c r="B80" i="13" a="1"/>
  <c r="B80" i="13" s="1"/>
  <c r="F80" i="13" a="1"/>
  <c r="F80" i="13" s="1"/>
  <c r="D80" i="13" a="1"/>
  <c r="D80" i="13" s="1"/>
  <c r="A80" i="13" a="1"/>
  <c r="A80" i="13" s="1"/>
  <c r="C80" i="13" a="1"/>
  <c r="C80" i="13" s="1"/>
  <c r="G80" i="13" a="1"/>
  <c r="G80" i="13" s="1"/>
  <c r="B104" i="13" a="1"/>
  <c r="B104" i="13" s="1"/>
  <c r="D104" i="13" a="1"/>
  <c r="D104" i="13" s="1"/>
  <c r="C104" i="13" a="1"/>
  <c r="C104" i="13" s="1"/>
  <c r="A104" i="13" a="1"/>
  <c r="A104" i="13" s="1"/>
  <c r="G104" i="13" a="1"/>
  <c r="G104" i="13" s="1"/>
  <c r="E104" i="13" a="1"/>
  <c r="E104" i="13" s="1"/>
  <c r="F104" i="13" a="1"/>
  <c r="F104" i="13" s="1"/>
  <c r="G120" i="13" a="1"/>
  <c r="G120" i="13" s="1"/>
  <c r="B120" i="13" a="1"/>
  <c r="B120" i="13" s="1"/>
  <c r="D120" i="13" a="1"/>
  <c r="D120" i="13" s="1"/>
  <c r="C120" i="13" a="1"/>
  <c r="C120" i="13" s="1"/>
  <c r="A120" i="13" a="1"/>
  <c r="A120" i="13" s="1"/>
  <c r="E120" i="13" a="1"/>
  <c r="E120" i="13" s="1"/>
  <c r="F120" i="13" a="1"/>
  <c r="F120" i="13" s="1"/>
  <c r="I2" i="13"/>
  <c r="I1" i="13"/>
  <c r="F8" i="13" a="1"/>
  <c r="F8" i="13" s="1"/>
  <c r="C8" i="13" a="1"/>
  <c r="C8" i="13" s="1"/>
  <c r="A8" i="13" a="1"/>
  <c r="A8" i="13" s="1"/>
  <c r="G8" i="13" a="1"/>
  <c r="G8" i="13" s="1"/>
  <c r="E8" i="13" a="1"/>
  <c r="E8" i="13" s="1"/>
  <c r="D8" i="13" a="1"/>
  <c r="D8" i="13" s="1"/>
  <c r="B8" i="13" a="1"/>
  <c r="B8" i="13" s="1"/>
  <c r="D30" i="13" a="1"/>
  <c r="D30" i="13" s="1"/>
  <c r="E30" i="13" a="1"/>
  <c r="E30" i="13" s="1"/>
  <c r="C30" i="13" a="1"/>
  <c r="C30" i="13" s="1"/>
  <c r="F30" i="13" a="1"/>
  <c r="F30" i="13" s="1"/>
  <c r="B30" i="13" a="1"/>
  <c r="B30" i="13" s="1"/>
  <c r="G30" i="13" a="1"/>
  <c r="G30" i="13" s="1"/>
  <c r="A30" i="13" a="1"/>
  <c r="A30" i="13" s="1"/>
  <c r="B38" i="13" a="1"/>
  <c r="B38" i="13" s="1"/>
  <c r="G38" i="13" a="1"/>
  <c r="G38" i="13" s="1"/>
  <c r="F38" i="13" a="1"/>
  <c r="F38" i="13" s="1"/>
  <c r="C38" i="13" a="1"/>
  <c r="C38" i="13" s="1"/>
  <c r="D38" i="13" a="1"/>
  <c r="D38" i="13" s="1"/>
  <c r="A38" i="13" a="1"/>
  <c r="A38" i="13" s="1"/>
  <c r="E38" i="13" a="1"/>
  <c r="E38" i="13" s="1"/>
  <c r="A46" i="13" a="1"/>
  <c r="A46" i="13" s="1"/>
  <c r="B46" i="13" a="1"/>
  <c r="B46" i="13" s="1"/>
  <c r="E46" i="13" a="1"/>
  <c r="E46" i="13" s="1"/>
  <c r="F46" i="13" a="1"/>
  <c r="F46" i="13" s="1"/>
  <c r="D46" i="13" a="1"/>
  <c r="D46" i="13" s="1"/>
  <c r="C46" i="13" a="1"/>
  <c r="C46" i="13" s="1"/>
  <c r="G46" i="13" a="1"/>
  <c r="G46" i="13" s="1"/>
  <c r="B54" i="13" a="1"/>
  <c r="B54" i="13" s="1"/>
  <c r="E54" i="13" a="1"/>
  <c r="E54" i="13" s="1"/>
  <c r="G54" i="13" a="1"/>
  <c r="G54" i="13" s="1"/>
  <c r="D54" i="13" a="1"/>
  <c r="D54" i="13" s="1"/>
  <c r="F54" i="13" a="1"/>
  <c r="F54" i="13" s="1"/>
  <c r="C54" i="13" a="1"/>
  <c r="C54" i="13" s="1"/>
  <c r="A54" i="13" a="1"/>
  <c r="A54" i="13" s="1"/>
  <c r="A62" i="13" a="1"/>
  <c r="A62" i="13" s="1"/>
  <c r="C62" i="13" a="1"/>
  <c r="C62" i="13" s="1"/>
  <c r="B62" i="13" a="1"/>
  <c r="B62" i="13" s="1"/>
  <c r="F62" i="13" a="1"/>
  <c r="F62" i="13" s="1"/>
  <c r="G62" i="13" a="1"/>
  <c r="G62" i="13" s="1"/>
  <c r="E62" i="13" a="1"/>
  <c r="E62" i="13" s="1"/>
  <c r="D62" i="13" a="1"/>
  <c r="D62" i="13" s="1"/>
  <c r="D70" i="13" a="1"/>
  <c r="D70" i="13" s="1"/>
  <c r="A70" i="13" a="1"/>
  <c r="A70" i="13" s="1"/>
  <c r="G70" i="13" a="1"/>
  <c r="G70" i="13" s="1"/>
  <c r="B70" i="13" a="1"/>
  <c r="B70" i="13" s="1"/>
  <c r="E70" i="13" a="1"/>
  <c r="E70" i="13" s="1"/>
  <c r="C70" i="13" a="1"/>
  <c r="C70" i="13" s="1"/>
  <c r="F70" i="13" a="1"/>
  <c r="F70" i="13" s="1"/>
  <c r="F78" i="13" a="1"/>
  <c r="F78" i="13" s="1"/>
  <c r="G78" i="13" a="1"/>
  <c r="G78" i="13" s="1"/>
  <c r="C78" i="13" a="1"/>
  <c r="C78" i="13" s="1"/>
  <c r="B78" i="13" a="1"/>
  <c r="B78" i="13" s="1"/>
  <c r="A78" i="13" a="1"/>
  <c r="A78" i="13" s="1"/>
  <c r="D78" i="13" a="1"/>
  <c r="D78" i="13" s="1"/>
  <c r="E78" i="13" a="1"/>
  <c r="E78" i="13" s="1"/>
  <c r="F86" i="13" a="1"/>
  <c r="F86" i="13" s="1"/>
  <c r="B86" i="13" a="1"/>
  <c r="B86" i="13" s="1"/>
  <c r="E86" i="13" a="1"/>
  <c r="E86" i="13" s="1"/>
  <c r="G86" i="13" a="1"/>
  <c r="G86" i="13" s="1"/>
  <c r="A86" i="13" a="1"/>
  <c r="A86" i="13" s="1"/>
  <c r="C86" i="13" a="1"/>
  <c r="C86" i="13" s="1"/>
  <c r="D86" i="13" a="1"/>
  <c r="D86" i="13" s="1"/>
  <c r="F94" i="13" a="1"/>
  <c r="F94" i="13" s="1"/>
  <c r="A94" i="13" a="1"/>
  <c r="A94" i="13" s="1"/>
  <c r="B94" i="13" a="1"/>
  <c r="B94" i="13" s="1"/>
  <c r="G94" i="13" a="1"/>
  <c r="G94" i="13" s="1"/>
  <c r="C94" i="13" a="1"/>
  <c r="C94" i="13" s="1"/>
  <c r="D94" i="13" a="1"/>
  <c r="D94" i="13" s="1"/>
  <c r="E94" i="13" a="1"/>
  <c r="E94" i="13" s="1"/>
  <c r="D102" i="13" a="1"/>
  <c r="D102" i="13" s="1"/>
  <c r="E102" i="13" a="1"/>
  <c r="E102" i="13" s="1"/>
  <c r="G102" i="13" a="1"/>
  <c r="G102" i="13" s="1"/>
  <c r="C102" i="13" a="1"/>
  <c r="C102" i="13" s="1"/>
  <c r="A102" i="13" a="1"/>
  <c r="A102" i="13" s="1"/>
  <c r="F102" i="13" a="1"/>
  <c r="F102" i="13" s="1"/>
  <c r="B102" i="13" a="1"/>
  <c r="B102" i="13" s="1"/>
  <c r="C110" i="13" a="1"/>
  <c r="C110" i="13" s="1"/>
  <c r="G110" i="13" a="1"/>
  <c r="G110" i="13" s="1"/>
  <c r="D110" i="13" a="1"/>
  <c r="D110" i="13" s="1"/>
  <c r="A110" i="13" a="1"/>
  <c r="A110" i="13" s="1"/>
  <c r="E110" i="13" a="1"/>
  <c r="E110" i="13" s="1"/>
  <c r="B110" i="13" a="1"/>
  <c r="B110" i="13" s="1"/>
  <c r="F110" i="13" a="1"/>
  <c r="F110" i="13" s="1"/>
  <c r="B118" i="13" a="1"/>
  <c r="B118" i="13" s="1"/>
  <c r="G118" i="13" a="1"/>
  <c r="G118" i="13" s="1"/>
  <c r="D118" i="13" a="1"/>
  <c r="D118" i="13" s="1"/>
  <c r="E118" i="13" a="1"/>
  <c r="E118" i="13" s="1"/>
  <c r="A118" i="13" a="1"/>
  <c r="A118" i="13" s="1"/>
  <c r="F118" i="13" a="1"/>
  <c r="F118" i="13" s="1"/>
  <c r="C118" i="13" a="1"/>
  <c r="C118" i="13" s="1"/>
  <c r="D126" i="13" a="1"/>
  <c r="D126" i="13" s="1"/>
  <c r="G126" i="13" a="1"/>
  <c r="G126" i="13" s="1"/>
  <c r="A126" i="13" a="1"/>
  <c r="A126" i="13" s="1"/>
  <c r="C126" i="13" a="1"/>
  <c r="C126" i="13" s="1"/>
  <c r="E126" i="13" a="1"/>
  <c r="E126" i="13" s="1"/>
  <c r="B126" i="13" a="1"/>
  <c r="B126" i="13" s="1"/>
  <c r="F126" i="13" a="1"/>
  <c r="F126" i="13" s="1"/>
  <c r="A166" i="13" a="1"/>
  <c r="A166" i="13" s="1"/>
  <c r="G166" i="13" a="1"/>
  <c r="G166" i="13" s="1"/>
  <c r="F166" i="13" a="1"/>
  <c r="F166" i="13" s="1"/>
  <c r="E166" i="13" a="1"/>
  <c r="E166" i="13" s="1"/>
  <c r="D166" i="13" a="1"/>
  <c r="D166" i="13" s="1"/>
  <c r="C166" i="13" a="1"/>
  <c r="C166" i="13" s="1"/>
  <c r="B166" i="13" a="1"/>
  <c r="B166" i="13" s="1"/>
  <c r="F19" i="13" a="1"/>
  <c r="F19" i="13" s="1"/>
  <c r="E19" i="13" a="1"/>
  <c r="E19" i="13" s="1"/>
  <c r="C19" i="13" a="1"/>
  <c r="C19" i="13" s="1"/>
  <c r="G19" i="13" a="1"/>
  <c r="G19" i="13" s="1"/>
  <c r="B19" i="13" a="1"/>
  <c r="B19" i="13" s="1"/>
  <c r="D19" i="13" a="1"/>
  <c r="D19" i="13" s="1"/>
  <c r="A19" i="13" a="1"/>
  <c r="A19" i="13" s="1"/>
  <c r="D72" i="13" a="1"/>
  <c r="D72" i="13" s="1"/>
  <c r="A72" i="13" a="1"/>
  <c r="A72" i="13" s="1"/>
  <c r="B72" i="13" a="1"/>
  <c r="B72" i="13" s="1"/>
  <c r="F72" i="13" a="1"/>
  <c r="F72" i="13" s="1"/>
  <c r="G72" i="13" a="1"/>
  <c r="G72" i="13" s="1"/>
  <c r="E72" i="13" a="1"/>
  <c r="E72" i="13" s="1"/>
  <c r="C72" i="13" a="1"/>
  <c r="C72" i="13" s="1"/>
  <c r="F112" i="13" a="1"/>
  <c r="F112" i="13" s="1"/>
  <c r="B112" i="13" a="1"/>
  <c r="B112" i="13" s="1"/>
  <c r="G112" i="13" a="1"/>
  <c r="G112" i="13" s="1"/>
  <c r="E112" i="13" a="1"/>
  <c r="E112" i="13" s="1"/>
  <c r="A112" i="13" a="1"/>
  <c r="A112" i="13" s="1"/>
  <c r="C112" i="13" a="1"/>
  <c r="C112" i="13" s="1"/>
  <c r="D112" i="13" a="1"/>
  <c r="D112" i="13" s="1"/>
  <c r="D128" i="13" a="1"/>
  <c r="D128" i="13" s="1"/>
  <c r="E128" i="13" a="1"/>
  <c r="E128" i="13" s="1"/>
  <c r="G128" i="13" a="1"/>
  <c r="G128" i="13" s="1"/>
  <c r="F128" i="13" a="1"/>
  <c r="F128" i="13" s="1"/>
  <c r="C128" i="13" a="1"/>
  <c r="C128" i="13" s="1"/>
  <c r="A128" i="13" a="1"/>
  <c r="A128" i="13" s="1"/>
  <c r="B128" i="13" a="1"/>
  <c r="B128" i="13" s="1"/>
  <c r="D11" i="13" a="1"/>
  <c r="D11" i="13" s="1"/>
  <c r="F11" i="13" a="1"/>
  <c r="F11" i="13" s="1"/>
  <c r="A11" i="13" a="1"/>
  <c r="A11" i="13" s="1"/>
  <c r="E11" i="13" a="1"/>
  <c r="E11" i="13" s="1"/>
  <c r="G11" i="13" a="1"/>
  <c r="G11" i="13" s="1"/>
  <c r="C11" i="13" a="1"/>
  <c r="C11" i="13" s="1"/>
  <c r="B11" i="13" a="1"/>
  <c r="B11" i="13" s="1"/>
  <c r="D15" i="13" a="1"/>
  <c r="D15" i="13" s="1"/>
  <c r="G15" i="13" a="1"/>
  <c r="G15" i="13" s="1"/>
  <c r="F15" i="13" a="1"/>
  <c r="F15" i="13" s="1"/>
  <c r="A15" i="13" a="1"/>
  <c r="A15" i="13" s="1"/>
  <c r="E15" i="13" a="1"/>
  <c r="E15" i="13" s="1"/>
  <c r="C15" i="13" a="1"/>
  <c r="C15" i="13" s="1"/>
  <c r="B15" i="13" a="1"/>
  <c r="B15" i="13" s="1"/>
  <c r="E33" i="13" a="1"/>
  <c r="E33" i="13" s="1"/>
  <c r="F33" i="13" a="1"/>
  <c r="F33" i="13" s="1"/>
  <c r="D33" i="13" a="1"/>
  <c r="D33" i="13" s="1"/>
  <c r="C33" i="13" a="1"/>
  <c r="C33" i="13" s="1"/>
  <c r="A33" i="13" a="1"/>
  <c r="A33" i="13" s="1"/>
  <c r="B33" i="13" a="1"/>
  <c r="B33" i="13" s="1"/>
  <c r="G33" i="13" a="1"/>
  <c r="G33" i="13" s="1"/>
  <c r="E41" i="13" a="1"/>
  <c r="E41" i="13" s="1"/>
  <c r="B41" i="13" a="1"/>
  <c r="B41" i="13" s="1"/>
  <c r="A41" i="13" a="1"/>
  <c r="A41" i="13" s="1"/>
  <c r="F41" i="13" a="1"/>
  <c r="F41" i="13" s="1"/>
  <c r="G41" i="13" a="1"/>
  <c r="G41" i="13" s="1"/>
  <c r="D41" i="13" a="1"/>
  <c r="D41" i="13" s="1"/>
  <c r="C41" i="13" a="1"/>
  <c r="C41" i="13" s="1"/>
  <c r="A49" i="13" a="1"/>
  <c r="A49" i="13" s="1"/>
  <c r="F49" i="13" a="1"/>
  <c r="F49" i="13" s="1"/>
  <c r="E49" i="13" a="1"/>
  <c r="E49" i="13" s="1"/>
  <c r="D49" i="13" a="1"/>
  <c r="D49" i="13" s="1"/>
  <c r="B49" i="13" a="1"/>
  <c r="B49" i="13" s="1"/>
  <c r="C49" i="13" a="1"/>
  <c r="C49" i="13" s="1"/>
  <c r="G49" i="13" a="1"/>
  <c r="G49" i="13" s="1"/>
  <c r="D57" i="13" a="1"/>
  <c r="D57" i="13" s="1"/>
  <c r="B57" i="13" a="1"/>
  <c r="B57" i="13" s="1"/>
  <c r="F57" i="13" a="1"/>
  <c r="F57" i="13" s="1"/>
  <c r="G57" i="13" a="1"/>
  <c r="G57" i="13" s="1"/>
  <c r="E57" i="13" a="1"/>
  <c r="E57" i="13" s="1"/>
  <c r="A57" i="13" a="1"/>
  <c r="A57" i="13" s="1"/>
  <c r="C57" i="13" a="1"/>
  <c r="C57" i="13" s="1"/>
  <c r="E65" i="13" a="1"/>
  <c r="E65" i="13" s="1"/>
  <c r="F65" i="13" a="1"/>
  <c r="F65" i="13" s="1"/>
  <c r="D65" i="13" a="1"/>
  <c r="D65" i="13" s="1"/>
  <c r="A65" i="13" a="1"/>
  <c r="A65" i="13" s="1"/>
  <c r="B65" i="13" a="1"/>
  <c r="B65" i="13" s="1"/>
  <c r="G65" i="13" a="1"/>
  <c r="G65" i="13" s="1"/>
  <c r="C65" i="13" a="1"/>
  <c r="C65" i="13" s="1"/>
  <c r="B73" i="13" a="1"/>
  <c r="B73" i="13" s="1"/>
  <c r="A73" i="13" a="1"/>
  <c r="A73" i="13" s="1"/>
  <c r="C73" i="13" a="1"/>
  <c r="C73" i="13" s="1"/>
  <c r="D73" i="13" a="1"/>
  <c r="D73" i="13" s="1"/>
  <c r="E73" i="13" a="1"/>
  <c r="E73" i="13" s="1"/>
  <c r="F73" i="13" a="1"/>
  <c r="F73" i="13" s="1"/>
  <c r="G73" i="13" a="1"/>
  <c r="G73" i="13" s="1"/>
  <c r="C81" i="13" a="1"/>
  <c r="C81" i="13" s="1"/>
  <c r="F81" i="13" a="1"/>
  <c r="F81" i="13" s="1"/>
  <c r="A81" i="13" a="1"/>
  <c r="A81" i="13" s="1"/>
  <c r="B81" i="13" a="1"/>
  <c r="B81" i="13" s="1"/>
  <c r="D81" i="13" a="1"/>
  <c r="D81" i="13" s="1"/>
  <c r="E81" i="13" a="1"/>
  <c r="E81" i="13" s="1"/>
  <c r="G81" i="13" a="1"/>
  <c r="G81" i="13" s="1"/>
  <c r="G89" i="13" a="1"/>
  <c r="G89" i="13" s="1"/>
  <c r="E89" i="13" a="1"/>
  <c r="E89" i="13" s="1"/>
  <c r="C89" i="13" a="1"/>
  <c r="C89" i="13" s="1"/>
  <c r="A89" i="13" a="1"/>
  <c r="A89" i="13" s="1"/>
  <c r="D89" i="13" a="1"/>
  <c r="D89" i="13" s="1"/>
  <c r="B89" i="13" a="1"/>
  <c r="B89" i="13" s="1"/>
  <c r="F89" i="13" a="1"/>
  <c r="F89" i="13" s="1"/>
  <c r="E97" i="13" a="1"/>
  <c r="E97" i="13" s="1"/>
  <c r="D97" i="13" a="1"/>
  <c r="D97" i="13" s="1"/>
  <c r="F97" i="13" a="1"/>
  <c r="F97" i="13" s="1"/>
  <c r="C97" i="13" a="1"/>
  <c r="C97" i="13" s="1"/>
  <c r="B97" i="13" a="1"/>
  <c r="B97" i="13" s="1"/>
  <c r="G97" i="13" a="1"/>
  <c r="G97" i="13" s="1"/>
  <c r="A97" i="13" a="1"/>
  <c r="A97" i="13" s="1"/>
  <c r="B105" i="13" a="1"/>
  <c r="B105" i="13" s="1"/>
  <c r="D105" i="13" a="1"/>
  <c r="D105" i="13" s="1"/>
  <c r="A105" i="13" a="1"/>
  <c r="A105" i="13" s="1"/>
  <c r="E105" i="13" a="1"/>
  <c r="E105" i="13" s="1"/>
  <c r="G105" i="13" a="1"/>
  <c r="G105" i="13" s="1"/>
  <c r="C105" i="13" a="1"/>
  <c r="C105" i="13" s="1"/>
  <c r="F105" i="13" a="1"/>
  <c r="F105" i="13" s="1"/>
  <c r="D113" i="13" a="1"/>
  <c r="D113" i="13" s="1"/>
  <c r="B113" i="13" a="1"/>
  <c r="B113" i="13" s="1"/>
  <c r="E113" i="13" a="1"/>
  <c r="E113" i="13" s="1"/>
  <c r="A113" i="13" a="1"/>
  <c r="A113" i="13" s="1"/>
  <c r="C113" i="13" a="1"/>
  <c r="C113" i="13" s="1"/>
  <c r="F113" i="13" a="1"/>
  <c r="F113" i="13" s="1"/>
  <c r="G113" i="13" a="1"/>
  <c r="G113" i="13" s="1"/>
  <c r="B121" i="13" a="1"/>
  <c r="B121" i="13" s="1"/>
  <c r="C121" i="13" a="1"/>
  <c r="C121" i="13" s="1"/>
  <c r="D121" i="13" a="1"/>
  <c r="D121" i="13" s="1"/>
  <c r="E121" i="13" a="1"/>
  <c r="E121" i="13" s="1"/>
  <c r="F121" i="13" a="1"/>
  <c r="F121" i="13" s="1"/>
  <c r="G121" i="13" a="1"/>
  <c r="G121" i="13" s="1"/>
  <c r="A121" i="13" a="1"/>
  <c r="A121" i="13" s="1"/>
  <c r="A129" i="13" a="1"/>
  <c r="A129" i="13" s="1"/>
  <c r="B129" i="13" a="1"/>
  <c r="B129" i="13" s="1"/>
  <c r="D129" i="13" a="1"/>
  <c r="D129" i="13" s="1"/>
  <c r="E129" i="13" a="1"/>
  <c r="E129" i="13" s="1"/>
  <c r="G129" i="13" a="1"/>
  <c r="G129" i="13" s="1"/>
  <c r="F129" i="13" a="1"/>
  <c r="F129" i="13" s="1"/>
  <c r="C129" i="13" a="1"/>
  <c r="C129" i="13" s="1"/>
  <c r="E5" i="13" a="1"/>
  <c r="E5" i="13" s="1"/>
  <c r="F5" i="13" a="1"/>
  <c r="F5" i="13" s="1"/>
  <c r="C5" i="13" a="1"/>
  <c r="C5" i="13" s="1"/>
  <c r="A5" i="13" a="1"/>
  <c r="A5" i="13" s="1"/>
  <c r="G5" i="13" a="1"/>
  <c r="G5" i="13" s="1"/>
  <c r="B5" i="13" a="1"/>
  <c r="B5" i="13" s="1"/>
  <c r="D5" i="13" a="1"/>
  <c r="D5" i="13" s="1"/>
  <c r="G21" i="13" a="1"/>
  <c r="G21" i="13" s="1"/>
  <c r="F21" i="13" a="1"/>
  <c r="F21" i="13" s="1"/>
  <c r="C21" i="13" a="1"/>
  <c r="C21" i="13" s="1"/>
  <c r="D21" i="13" a="1"/>
  <c r="D21" i="13" s="1"/>
  <c r="E21" i="13" a="1"/>
  <c r="E21" i="13" s="1"/>
  <c r="B21" i="13" a="1"/>
  <c r="B21" i="13" s="1"/>
  <c r="A21" i="13" a="1"/>
  <c r="A21" i="13" s="1"/>
  <c r="G64" i="13" a="1"/>
  <c r="G64" i="13" s="1"/>
  <c r="E64" i="13" a="1"/>
  <c r="E64" i="13" s="1"/>
  <c r="D64" i="13" a="1"/>
  <c r="D64" i="13" s="1"/>
  <c r="A64" i="13" a="1"/>
  <c r="A64" i="13" s="1"/>
  <c r="B64" i="13" a="1"/>
  <c r="B64" i="13" s="1"/>
  <c r="C64" i="13" a="1"/>
  <c r="C64" i="13" s="1"/>
  <c r="F64" i="13" a="1"/>
  <c r="F64" i="13" s="1"/>
  <c r="F7" i="13" a="1"/>
  <c r="F7" i="13" s="1"/>
  <c r="E7" i="13" a="1"/>
  <c r="E7" i="13" s="1"/>
  <c r="A7" i="13" a="1"/>
  <c r="A7" i="13" s="1"/>
  <c r="C7" i="13" a="1"/>
  <c r="C7" i="13" s="1"/>
  <c r="D7" i="13" a="1"/>
  <c r="D7" i="13" s="1"/>
  <c r="B7" i="13" a="1"/>
  <c r="B7" i="13" s="1"/>
  <c r="E18" i="13" a="1"/>
  <c r="E18" i="13" s="1"/>
  <c r="G18" i="13" a="1"/>
  <c r="G18" i="13" s="1"/>
  <c r="B18" i="13" a="1"/>
  <c r="B18" i="13" s="1"/>
  <c r="F18" i="13" a="1"/>
  <c r="F18" i="13" s="1"/>
  <c r="A18" i="13" a="1"/>
  <c r="A18" i="13" s="1"/>
  <c r="C18" i="13" a="1"/>
  <c r="C18" i="13" s="1"/>
  <c r="D18" i="13" a="1"/>
  <c r="D18" i="13" s="1"/>
  <c r="E20" i="13" a="1"/>
  <c r="E20" i="13" s="1"/>
  <c r="C20" i="13" a="1"/>
  <c r="C20" i="13" s="1"/>
  <c r="F20" i="13" a="1"/>
  <c r="F20" i="13" s="1"/>
  <c r="A20" i="13" a="1"/>
  <c r="A20" i="13" s="1"/>
  <c r="B20" i="13" a="1"/>
  <c r="B20" i="13" s="1"/>
  <c r="D20" i="13" a="1"/>
  <c r="D20" i="13" s="1"/>
  <c r="G20" i="13" a="1"/>
  <c r="G20" i="13" s="1"/>
  <c r="C22" i="13" a="1"/>
  <c r="C22" i="13" s="1"/>
  <c r="G22" i="13" a="1"/>
  <c r="G22" i="13" s="1"/>
  <c r="E22" i="13" a="1"/>
  <c r="E22" i="13" s="1"/>
  <c r="D22" i="13" a="1"/>
  <c r="D22" i="13" s="1"/>
  <c r="F22" i="13" a="1"/>
  <c r="F22" i="13" s="1"/>
  <c r="A22" i="13" a="1"/>
  <c r="A22" i="13" s="1"/>
  <c r="B22" i="13" a="1"/>
  <c r="B22" i="13" s="1"/>
  <c r="C24" i="13" a="1"/>
  <c r="C24" i="13" s="1"/>
  <c r="E24" i="13" a="1"/>
  <c r="E24" i="13" s="1"/>
  <c r="A24" i="13" a="1"/>
  <c r="A24" i="13" s="1"/>
  <c r="D24" i="13" a="1"/>
  <c r="D24" i="13" s="1"/>
  <c r="B24" i="13" a="1"/>
  <c r="B24" i="13" s="1"/>
  <c r="G24" i="13" a="1"/>
  <c r="G24" i="13" s="1"/>
  <c r="F24" i="13" a="1"/>
  <c r="F24" i="13" s="1"/>
  <c r="D26" i="13" a="1"/>
  <c r="D26" i="13" s="1"/>
  <c r="E26" i="13" a="1"/>
  <c r="E26" i="13" s="1"/>
  <c r="C26" i="13" a="1"/>
  <c r="C26" i="13" s="1"/>
  <c r="A26" i="13" a="1"/>
  <c r="A26" i="13" s="1"/>
  <c r="G26" i="13" a="1"/>
  <c r="G26" i="13" s="1"/>
  <c r="B26" i="13" a="1"/>
  <c r="B26" i="13" s="1"/>
  <c r="F26" i="13" a="1"/>
  <c r="F26" i="13" s="1"/>
  <c r="D28" i="13" a="1"/>
  <c r="D28" i="13" s="1"/>
  <c r="G28" i="13" a="1"/>
  <c r="G28" i="13" s="1"/>
  <c r="C28" i="13" a="1"/>
  <c r="C28" i="13" s="1"/>
  <c r="A28" i="13" a="1"/>
  <c r="A28" i="13" s="1"/>
  <c r="F28" i="13" a="1"/>
  <c r="F28" i="13" s="1"/>
  <c r="E28" i="13" a="1"/>
  <c r="E28" i="13" s="1"/>
  <c r="B28" i="13" a="1"/>
  <c r="B28" i="13" s="1"/>
  <c r="G36" i="13" a="1"/>
  <c r="G36" i="13" s="1"/>
  <c r="D36" i="13" a="1"/>
  <c r="D36" i="13" s="1"/>
  <c r="A36" i="13" a="1"/>
  <c r="A36" i="13" s="1"/>
  <c r="C36" i="13" a="1"/>
  <c r="C36" i="13" s="1"/>
  <c r="B36" i="13" a="1"/>
  <c r="B36" i="13" s="1"/>
  <c r="F36" i="13" a="1"/>
  <c r="F36" i="13" s="1"/>
  <c r="E36" i="13" a="1"/>
  <c r="E36" i="13" s="1"/>
  <c r="F44" i="13" a="1"/>
  <c r="F44" i="13" s="1"/>
  <c r="G44" i="13" a="1"/>
  <c r="G44" i="13" s="1"/>
  <c r="E44" i="13" a="1"/>
  <c r="E44" i="13" s="1"/>
  <c r="B44" i="13" a="1"/>
  <c r="B44" i="13" s="1"/>
  <c r="C44" i="13" a="1"/>
  <c r="C44" i="13" s="1"/>
  <c r="A44" i="13" a="1"/>
  <c r="A44" i="13" s="1"/>
  <c r="D44" i="13" a="1"/>
  <c r="D44" i="13" s="1"/>
  <c r="B52" i="13" a="1"/>
  <c r="B52" i="13" s="1"/>
  <c r="A52" i="13" a="1"/>
  <c r="A52" i="13" s="1"/>
  <c r="F52" i="13" a="1"/>
  <c r="F52" i="13" s="1"/>
  <c r="G52" i="13" a="1"/>
  <c r="G52" i="13" s="1"/>
  <c r="C52" i="13" a="1"/>
  <c r="C52" i="13" s="1"/>
  <c r="D52" i="13" a="1"/>
  <c r="D52" i="13" s="1"/>
  <c r="E52" i="13" a="1"/>
  <c r="E52" i="13" s="1"/>
  <c r="D60" i="13" a="1"/>
  <c r="D60" i="13" s="1"/>
  <c r="G60" i="13" a="1"/>
  <c r="G60" i="13" s="1"/>
  <c r="E60" i="13" a="1"/>
  <c r="E60" i="13" s="1"/>
  <c r="F60" i="13" a="1"/>
  <c r="F60" i="13" s="1"/>
  <c r="B60" i="13" a="1"/>
  <c r="B60" i="13" s="1"/>
  <c r="A60" i="13" a="1"/>
  <c r="A60" i="13" s="1"/>
  <c r="C60" i="13" a="1"/>
  <c r="C60" i="13" s="1"/>
  <c r="C68" i="13" a="1"/>
  <c r="C68" i="13" s="1"/>
  <c r="A68" i="13" a="1"/>
  <c r="A68" i="13" s="1"/>
  <c r="D68" i="13" a="1"/>
  <c r="D68" i="13" s="1"/>
  <c r="B68" i="13" a="1"/>
  <c r="B68" i="13" s="1"/>
  <c r="G68" i="13" a="1"/>
  <c r="G68" i="13" s="1"/>
  <c r="E68" i="13" a="1"/>
  <c r="E68" i="13" s="1"/>
  <c r="F68" i="13" a="1"/>
  <c r="F68" i="13" s="1"/>
  <c r="C76" i="13" a="1"/>
  <c r="C76" i="13" s="1"/>
  <c r="F76" i="13" a="1"/>
  <c r="F76" i="13" s="1"/>
  <c r="G76" i="13" a="1"/>
  <c r="G76" i="13" s="1"/>
  <c r="E76" i="13" a="1"/>
  <c r="E76" i="13" s="1"/>
  <c r="B76" i="13" a="1"/>
  <c r="B76" i="13" s="1"/>
  <c r="D76" i="13" a="1"/>
  <c r="D76" i="13" s="1"/>
  <c r="A76" i="13" a="1"/>
  <c r="A76" i="13" s="1"/>
  <c r="C84" i="13" a="1"/>
  <c r="C84" i="13" s="1"/>
  <c r="F84" i="13" a="1"/>
  <c r="F84" i="13" s="1"/>
  <c r="B84" i="13" a="1"/>
  <c r="B84" i="13" s="1"/>
  <c r="A84" i="13" a="1"/>
  <c r="A84" i="13" s="1"/>
  <c r="G84" i="13" a="1"/>
  <c r="G84" i="13" s="1"/>
  <c r="E84" i="13" a="1"/>
  <c r="E84" i="13" s="1"/>
  <c r="D84" i="13" a="1"/>
  <c r="D84" i="13" s="1"/>
  <c r="E92" i="13" a="1"/>
  <c r="E92" i="13" s="1"/>
  <c r="C92" i="13" a="1"/>
  <c r="C92" i="13" s="1"/>
  <c r="F92" i="13" a="1"/>
  <c r="F92" i="13" s="1"/>
  <c r="D92" i="13" a="1"/>
  <c r="D92" i="13" s="1"/>
  <c r="B92" i="13" a="1"/>
  <c r="B92" i="13" s="1"/>
  <c r="A92" i="13" a="1"/>
  <c r="A92" i="13" s="1"/>
  <c r="G92" i="13" a="1"/>
  <c r="G92" i="13" s="1"/>
  <c r="B100" i="13" a="1"/>
  <c r="B100" i="13" s="1"/>
  <c r="G100" i="13" a="1"/>
  <c r="G100" i="13" s="1"/>
  <c r="C100" i="13" a="1"/>
  <c r="C100" i="13" s="1"/>
  <c r="F100" i="13" a="1"/>
  <c r="F100" i="13" s="1"/>
  <c r="D100" i="13" a="1"/>
  <c r="D100" i="13" s="1"/>
  <c r="E100" i="13" a="1"/>
  <c r="E100" i="13" s="1"/>
  <c r="A100" i="13" a="1"/>
  <c r="A100" i="13" s="1"/>
  <c r="D108" i="13" a="1"/>
  <c r="D108" i="13" s="1"/>
  <c r="G108" i="13" a="1"/>
  <c r="G108" i="13" s="1"/>
  <c r="F108" i="13" a="1"/>
  <c r="F108" i="13" s="1"/>
  <c r="C108" i="13" a="1"/>
  <c r="C108" i="13" s="1"/>
  <c r="A108" i="13" a="1"/>
  <c r="A108" i="13" s="1"/>
  <c r="E108" i="13" a="1"/>
  <c r="E108" i="13" s="1"/>
  <c r="B108" i="13" a="1"/>
  <c r="B108" i="13" s="1"/>
  <c r="C116" i="13" a="1"/>
  <c r="C116" i="13" s="1"/>
  <c r="B116" i="13" a="1"/>
  <c r="B116" i="13" s="1"/>
  <c r="A116" i="13" a="1"/>
  <c r="A116" i="13" s="1"/>
  <c r="F116" i="13" a="1"/>
  <c r="F116" i="13" s="1"/>
  <c r="G116" i="13" a="1"/>
  <c r="G116" i="13" s="1"/>
  <c r="E116" i="13" a="1"/>
  <c r="E116" i="13" s="1"/>
  <c r="D116" i="13" a="1"/>
  <c r="D116" i="13" s="1"/>
  <c r="E124" i="13" a="1"/>
  <c r="E124" i="13" s="1"/>
  <c r="F124" i="13" a="1"/>
  <c r="F124" i="13" s="1"/>
  <c r="B124" i="13" a="1"/>
  <c r="B124" i="13" s="1"/>
  <c r="D124" i="13" a="1"/>
  <c r="D124" i="13" s="1"/>
  <c r="C124" i="13" a="1"/>
  <c r="C124" i="13" s="1"/>
  <c r="G124" i="13" a="1"/>
  <c r="G124" i="13" s="1"/>
  <c r="A124" i="13" a="1"/>
  <c r="A124" i="13" s="1"/>
  <c r="G88" i="13" a="1"/>
  <c r="G88" i="13" s="1"/>
  <c r="E88" i="13" a="1"/>
  <c r="E88" i="13" s="1"/>
  <c r="C88" i="13" a="1"/>
  <c r="C88" i="13" s="1"/>
  <c r="D88" i="13" a="1"/>
  <c r="D88" i="13" s="1"/>
  <c r="B88" i="13" a="1"/>
  <c r="B88" i="13" s="1"/>
  <c r="A88" i="13" a="1"/>
  <c r="A88" i="13" s="1"/>
  <c r="F88" i="13" a="1"/>
  <c r="F88" i="13" s="1"/>
  <c r="B264" i="13" a="1"/>
  <c r="B264" i="13" s="1"/>
  <c r="A264" i="13" a="1"/>
  <c r="A264" i="13" s="1"/>
  <c r="C264" i="13" a="1"/>
  <c r="C264" i="13" s="1"/>
  <c r="D264" i="13" a="1"/>
  <c r="D264" i="13" s="1"/>
  <c r="G264" i="13" a="1"/>
  <c r="G264" i="13" s="1"/>
  <c r="D10" i="13" a="1"/>
  <c r="D10" i="13" s="1"/>
  <c r="B10" i="13" a="1"/>
  <c r="B10" i="13" s="1"/>
  <c r="C10" i="13" a="1"/>
  <c r="C10" i="13" s="1"/>
  <c r="A10" i="13" a="1"/>
  <c r="A10" i="13" s="1"/>
  <c r="F10" i="13" a="1"/>
  <c r="F10" i="13" s="1"/>
  <c r="E10" i="13" a="1"/>
  <c r="E10" i="13" s="1"/>
  <c r="G10" i="13" a="1"/>
  <c r="G10" i="13" s="1"/>
  <c r="C14" i="13" a="1"/>
  <c r="C14" i="13" s="1"/>
  <c r="G14" i="13" a="1"/>
  <c r="G14" i="13" s="1"/>
  <c r="F14" i="13" a="1"/>
  <c r="F14" i="13" s="1"/>
  <c r="E14" i="13" a="1"/>
  <c r="E14" i="13" s="1"/>
  <c r="A14" i="13" a="1"/>
  <c r="A14" i="13" s="1"/>
  <c r="D14" i="13" a="1"/>
  <c r="D14" i="13" s="1"/>
  <c r="B14" i="13" a="1"/>
  <c r="B14" i="13" s="1"/>
  <c r="D31" i="13" a="1"/>
  <c r="D31" i="13" s="1"/>
  <c r="A31" i="13" a="1"/>
  <c r="A31" i="13" s="1"/>
  <c r="G31" i="13" a="1"/>
  <c r="G31" i="13" s="1"/>
  <c r="E31" i="13" a="1"/>
  <c r="E31" i="13" s="1"/>
  <c r="C31" i="13" a="1"/>
  <c r="C31" i="13" s="1"/>
  <c r="F31" i="13" a="1"/>
  <c r="F31" i="13" s="1"/>
  <c r="B31" i="13" a="1"/>
  <c r="B31" i="13" s="1"/>
  <c r="B39" i="13" a="1"/>
  <c r="B39" i="13" s="1"/>
  <c r="D39" i="13" a="1"/>
  <c r="D39" i="13" s="1"/>
  <c r="C39" i="13" a="1"/>
  <c r="C39" i="13" s="1"/>
  <c r="A39" i="13" a="1"/>
  <c r="A39" i="13" s="1"/>
  <c r="G39" i="13" a="1"/>
  <c r="G39" i="13" s="1"/>
  <c r="E39" i="13" a="1"/>
  <c r="E39" i="13" s="1"/>
  <c r="F39" i="13" a="1"/>
  <c r="F39" i="13" s="1"/>
  <c r="D47" i="13" a="1"/>
  <c r="D47" i="13" s="1"/>
  <c r="B47" i="13" a="1"/>
  <c r="B47" i="13" s="1"/>
  <c r="C47" i="13" a="1"/>
  <c r="C47" i="13" s="1"/>
  <c r="G47" i="13" a="1"/>
  <c r="G47" i="13" s="1"/>
  <c r="E47" i="13" a="1"/>
  <c r="E47" i="13" s="1"/>
  <c r="F47" i="13" a="1"/>
  <c r="F47" i="13" s="1"/>
  <c r="A47" i="13" a="1"/>
  <c r="A47" i="13" s="1"/>
  <c r="G55" i="13" a="1"/>
  <c r="G55" i="13" s="1"/>
  <c r="A55" i="13" a="1"/>
  <c r="A55" i="13" s="1"/>
  <c r="F55" i="13" a="1"/>
  <c r="F55" i="13" s="1"/>
  <c r="D55" i="13" a="1"/>
  <c r="D55" i="13" s="1"/>
  <c r="B55" i="13" a="1"/>
  <c r="B55" i="13" s="1"/>
  <c r="C55" i="13" a="1"/>
  <c r="C55" i="13" s="1"/>
  <c r="E55" i="13" a="1"/>
  <c r="E55" i="13" s="1"/>
  <c r="A63" i="13" a="1"/>
  <c r="A63" i="13" s="1"/>
  <c r="C63" i="13" a="1"/>
  <c r="C63" i="13" s="1"/>
  <c r="D63" i="13" a="1"/>
  <c r="D63" i="13" s="1"/>
  <c r="F63" i="13" a="1"/>
  <c r="F63" i="13" s="1"/>
  <c r="G63" i="13" a="1"/>
  <c r="G63" i="13" s="1"/>
  <c r="E63" i="13" a="1"/>
  <c r="E63" i="13" s="1"/>
  <c r="B63" i="13" a="1"/>
  <c r="B63" i="13" s="1"/>
  <c r="F71" i="13" a="1"/>
  <c r="F71" i="13" s="1"/>
  <c r="G71" i="13" a="1"/>
  <c r="G71" i="13" s="1"/>
  <c r="C71" i="13" a="1"/>
  <c r="C71" i="13" s="1"/>
  <c r="B71" i="13" a="1"/>
  <c r="B71" i="13" s="1"/>
  <c r="A71" i="13" a="1"/>
  <c r="A71" i="13" s="1"/>
  <c r="E71" i="13" a="1"/>
  <c r="E71" i="13" s="1"/>
  <c r="D71" i="13" a="1"/>
  <c r="D71" i="13" s="1"/>
  <c r="A79" i="13" a="1"/>
  <c r="A79" i="13" s="1"/>
  <c r="D79" i="13" a="1"/>
  <c r="D79" i="13" s="1"/>
  <c r="C79" i="13" a="1"/>
  <c r="C79" i="13" s="1"/>
  <c r="G79" i="13" a="1"/>
  <c r="G79" i="13" s="1"/>
  <c r="E79" i="13" a="1"/>
  <c r="E79" i="13" s="1"/>
  <c r="B79" i="13" a="1"/>
  <c r="B79" i="13" s="1"/>
  <c r="F79" i="13" a="1"/>
  <c r="F79" i="13" s="1"/>
  <c r="C87" i="13" a="1"/>
  <c r="C87" i="13" s="1"/>
  <c r="D87" i="13" a="1"/>
  <c r="D87" i="13" s="1"/>
  <c r="B87" i="13" a="1"/>
  <c r="B87" i="13" s="1"/>
  <c r="E87" i="13" a="1"/>
  <c r="E87" i="13" s="1"/>
  <c r="F87" i="13" a="1"/>
  <c r="F87" i="13" s="1"/>
  <c r="G87" i="13" a="1"/>
  <c r="G87" i="13" s="1"/>
  <c r="A87" i="13" a="1"/>
  <c r="A87" i="13" s="1"/>
  <c r="D95" i="13" a="1"/>
  <c r="D95" i="13" s="1"/>
  <c r="B95" i="13" a="1"/>
  <c r="B95" i="13" s="1"/>
  <c r="E95" i="13" a="1"/>
  <c r="E95" i="13" s="1"/>
  <c r="F95" i="13" a="1"/>
  <c r="F95" i="13" s="1"/>
  <c r="A95" i="13" a="1"/>
  <c r="A95" i="13" s="1"/>
  <c r="C95" i="13" a="1"/>
  <c r="C95" i="13" s="1"/>
  <c r="G95" i="13" a="1"/>
  <c r="G95" i="13" s="1"/>
  <c r="D103" i="13" a="1"/>
  <c r="D103" i="13" s="1"/>
  <c r="G103" i="13" a="1"/>
  <c r="G103" i="13" s="1"/>
  <c r="F103" i="13" a="1"/>
  <c r="F103" i="13" s="1"/>
  <c r="A103" i="13" a="1"/>
  <c r="A103" i="13" s="1"/>
  <c r="E103" i="13" a="1"/>
  <c r="E103" i="13" s="1"/>
  <c r="C103" i="13" a="1"/>
  <c r="C103" i="13" s="1"/>
  <c r="B103" i="13" a="1"/>
  <c r="B103" i="13" s="1"/>
  <c r="E111" i="13" a="1"/>
  <c r="E111" i="13" s="1"/>
  <c r="A111" i="13" a="1"/>
  <c r="A111" i="13" s="1"/>
  <c r="B111" i="13" a="1"/>
  <c r="B111" i="13" s="1"/>
  <c r="G111" i="13" a="1"/>
  <c r="G111" i="13" s="1"/>
  <c r="D111" i="13" a="1"/>
  <c r="D111" i="13" s="1"/>
  <c r="C111" i="13" a="1"/>
  <c r="C111" i="13" s="1"/>
  <c r="F111" i="13" a="1"/>
  <c r="F111" i="13" s="1"/>
  <c r="A119" i="13" a="1"/>
  <c r="A119" i="13" s="1"/>
  <c r="E119" i="13" a="1"/>
  <c r="E119" i="13" s="1"/>
  <c r="F119" i="13" a="1"/>
  <c r="F119" i="13" s="1"/>
  <c r="B119" i="13" a="1"/>
  <c r="B119" i="13" s="1"/>
  <c r="G119" i="13" a="1"/>
  <c r="G119" i="13" s="1"/>
  <c r="D119" i="13" a="1"/>
  <c r="D119" i="13" s="1"/>
  <c r="C119" i="13" a="1"/>
  <c r="C119" i="13" s="1"/>
  <c r="E127" i="13" a="1"/>
  <c r="E127" i="13" s="1"/>
  <c r="B127" i="13" a="1"/>
  <c r="B127" i="13" s="1"/>
  <c r="C127" i="13" a="1"/>
  <c r="C127" i="13" s="1"/>
  <c r="A127" i="13" a="1"/>
  <c r="A127" i="13" s="1"/>
  <c r="G127" i="13" a="1"/>
  <c r="G127" i="13" s="1"/>
  <c r="F127" i="13" a="1"/>
  <c r="F127" i="13" s="1"/>
  <c r="D127" i="13" a="1"/>
  <c r="D127" i="13" s="1"/>
  <c r="G23" i="13" a="1"/>
  <c r="G23" i="13" s="1"/>
  <c r="E23" i="13" a="1"/>
  <c r="E23" i="13" s="1"/>
  <c r="D23" i="13" a="1"/>
  <c r="D23" i="13" s="1"/>
  <c r="B23" i="13" a="1"/>
  <c r="B23" i="13" s="1"/>
  <c r="C23" i="13" a="1"/>
  <c r="C23" i="13" s="1"/>
  <c r="F23" i="13" a="1"/>
  <c r="F23" i="13" s="1"/>
  <c r="A23" i="13" a="1"/>
  <c r="A23" i="13" s="1"/>
  <c r="D40" i="13" a="1"/>
  <c r="D40" i="13" s="1"/>
  <c r="A40" i="13" a="1"/>
  <c r="A40" i="13" s="1"/>
  <c r="G40" i="13" a="1"/>
  <c r="G40" i="13" s="1"/>
  <c r="E40" i="13" a="1"/>
  <c r="E40" i="13" s="1"/>
  <c r="F40" i="13" a="1"/>
  <c r="F40" i="13" s="1"/>
  <c r="B40" i="13" a="1"/>
  <c r="B40" i="13" s="1"/>
  <c r="C40" i="13" a="1"/>
  <c r="C40" i="13" s="1"/>
  <c r="B34" i="13" a="1"/>
  <c r="B34" i="13" s="1"/>
  <c r="G34" i="13" a="1"/>
  <c r="G34" i="13" s="1"/>
  <c r="F34" i="13" a="1"/>
  <c r="F34" i="13" s="1"/>
  <c r="A34" i="13" a="1"/>
  <c r="A34" i="13" s="1"/>
  <c r="D34" i="13" a="1"/>
  <c r="D34" i="13" s="1"/>
  <c r="C34" i="13" a="1"/>
  <c r="C34" i="13" s="1"/>
  <c r="E34" i="13" a="1"/>
  <c r="E34" i="13" s="1"/>
  <c r="F42" i="13" a="1"/>
  <c r="F42" i="13" s="1"/>
  <c r="G42" i="13" a="1"/>
  <c r="G42" i="13" s="1"/>
  <c r="D42" i="13" a="1"/>
  <c r="D42" i="13" s="1"/>
  <c r="E42" i="13" a="1"/>
  <c r="E42" i="13" s="1"/>
  <c r="A42" i="13" a="1"/>
  <c r="A42" i="13" s="1"/>
  <c r="B42" i="13" a="1"/>
  <c r="B42" i="13" s="1"/>
  <c r="C42" i="13" a="1"/>
  <c r="C42" i="13" s="1"/>
  <c r="G50" i="13" a="1"/>
  <c r="G50" i="13" s="1"/>
  <c r="E50" i="13" a="1"/>
  <c r="E50" i="13" s="1"/>
  <c r="C50" i="13" a="1"/>
  <c r="C50" i="13" s="1"/>
  <c r="B50" i="13" a="1"/>
  <c r="B50" i="13" s="1"/>
  <c r="D50" i="13" a="1"/>
  <c r="D50" i="13" s="1"/>
  <c r="A50" i="13" a="1"/>
  <c r="A50" i="13" s="1"/>
  <c r="F50" i="13" a="1"/>
  <c r="F50" i="13" s="1"/>
  <c r="G58" i="13" a="1"/>
  <c r="G58" i="13" s="1"/>
  <c r="E58" i="13" a="1"/>
  <c r="E58" i="13" s="1"/>
  <c r="D58" i="13" a="1"/>
  <c r="D58" i="13" s="1"/>
  <c r="A58" i="13" a="1"/>
  <c r="A58" i="13" s="1"/>
  <c r="C58" i="13" a="1"/>
  <c r="C58" i="13" s="1"/>
  <c r="F58" i="13" a="1"/>
  <c r="F58" i="13" s="1"/>
  <c r="B58" i="13" a="1"/>
  <c r="B58" i="13" s="1"/>
  <c r="A66" i="13" a="1"/>
  <c r="A66" i="13" s="1"/>
  <c r="D66" i="13" a="1"/>
  <c r="D66" i="13" s="1"/>
  <c r="F66" i="13" a="1"/>
  <c r="F66" i="13" s="1"/>
  <c r="B66" i="13" a="1"/>
  <c r="B66" i="13" s="1"/>
  <c r="G66" i="13" a="1"/>
  <c r="G66" i="13" s="1"/>
  <c r="C66" i="13" a="1"/>
  <c r="C66" i="13" s="1"/>
  <c r="E66" i="13" a="1"/>
  <c r="E66" i="13" s="1"/>
  <c r="A74" i="13" a="1"/>
  <c r="A74" i="13" s="1"/>
  <c r="G74" i="13" a="1"/>
  <c r="G74" i="13" s="1"/>
  <c r="F74" i="13" a="1"/>
  <c r="F74" i="13" s="1"/>
  <c r="B74" i="13" a="1"/>
  <c r="B74" i="13" s="1"/>
  <c r="D74" i="13" a="1"/>
  <c r="D74" i="13" s="1"/>
  <c r="C74" i="13" a="1"/>
  <c r="C74" i="13" s="1"/>
  <c r="E74" i="13" a="1"/>
  <c r="E74" i="13" s="1"/>
  <c r="G82" i="13" a="1"/>
  <c r="G82" i="13" s="1"/>
  <c r="E82" i="13" a="1"/>
  <c r="E82" i="13" s="1"/>
  <c r="F82" i="13" a="1"/>
  <c r="F82" i="13" s="1"/>
  <c r="C82" i="13" a="1"/>
  <c r="C82" i="13" s="1"/>
  <c r="B82" i="13" a="1"/>
  <c r="B82" i="13" s="1"/>
  <c r="A82" i="13" a="1"/>
  <c r="A82" i="13" s="1"/>
  <c r="D82" i="13" a="1"/>
  <c r="D82" i="13" s="1"/>
  <c r="G90" i="13" a="1"/>
  <c r="G90" i="13" s="1"/>
  <c r="A90" i="13" a="1"/>
  <c r="A90" i="13" s="1"/>
  <c r="C90" i="13" a="1"/>
  <c r="C90" i="13" s="1"/>
  <c r="D90" i="13" a="1"/>
  <c r="D90" i="13" s="1"/>
  <c r="E90" i="13" a="1"/>
  <c r="E90" i="13" s="1"/>
  <c r="B90" i="13" a="1"/>
  <c r="B90" i="13" s="1"/>
  <c r="F90" i="13" a="1"/>
  <c r="F90" i="13" s="1"/>
  <c r="B98" i="13" a="1"/>
  <c r="B98" i="13" s="1"/>
  <c r="G98" i="13" a="1"/>
  <c r="G98" i="13" s="1"/>
  <c r="C98" i="13" a="1"/>
  <c r="C98" i="13" s="1"/>
  <c r="F98" i="13" a="1"/>
  <c r="F98" i="13" s="1"/>
  <c r="E98" i="13" a="1"/>
  <c r="E98" i="13" s="1"/>
  <c r="A98" i="13" a="1"/>
  <c r="A98" i="13" s="1"/>
  <c r="D98" i="13" a="1"/>
  <c r="D98" i="13" s="1"/>
  <c r="G106" i="13" a="1"/>
  <c r="G106" i="13" s="1"/>
  <c r="F106" i="13" a="1"/>
  <c r="F106" i="13" s="1"/>
  <c r="D106" i="13" a="1"/>
  <c r="D106" i="13" s="1"/>
  <c r="E106" i="13" a="1"/>
  <c r="E106" i="13" s="1"/>
  <c r="B106" i="13" a="1"/>
  <c r="B106" i="13" s="1"/>
  <c r="A106" i="13" a="1"/>
  <c r="A106" i="13" s="1"/>
  <c r="C106" i="13" a="1"/>
  <c r="C106" i="13" s="1"/>
  <c r="A114" i="13" a="1"/>
  <c r="A114" i="13" s="1"/>
  <c r="D114" i="13" a="1"/>
  <c r="D114" i="13" s="1"/>
  <c r="C114" i="13" a="1"/>
  <c r="C114" i="13" s="1"/>
  <c r="E114" i="13" a="1"/>
  <c r="E114" i="13" s="1"/>
  <c r="F114" i="13" a="1"/>
  <c r="F114" i="13" s="1"/>
  <c r="G114" i="13" a="1"/>
  <c r="G114" i="13" s="1"/>
  <c r="B114" i="13" a="1"/>
  <c r="B114" i="13" s="1"/>
  <c r="B122" i="13" a="1"/>
  <c r="B122" i="13" s="1"/>
  <c r="A122" i="13" a="1"/>
  <c r="A122" i="13" s="1"/>
  <c r="G122" i="13" a="1"/>
  <c r="G122" i="13" s="1"/>
  <c r="F122" i="13" a="1"/>
  <c r="F122" i="13" s="1"/>
  <c r="C122" i="13" a="1"/>
  <c r="C122" i="13" s="1"/>
  <c r="E122" i="13" a="1"/>
  <c r="E122" i="13" s="1"/>
  <c r="D122" i="13" a="1"/>
  <c r="D122" i="13" s="1"/>
  <c r="G27" i="13" a="1"/>
  <c r="G27" i="13" s="1"/>
  <c r="A27" i="13" a="1"/>
  <c r="A27" i="13" s="1"/>
  <c r="B27" i="13" a="1"/>
  <c r="B27" i="13" s="1"/>
  <c r="E27" i="13" a="1"/>
  <c r="E27" i="13" s="1"/>
  <c r="D27" i="13" a="1"/>
  <c r="D27" i="13" s="1"/>
  <c r="C27" i="13" a="1"/>
  <c r="C27" i="13" s="1"/>
  <c r="F27" i="13" a="1"/>
  <c r="F27" i="13" s="1"/>
  <c r="G56" i="13" a="1"/>
  <c r="G56" i="13" s="1"/>
  <c r="E56" i="13" a="1"/>
  <c r="E56" i="13" s="1"/>
  <c r="A56" i="13" a="1"/>
  <c r="A56" i="13" s="1"/>
  <c r="B56" i="13" a="1"/>
  <c r="B56" i="13" s="1"/>
  <c r="D56" i="13" a="1"/>
  <c r="D56" i="13" s="1"/>
  <c r="F56" i="13" a="1"/>
  <c r="F56" i="13" s="1"/>
  <c r="C56" i="13" a="1"/>
  <c r="C56" i="13" s="1"/>
  <c r="F6" i="13" a="1"/>
  <c r="F6" i="13" s="1"/>
  <c r="E6" i="13" a="1"/>
  <c r="E6" i="13" s="1"/>
  <c r="C6" i="13" a="1"/>
  <c r="C6" i="13" s="1"/>
  <c r="B6" i="13" a="1"/>
  <c r="B6" i="13" s="1"/>
  <c r="A6" i="13" a="1"/>
  <c r="A6" i="13" s="1"/>
  <c r="D6" i="13" a="1"/>
  <c r="D6" i="13" s="1"/>
  <c r="A9" i="13" a="1"/>
  <c r="A9" i="13" s="1"/>
  <c r="D9" i="13" a="1"/>
  <c r="D9" i="13" s="1"/>
  <c r="C9" i="13" a="1"/>
  <c r="C9" i="13" s="1"/>
  <c r="F9" i="13" a="1"/>
  <c r="F9" i="13" s="1"/>
  <c r="B9" i="13" a="1"/>
  <c r="B9" i="13" s="1"/>
  <c r="E9" i="13" a="1"/>
  <c r="E9" i="13" s="1"/>
  <c r="C13" i="13" a="1"/>
  <c r="C13" i="13" s="1"/>
  <c r="B13" i="13" a="1"/>
  <c r="B13" i="13" s="1"/>
  <c r="E13" i="13" a="1"/>
  <c r="E13" i="13" s="1"/>
  <c r="F13" i="13" a="1"/>
  <c r="F13" i="13" s="1"/>
  <c r="A13" i="13" a="1"/>
  <c r="A13" i="13" s="1"/>
  <c r="G13" i="13" a="1"/>
  <c r="G13" i="13" s="1"/>
  <c r="D13" i="13" a="1"/>
  <c r="D13" i="13" s="1"/>
  <c r="G17" i="13" a="1"/>
  <c r="G17" i="13" s="1"/>
  <c r="F17" i="13" a="1"/>
  <c r="F17" i="13" s="1"/>
  <c r="A17" i="13" a="1"/>
  <c r="A17" i="13" s="1"/>
  <c r="E17" i="13" a="1"/>
  <c r="E17" i="13" s="1"/>
  <c r="B17" i="13" a="1"/>
  <c r="B17" i="13" s="1"/>
  <c r="D17" i="13" a="1"/>
  <c r="D17" i="13" s="1"/>
  <c r="C17" i="13" a="1"/>
  <c r="C17" i="13" s="1"/>
  <c r="C29" i="13" a="1"/>
  <c r="C29" i="13" s="1"/>
  <c r="E29" i="13" a="1"/>
  <c r="E29" i="13" s="1"/>
  <c r="D29" i="13" a="1"/>
  <c r="D29" i="13" s="1"/>
  <c r="G29" i="13" a="1"/>
  <c r="G29" i="13" s="1"/>
  <c r="F29" i="13" a="1"/>
  <c r="F29" i="13" s="1"/>
  <c r="B29" i="13" a="1"/>
  <c r="B29" i="13" s="1"/>
  <c r="A29" i="13" a="1"/>
  <c r="A29" i="13" s="1"/>
  <c r="E37" i="13" a="1"/>
  <c r="E37" i="13" s="1"/>
  <c r="G37" i="13" a="1"/>
  <c r="G37" i="13" s="1"/>
  <c r="A37" i="13" a="1"/>
  <c r="A37" i="13" s="1"/>
  <c r="D37" i="13" a="1"/>
  <c r="D37" i="13" s="1"/>
  <c r="C37" i="13" a="1"/>
  <c r="C37" i="13" s="1"/>
  <c r="F37" i="13" a="1"/>
  <c r="F37" i="13" s="1"/>
  <c r="B37" i="13" a="1"/>
  <c r="B37" i="13" s="1"/>
  <c r="G45" i="13" a="1"/>
  <c r="G45" i="13" s="1"/>
  <c r="A45" i="13" a="1"/>
  <c r="A45" i="13" s="1"/>
  <c r="B45" i="13" a="1"/>
  <c r="B45" i="13" s="1"/>
  <c r="C45" i="13" a="1"/>
  <c r="C45" i="13" s="1"/>
  <c r="F45" i="13" a="1"/>
  <c r="F45" i="13" s="1"/>
  <c r="E45" i="13" a="1"/>
  <c r="E45" i="13" s="1"/>
  <c r="D45" i="13" a="1"/>
  <c r="D45" i="13" s="1"/>
  <c r="A53" i="13" a="1"/>
  <c r="A53" i="13" s="1"/>
  <c r="G53" i="13" a="1"/>
  <c r="G53" i="13" s="1"/>
  <c r="D53" i="13" a="1"/>
  <c r="D53" i="13" s="1"/>
  <c r="B53" i="13" a="1"/>
  <c r="B53" i="13" s="1"/>
  <c r="E53" i="13" a="1"/>
  <c r="E53" i="13" s="1"/>
  <c r="F53" i="13" a="1"/>
  <c r="F53" i="13" s="1"/>
  <c r="C53" i="13" a="1"/>
  <c r="C53" i="13" s="1"/>
  <c r="D61" i="13" a="1"/>
  <c r="D61" i="13" s="1"/>
  <c r="F61" i="13" a="1"/>
  <c r="F61" i="13" s="1"/>
  <c r="E61" i="13" a="1"/>
  <c r="E61" i="13" s="1"/>
  <c r="A61" i="13" a="1"/>
  <c r="A61" i="13" s="1"/>
  <c r="B61" i="13" a="1"/>
  <c r="B61" i="13" s="1"/>
  <c r="C61" i="13" a="1"/>
  <c r="C61" i="13" s="1"/>
  <c r="G61" i="13" a="1"/>
  <c r="G61" i="13" s="1"/>
  <c r="B69" i="13" a="1"/>
  <c r="B69" i="13" s="1"/>
  <c r="D69" i="13" a="1"/>
  <c r="D69" i="13" s="1"/>
  <c r="A69" i="13" a="1"/>
  <c r="A69" i="13" s="1"/>
  <c r="G69" i="13" a="1"/>
  <c r="G69" i="13" s="1"/>
  <c r="C69" i="13" a="1"/>
  <c r="C69" i="13" s="1"/>
  <c r="E69" i="13" a="1"/>
  <c r="E69" i="13" s="1"/>
  <c r="F69" i="13" a="1"/>
  <c r="F69" i="13" s="1"/>
  <c r="D77" i="13" a="1"/>
  <c r="D77" i="13" s="1"/>
  <c r="F77" i="13" a="1"/>
  <c r="F77" i="13" s="1"/>
  <c r="B77" i="13" a="1"/>
  <c r="B77" i="13" s="1"/>
  <c r="G77" i="13" a="1"/>
  <c r="G77" i="13" s="1"/>
  <c r="E77" i="13" a="1"/>
  <c r="E77" i="13" s="1"/>
  <c r="C77" i="13" a="1"/>
  <c r="C77" i="13" s="1"/>
  <c r="A77" i="13" a="1"/>
  <c r="A77" i="13" s="1"/>
  <c r="A85" i="13" a="1"/>
  <c r="A85" i="13" s="1"/>
  <c r="D85" i="13" a="1"/>
  <c r="D85" i="13" s="1"/>
  <c r="E85" i="13" a="1"/>
  <c r="E85" i="13" s="1"/>
  <c r="F85" i="13" a="1"/>
  <c r="F85" i="13" s="1"/>
  <c r="C85" i="13" a="1"/>
  <c r="C85" i="13" s="1"/>
  <c r="B85" i="13" a="1"/>
  <c r="B85" i="13" s="1"/>
  <c r="G85" i="13" a="1"/>
  <c r="G85" i="13" s="1"/>
  <c r="G93" i="13" a="1"/>
  <c r="G93" i="13" s="1"/>
  <c r="E93" i="13" a="1"/>
  <c r="E93" i="13" s="1"/>
  <c r="B93" i="13" a="1"/>
  <c r="B93" i="13" s="1"/>
  <c r="A93" i="13" a="1"/>
  <c r="A93" i="13" s="1"/>
  <c r="C93" i="13" a="1"/>
  <c r="C93" i="13" s="1"/>
  <c r="F93" i="13" a="1"/>
  <c r="F93" i="13" s="1"/>
  <c r="D93" i="13" a="1"/>
  <c r="D93" i="13" s="1"/>
  <c r="B101" i="13" a="1"/>
  <c r="B101" i="13" s="1"/>
  <c r="C101" i="13" a="1"/>
  <c r="C101" i="13" s="1"/>
  <c r="G101" i="13" a="1"/>
  <c r="G101" i="13" s="1"/>
  <c r="D101" i="13" a="1"/>
  <c r="D101" i="13" s="1"/>
  <c r="A101" i="13" a="1"/>
  <c r="A101" i="13" s="1"/>
  <c r="F101" i="13" a="1"/>
  <c r="F101" i="13" s="1"/>
  <c r="E101" i="13" a="1"/>
  <c r="E101" i="13" s="1"/>
  <c r="F109" i="13" a="1"/>
  <c r="F109" i="13" s="1"/>
  <c r="G109" i="13" a="1"/>
  <c r="G109" i="13" s="1"/>
  <c r="A109" i="13" a="1"/>
  <c r="A109" i="13" s="1"/>
  <c r="E109" i="13" a="1"/>
  <c r="E109" i="13" s="1"/>
  <c r="B109" i="13" a="1"/>
  <c r="B109" i="13" s="1"/>
  <c r="D109" i="13" a="1"/>
  <c r="D109" i="13" s="1"/>
  <c r="C109" i="13" a="1"/>
  <c r="C109" i="13" s="1"/>
  <c r="C117" i="13" a="1"/>
  <c r="C117" i="13" s="1"/>
  <c r="G117" i="13" a="1"/>
  <c r="G117" i="13" s="1"/>
  <c r="F117" i="13" a="1"/>
  <c r="F117" i="13" s="1"/>
  <c r="E117" i="13" a="1"/>
  <c r="E117" i="13" s="1"/>
  <c r="D117" i="13" a="1"/>
  <c r="D117" i="13" s="1"/>
  <c r="B117" i="13" a="1"/>
  <c r="B117" i="13" s="1"/>
  <c r="A117" i="13" a="1"/>
  <c r="A117" i="13" s="1"/>
  <c r="D125" i="13" a="1"/>
  <c r="D125" i="13" s="1"/>
  <c r="F125" i="13" a="1"/>
  <c r="F125" i="13" s="1"/>
  <c r="C125" i="13" a="1"/>
  <c r="C125" i="13" s="1"/>
  <c r="B125" i="13" a="1"/>
  <c r="B125" i="13" s="1"/>
  <c r="A125" i="13" a="1"/>
  <c r="A125" i="13" s="1"/>
  <c r="E125" i="13" a="1"/>
  <c r="E125" i="13" s="1"/>
  <c r="G125" i="13" a="1"/>
  <c r="G125" i="13" s="1"/>
  <c r="E168" i="13" a="1"/>
  <c r="E168" i="13" s="1"/>
  <c r="F168" i="13" a="1"/>
  <c r="F168" i="13" s="1"/>
  <c r="D168" i="13" a="1"/>
  <c r="D168" i="13" s="1"/>
  <c r="C168" i="13" a="1"/>
  <c r="C168" i="13" s="1"/>
  <c r="G168" i="13" a="1"/>
  <c r="G168" i="13" s="1"/>
  <c r="A168" i="13" a="1"/>
  <c r="A168" i="13" s="1"/>
  <c r="B168" i="13" a="1"/>
  <c r="B168" i="13" s="1"/>
  <c r="A326" i="13" a="1"/>
  <c r="A326" i="13" s="1"/>
  <c r="C326" i="13" a="1"/>
  <c r="C326" i="13" s="1"/>
  <c r="D326" i="13" a="1"/>
  <c r="D326" i="13" s="1"/>
  <c r="B326" i="13" a="1"/>
  <c r="B326" i="13" s="1"/>
  <c r="B358" i="13" a="1"/>
  <c r="B358" i="13" s="1"/>
  <c r="A358" i="13" a="1"/>
  <c r="A358" i="13" s="1"/>
  <c r="D358" i="13" a="1"/>
  <c r="D358" i="13" s="1"/>
  <c r="C358" i="13" a="1"/>
  <c r="C358" i="13" s="1"/>
  <c r="C133" i="13" a="1"/>
  <c r="C133" i="13" s="1"/>
  <c r="G133" i="13" a="1"/>
  <c r="G133" i="13" s="1"/>
  <c r="A133" i="13" a="1"/>
  <c r="A133" i="13" s="1"/>
  <c r="B133" i="13" a="1"/>
  <c r="B133" i="13" s="1"/>
  <c r="F133" i="13" a="1"/>
  <c r="F133" i="13" s="1"/>
  <c r="E133" i="13" a="1"/>
  <c r="E133" i="13" s="1"/>
  <c r="D133" i="13" a="1"/>
  <c r="D133" i="13" s="1"/>
  <c r="D137" i="13" a="1"/>
  <c r="D137" i="13" s="1"/>
  <c r="B137" i="13" a="1"/>
  <c r="B137" i="13" s="1"/>
  <c r="E137" i="13" a="1"/>
  <c r="E137" i="13" s="1"/>
  <c r="C137" i="13" a="1"/>
  <c r="C137" i="13" s="1"/>
  <c r="G137" i="13" a="1"/>
  <c r="G137" i="13" s="1"/>
  <c r="F137" i="13" a="1"/>
  <c r="F137" i="13" s="1"/>
  <c r="A137" i="13" a="1"/>
  <c r="A137" i="13" s="1"/>
  <c r="C141" i="13" a="1"/>
  <c r="C141" i="13" s="1"/>
  <c r="E141" i="13" a="1"/>
  <c r="E141" i="13" s="1"/>
  <c r="B141" i="13" a="1"/>
  <c r="B141" i="13" s="1"/>
  <c r="A141" i="13" a="1"/>
  <c r="A141" i="13" s="1"/>
  <c r="G141" i="13" a="1"/>
  <c r="G141" i="13" s="1"/>
  <c r="F141" i="13" a="1"/>
  <c r="F141" i="13" s="1"/>
  <c r="D141" i="13" a="1"/>
  <c r="D141" i="13" s="1"/>
  <c r="E145" i="13" a="1"/>
  <c r="E145" i="13" s="1"/>
  <c r="G145" i="13" a="1"/>
  <c r="G145" i="13" s="1"/>
  <c r="C145" i="13" a="1"/>
  <c r="C145" i="13" s="1"/>
  <c r="F145" i="13" a="1"/>
  <c r="F145" i="13" s="1"/>
  <c r="D145" i="13" a="1"/>
  <c r="D145" i="13" s="1"/>
  <c r="A145" i="13" a="1"/>
  <c r="A145" i="13" s="1"/>
  <c r="B145" i="13" a="1"/>
  <c r="B145" i="13" s="1"/>
  <c r="B149" i="13" a="1"/>
  <c r="B149" i="13" s="1"/>
  <c r="F149" i="13" a="1"/>
  <c r="F149" i="13" s="1"/>
  <c r="E149" i="13" a="1"/>
  <c r="E149" i="13" s="1"/>
  <c r="A149" i="13" a="1"/>
  <c r="A149" i="13" s="1"/>
  <c r="C149" i="13" a="1"/>
  <c r="C149" i="13" s="1"/>
  <c r="G149" i="13" a="1"/>
  <c r="G149" i="13" s="1"/>
  <c r="D149" i="13" a="1"/>
  <c r="D149" i="13" s="1"/>
  <c r="B153" i="13" a="1"/>
  <c r="B153" i="13" s="1"/>
  <c r="C153" i="13" a="1"/>
  <c r="C153" i="13" s="1"/>
  <c r="D153" i="13" a="1"/>
  <c r="D153" i="13" s="1"/>
  <c r="E153" i="13" a="1"/>
  <c r="E153" i="13" s="1"/>
  <c r="G153" i="13" a="1"/>
  <c r="G153" i="13" s="1"/>
  <c r="F153" i="13" a="1"/>
  <c r="F153" i="13" s="1"/>
  <c r="A153" i="13" a="1"/>
  <c r="A153" i="13" s="1"/>
  <c r="C157" i="13" a="1"/>
  <c r="C157" i="13" s="1"/>
  <c r="F157" i="13" a="1"/>
  <c r="F157" i="13" s="1"/>
  <c r="E157" i="13" a="1"/>
  <c r="E157" i="13" s="1"/>
  <c r="G157" i="13" a="1"/>
  <c r="G157" i="13" s="1"/>
  <c r="D157" i="13" a="1"/>
  <c r="D157" i="13" s="1"/>
  <c r="A157" i="13" a="1"/>
  <c r="A157" i="13" s="1"/>
  <c r="B157" i="13" a="1"/>
  <c r="B157" i="13" s="1"/>
  <c r="E161" i="13" a="1"/>
  <c r="E161" i="13" s="1"/>
  <c r="G161" i="13" a="1"/>
  <c r="G161" i="13" s="1"/>
  <c r="C161" i="13" a="1"/>
  <c r="C161" i="13" s="1"/>
  <c r="B161" i="13" a="1"/>
  <c r="B161" i="13" s="1"/>
  <c r="A161" i="13" a="1"/>
  <c r="A161" i="13" s="1"/>
  <c r="F161" i="13" a="1"/>
  <c r="F161" i="13" s="1"/>
  <c r="D161" i="13" a="1"/>
  <c r="D161" i="13" s="1"/>
  <c r="C165" i="13" a="1"/>
  <c r="C165" i="13" s="1"/>
  <c r="D165" i="13" a="1"/>
  <c r="D165" i="13" s="1"/>
  <c r="G165" i="13" a="1"/>
  <c r="G165" i="13" s="1"/>
  <c r="F165" i="13" a="1"/>
  <c r="F165" i="13" s="1"/>
  <c r="E165" i="13" a="1"/>
  <c r="E165" i="13" s="1"/>
  <c r="B165" i="13" a="1"/>
  <c r="B165" i="13" s="1"/>
  <c r="A165" i="13" a="1"/>
  <c r="A165" i="13" s="1"/>
  <c r="G206" i="13" a="1"/>
  <c r="G206" i="13" s="1"/>
  <c r="D206" i="13" a="1"/>
  <c r="D206" i="13" s="1"/>
  <c r="F206" i="13" a="1"/>
  <c r="F206" i="13" s="1"/>
  <c r="A206" i="13" a="1"/>
  <c r="A206" i="13" s="1"/>
  <c r="C206" i="13" a="1"/>
  <c r="C206" i="13" s="1"/>
  <c r="B206" i="13" a="1"/>
  <c r="B206" i="13" s="1"/>
  <c r="B381" i="13" a="1"/>
  <c r="B381" i="13" s="1"/>
  <c r="D381" i="13" a="1"/>
  <c r="D381" i="13" s="1"/>
  <c r="C381" i="13" a="1"/>
  <c r="C381" i="13" s="1"/>
  <c r="A381" i="13" a="1"/>
  <c r="A381" i="13" s="1"/>
  <c r="G170" i="13" a="1"/>
  <c r="G170" i="13" s="1"/>
  <c r="D170" i="13" a="1"/>
  <c r="D170" i="13" s="1"/>
  <c r="B170" i="13" a="1"/>
  <c r="B170" i="13" s="1"/>
  <c r="F170" i="13" a="1"/>
  <c r="F170" i="13" s="1"/>
  <c r="C170" i="13" a="1"/>
  <c r="C170" i="13" s="1"/>
  <c r="A170" i="13" a="1"/>
  <c r="A170" i="13" s="1"/>
  <c r="E170" i="13" a="1"/>
  <c r="E170" i="13" s="1"/>
  <c r="D294" i="13" a="1"/>
  <c r="D294" i="13" s="1"/>
  <c r="B294" i="13" a="1"/>
  <c r="B294" i="13" s="1"/>
  <c r="A294" i="13" a="1"/>
  <c r="A294" i="13" s="1"/>
  <c r="C294" i="13" a="1"/>
  <c r="C294" i="13" s="1"/>
  <c r="C132" i="13" a="1"/>
  <c r="C132" i="13" s="1"/>
  <c r="E132" i="13" a="1"/>
  <c r="E132" i="13" s="1"/>
  <c r="A132" i="13" a="1"/>
  <c r="A132" i="13" s="1"/>
  <c r="B132" i="13" a="1"/>
  <c r="B132" i="13" s="1"/>
  <c r="G132" i="13" a="1"/>
  <c r="G132" i="13" s="1"/>
  <c r="D132" i="13" a="1"/>
  <c r="D132" i="13" s="1"/>
  <c r="F132" i="13" a="1"/>
  <c r="F132" i="13" s="1"/>
  <c r="G136" i="13" a="1"/>
  <c r="G136" i="13" s="1"/>
  <c r="F136" i="13" a="1"/>
  <c r="F136" i="13" s="1"/>
  <c r="D136" i="13" a="1"/>
  <c r="D136" i="13" s="1"/>
  <c r="A136" i="13" a="1"/>
  <c r="A136" i="13" s="1"/>
  <c r="C136" i="13" a="1"/>
  <c r="C136" i="13" s="1"/>
  <c r="B136" i="13" a="1"/>
  <c r="B136" i="13" s="1"/>
  <c r="E136" i="13" a="1"/>
  <c r="E136" i="13" s="1"/>
  <c r="F140" i="13" a="1"/>
  <c r="F140" i="13" s="1"/>
  <c r="B140" i="13" a="1"/>
  <c r="B140" i="13" s="1"/>
  <c r="C140" i="13" a="1"/>
  <c r="C140" i="13" s="1"/>
  <c r="E140" i="13" a="1"/>
  <c r="E140" i="13" s="1"/>
  <c r="A140" i="13" a="1"/>
  <c r="A140" i="13" s="1"/>
  <c r="D140" i="13" a="1"/>
  <c r="D140" i="13" s="1"/>
  <c r="G140" i="13" a="1"/>
  <c r="G140" i="13" s="1"/>
  <c r="A144" i="13" a="1"/>
  <c r="A144" i="13" s="1"/>
  <c r="C144" i="13" a="1"/>
  <c r="C144" i="13" s="1"/>
  <c r="B144" i="13" a="1"/>
  <c r="B144" i="13" s="1"/>
  <c r="F144" i="13" a="1"/>
  <c r="F144" i="13" s="1"/>
  <c r="E144" i="13" a="1"/>
  <c r="E144" i="13" s="1"/>
  <c r="G144" i="13" a="1"/>
  <c r="G144" i="13" s="1"/>
  <c r="D144" i="13" a="1"/>
  <c r="D144" i="13" s="1"/>
  <c r="C148" i="13" a="1"/>
  <c r="C148" i="13" s="1"/>
  <c r="G148" i="13" a="1"/>
  <c r="G148" i="13" s="1"/>
  <c r="F148" i="13" a="1"/>
  <c r="F148" i="13" s="1"/>
  <c r="E148" i="13" a="1"/>
  <c r="E148" i="13" s="1"/>
  <c r="D148" i="13" a="1"/>
  <c r="D148" i="13" s="1"/>
  <c r="A148" i="13" a="1"/>
  <c r="A148" i="13" s="1"/>
  <c r="B148" i="13" a="1"/>
  <c r="B148" i="13" s="1"/>
  <c r="A152" i="13" a="1"/>
  <c r="A152" i="13" s="1"/>
  <c r="D152" i="13" a="1"/>
  <c r="D152" i="13" s="1"/>
  <c r="F152" i="13" a="1"/>
  <c r="F152" i="13" s="1"/>
  <c r="C152" i="13" a="1"/>
  <c r="C152" i="13" s="1"/>
  <c r="B152" i="13" a="1"/>
  <c r="B152" i="13" s="1"/>
  <c r="E152" i="13" a="1"/>
  <c r="E152" i="13" s="1"/>
  <c r="G152" i="13" a="1"/>
  <c r="G152" i="13" s="1"/>
  <c r="G156" i="13" a="1"/>
  <c r="G156" i="13" s="1"/>
  <c r="B156" i="13" a="1"/>
  <c r="B156" i="13" s="1"/>
  <c r="F156" i="13" a="1"/>
  <c r="F156" i="13" s="1"/>
  <c r="E156" i="13" a="1"/>
  <c r="E156" i="13" s="1"/>
  <c r="D156" i="13" a="1"/>
  <c r="D156" i="13" s="1"/>
  <c r="A156" i="13" a="1"/>
  <c r="A156" i="13" s="1"/>
  <c r="C156" i="13" a="1"/>
  <c r="C156" i="13" s="1"/>
  <c r="A160" i="13" a="1"/>
  <c r="A160" i="13" s="1"/>
  <c r="D160" i="13" a="1"/>
  <c r="D160" i="13" s="1"/>
  <c r="F160" i="13" a="1"/>
  <c r="F160" i="13" s="1"/>
  <c r="C160" i="13" a="1"/>
  <c r="C160" i="13" s="1"/>
  <c r="B160" i="13" a="1"/>
  <c r="B160" i="13" s="1"/>
  <c r="E160" i="13" a="1"/>
  <c r="E160" i="13" s="1"/>
  <c r="G160" i="13" a="1"/>
  <c r="G160" i="13" s="1"/>
  <c r="B164" i="13" a="1"/>
  <c r="B164" i="13" s="1"/>
  <c r="D164" i="13" a="1"/>
  <c r="D164" i="13" s="1"/>
  <c r="A164" i="13" a="1"/>
  <c r="A164" i="13" s="1"/>
  <c r="C164" i="13" a="1"/>
  <c r="C164" i="13" s="1"/>
  <c r="F164" i="13" a="1"/>
  <c r="F164" i="13" s="1"/>
  <c r="E164" i="13" a="1"/>
  <c r="E164" i="13" s="1"/>
  <c r="G164" i="13" a="1"/>
  <c r="G164" i="13" s="1"/>
  <c r="D167" i="13" a="1"/>
  <c r="D167" i="13" s="1"/>
  <c r="G167" i="13" a="1"/>
  <c r="G167" i="13" s="1"/>
  <c r="E167" i="13" a="1"/>
  <c r="E167" i="13" s="1"/>
  <c r="C167" i="13" a="1"/>
  <c r="C167" i="13" s="1"/>
  <c r="F167" i="13" a="1"/>
  <c r="F167" i="13" s="1"/>
  <c r="B167" i="13" a="1"/>
  <c r="B167" i="13" s="1"/>
  <c r="A167" i="13" a="1"/>
  <c r="A167" i="13" s="1"/>
  <c r="B198" i="13" a="1"/>
  <c r="B198" i="13" s="1"/>
  <c r="C198" i="13" a="1"/>
  <c r="C198" i="13" s="1"/>
  <c r="F198" i="13" a="1"/>
  <c r="F198" i="13" s="1"/>
  <c r="G198" i="13" a="1"/>
  <c r="G198" i="13" s="1"/>
  <c r="A198" i="13" a="1"/>
  <c r="A198" i="13" s="1"/>
  <c r="D198" i="13" a="1"/>
  <c r="D198" i="13" s="1"/>
  <c r="D355" i="13" a="1"/>
  <c r="D355" i="13" s="1"/>
  <c r="A355" i="13" a="1"/>
  <c r="A355" i="13" s="1"/>
  <c r="B355" i="13" a="1"/>
  <c r="B355" i="13" s="1"/>
  <c r="C355" i="13" a="1"/>
  <c r="C355" i="13" s="1"/>
  <c r="C564" i="13" a="1"/>
  <c r="C564" i="13" s="1"/>
  <c r="A564" i="13" a="1"/>
  <c r="A564" i="13" s="1"/>
  <c r="B131" i="13" a="1"/>
  <c r="B131" i="13" s="1"/>
  <c r="C131" i="13" a="1"/>
  <c r="C131" i="13" s="1"/>
  <c r="A131" i="13" a="1"/>
  <c r="A131" i="13" s="1"/>
  <c r="D131" i="13" a="1"/>
  <c r="D131" i="13" s="1"/>
  <c r="G131" i="13" a="1"/>
  <c r="G131" i="13" s="1"/>
  <c r="F131" i="13" a="1"/>
  <c r="F131" i="13" s="1"/>
  <c r="E131" i="13" a="1"/>
  <c r="E131" i="13" s="1"/>
  <c r="F135" i="13" a="1"/>
  <c r="F135" i="13" s="1"/>
  <c r="B135" i="13" a="1"/>
  <c r="B135" i="13" s="1"/>
  <c r="G135" i="13" a="1"/>
  <c r="G135" i="13" s="1"/>
  <c r="E135" i="13" a="1"/>
  <c r="E135" i="13" s="1"/>
  <c r="D135" i="13" a="1"/>
  <c r="D135" i="13" s="1"/>
  <c r="A135" i="13" a="1"/>
  <c r="A135" i="13" s="1"/>
  <c r="C135" i="13" a="1"/>
  <c r="C135" i="13" s="1"/>
  <c r="B139" i="13" a="1"/>
  <c r="B139" i="13" s="1"/>
  <c r="A139" i="13" a="1"/>
  <c r="A139" i="13" s="1"/>
  <c r="G139" i="13" a="1"/>
  <c r="G139" i="13" s="1"/>
  <c r="D139" i="13" a="1"/>
  <c r="D139" i="13" s="1"/>
  <c r="C139" i="13" a="1"/>
  <c r="C139" i="13" s="1"/>
  <c r="F139" i="13" a="1"/>
  <c r="F139" i="13" s="1"/>
  <c r="E139" i="13" a="1"/>
  <c r="E139" i="13" s="1"/>
  <c r="C143" i="13" a="1"/>
  <c r="C143" i="13" s="1"/>
  <c r="A143" i="13" a="1"/>
  <c r="A143" i="13" s="1"/>
  <c r="E143" i="13" a="1"/>
  <c r="E143" i="13" s="1"/>
  <c r="D143" i="13" a="1"/>
  <c r="D143" i="13" s="1"/>
  <c r="B143" i="13" a="1"/>
  <c r="B143" i="13" s="1"/>
  <c r="G143" i="13" a="1"/>
  <c r="G143" i="13" s="1"/>
  <c r="F143" i="13" a="1"/>
  <c r="F143" i="13" s="1"/>
  <c r="A147" i="13" a="1"/>
  <c r="A147" i="13" s="1"/>
  <c r="C147" i="13" a="1"/>
  <c r="C147" i="13" s="1"/>
  <c r="E147" i="13" a="1"/>
  <c r="E147" i="13" s="1"/>
  <c r="D147" i="13" a="1"/>
  <c r="D147" i="13" s="1"/>
  <c r="B147" i="13" a="1"/>
  <c r="B147" i="13" s="1"/>
  <c r="G147" i="13" a="1"/>
  <c r="G147" i="13" s="1"/>
  <c r="F147" i="13" a="1"/>
  <c r="F147" i="13" s="1"/>
  <c r="C151" i="13" a="1"/>
  <c r="C151" i="13" s="1"/>
  <c r="E151" i="13" a="1"/>
  <c r="E151" i="13" s="1"/>
  <c r="G151" i="13" a="1"/>
  <c r="G151" i="13" s="1"/>
  <c r="F151" i="13" a="1"/>
  <c r="F151" i="13" s="1"/>
  <c r="A151" i="13" a="1"/>
  <c r="A151" i="13" s="1"/>
  <c r="D151" i="13" a="1"/>
  <c r="D151" i="13" s="1"/>
  <c r="B151" i="13" a="1"/>
  <c r="B151" i="13" s="1"/>
  <c r="G155" i="13" a="1"/>
  <c r="G155" i="13" s="1"/>
  <c r="F155" i="13" a="1"/>
  <c r="F155" i="13" s="1"/>
  <c r="B155" i="13" a="1"/>
  <c r="B155" i="13" s="1"/>
  <c r="C155" i="13" a="1"/>
  <c r="C155" i="13" s="1"/>
  <c r="E155" i="13" a="1"/>
  <c r="E155" i="13" s="1"/>
  <c r="A155" i="13" a="1"/>
  <c r="A155" i="13" s="1"/>
  <c r="D155" i="13" a="1"/>
  <c r="D155" i="13" s="1"/>
  <c r="C159" i="13" a="1"/>
  <c r="C159" i="13" s="1"/>
  <c r="F159" i="13" a="1"/>
  <c r="F159" i="13" s="1"/>
  <c r="D159" i="13" a="1"/>
  <c r="D159" i="13" s="1"/>
  <c r="A159" i="13" a="1"/>
  <c r="A159" i="13" s="1"/>
  <c r="E159" i="13" a="1"/>
  <c r="E159" i="13" s="1"/>
  <c r="G159" i="13" a="1"/>
  <c r="G159" i="13" s="1"/>
  <c r="B159" i="13" a="1"/>
  <c r="B159" i="13" s="1"/>
  <c r="D163" i="13" a="1"/>
  <c r="D163" i="13" s="1"/>
  <c r="B163" i="13" a="1"/>
  <c r="B163" i="13" s="1"/>
  <c r="G163" i="13" a="1"/>
  <c r="G163" i="13" s="1"/>
  <c r="F163" i="13" a="1"/>
  <c r="F163" i="13" s="1"/>
  <c r="E163" i="13" a="1"/>
  <c r="E163" i="13" s="1"/>
  <c r="A163" i="13" a="1"/>
  <c r="A163" i="13" s="1"/>
  <c r="C163" i="13" a="1"/>
  <c r="C163" i="13" s="1"/>
  <c r="F169" i="13" a="1"/>
  <c r="F169" i="13" s="1"/>
  <c r="D169" i="13" a="1"/>
  <c r="D169" i="13" s="1"/>
  <c r="E169" i="13" a="1"/>
  <c r="E169" i="13" s="1"/>
  <c r="G169" i="13" a="1"/>
  <c r="G169" i="13" s="1"/>
  <c r="A169" i="13" a="1"/>
  <c r="A169" i="13" s="1"/>
  <c r="B169" i="13" a="1"/>
  <c r="B169" i="13" s="1"/>
  <c r="C169" i="13" a="1"/>
  <c r="C169" i="13" s="1"/>
  <c r="C323" i="13" a="1"/>
  <c r="C323" i="13" s="1"/>
  <c r="D323" i="13" a="1"/>
  <c r="D323" i="13" s="1"/>
  <c r="B323" i="13" a="1"/>
  <c r="B323" i="13" s="1"/>
  <c r="A323" i="13" a="1"/>
  <c r="A323" i="13" s="1"/>
  <c r="A130" i="13" a="1"/>
  <c r="A130" i="13" s="1"/>
  <c r="C130" i="13" a="1"/>
  <c r="C130" i="13" s="1"/>
  <c r="F130" i="13" a="1"/>
  <c r="F130" i="13" s="1"/>
  <c r="D130" i="13" a="1"/>
  <c r="D130" i="13" s="1"/>
  <c r="G130" i="13" a="1"/>
  <c r="G130" i="13" s="1"/>
  <c r="E130" i="13" a="1"/>
  <c r="E130" i="13" s="1"/>
  <c r="B130" i="13" a="1"/>
  <c r="B130" i="13" s="1"/>
  <c r="D134" i="13" a="1"/>
  <c r="D134" i="13" s="1"/>
  <c r="C134" i="13" a="1"/>
  <c r="C134" i="13" s="1"/>
  <c r="B134" i="13" a="1"/>
  <c r="B134" i="13" s="1"/>
  <c r="G134" i="13" a="1"/>
  <c r="G134" i="13" s="1"/>
  <c r="F134" i="13" a="1"/>
  <c r="F134" i="13" s="1"/>
  <c r="A134" i="13" a="1"/>
  <c r="A134" i="13" s="1"/>
  <c r="E134" i="13" a="1"/>
  <c r="E134" i="13" s="1"/>
  <c r="B138" i="13" a="1"/>
  <c r="B138" i="13" s="1"/>
  <c r="E138" i="13" a="1"/>
  <c r="E138" i="13" s="1"/>
  <c r="G138" i="13" a="1"/>
  <c r="G138" i="13" s="1"/>
  <c r="C138" i="13" a="1"/>
  <c r="C138" i="13" s="1"/>
  <c r="A138" i="13" a="1"/>
  <c r="A138" i="13" s="1"/>
  <c r="F138" i="13" a="1"/>
  <c r="F138" i="13" s="1"/>
  <c r="D138" i="13" a="1"/>
  <c r="D138" i="13" s="1"/>
  <c r="C142" i="13" a="1"/>
  <c r="C142" i="13" s="1"/>
  <c r="B142" i="13" a="1"/>
  <c r="B142" i="13" s="1"/>
  <c r="G142" i="13" a="1"/>
  <c r="G142" i="13" s="1"/>
  <c r="E142" i="13" a="1"/>
  <c r="E142" i="13" s="1"/>
  <c r="A142" i="13" a="1"/>
  <c r="A142" i="13" s="1"/>
  <c r="D142" i="13" a="1"/>
  <c r="D142" i="13" s="1"/>
  <c r="F142" i="13" a="1"/>
  <c r="F142" i="13" s="1"/>
  <c r="B146" i="13" a="1"/>
  <c r="B146" i="13" s="1"/>
  <c r="A146" i="13" a="1"/>
  <c r="A146" i="13" s="1"/>
  <c r="D146" i="13" a="1"/>
  <c r="D146" i="13" s="1"/>
  <c r="E146" i="13" a="1"/>
  <c r="E146" i="13" s="1"/>
  <c r="G146" i="13" a="1"/>
  <c r="G146" i="13" s="1"/>
  <c r="F146" i="13" a="1"/>
  <c r="F146" i="13" s="1"/>
  <c r="C146" i="13" a="1"/>
  <c r="C146" i="13" s="1"/>
  <c r="C150" i="13" a="1"/>
  <c r="C150" i="13" s="1"/>
  <c r="D150" i="13" a="1"/>
  <c r="D150" i="13" s="1"/>
  <c r="B150" i="13" a="1"/>
  <c r="B150" i="13" s="1"/>
  <c r="A150" i="13" a="1"/>
  <c r="A150" i="13" s="1"/>
  <c r="E150" i="13" a="1"/>
  <c r="E150" i="13" s="1"/>
  <c r="G150" i="13" a="1"/>
  <c r="G150" i="13" s="1"/>
  <c r="F150" i="13" a="1"/>
  <c r="F150" i="13" s="1"/>
  <c r="F154" i="13" a="1"/>
  <c r="F154" i="13" s="1"/>
  <c r="E154" i="13" a="1"/>
  <c r="E154" i="13" s="1"/>
  <c r="G154" i="13" a="1"/>
  <c r="G154" i="13" s="1"/>
  <c r="A154" i="13" a="1"/>
  <c r="A154" i="13" s="1"/>
  <c r="D154" i="13" a="1"/>
  <c r="D154" i="13" s="1"/>
  <c r="B154" i="13" a="1"/>
  <c r="B154" i="13" s="1"/>
  <c r="C154" i="13" a="1"/>
  <c r="C154" i="13" s="1"/>
  <c r="D158" i="13" a="1"/>
  <c r="D158" i="13" s="1"/>
  <c r="B158" i="13" a="1"/>
  <c r="B158" i="13" s="1"/>
  <c r="E158" i="13" a="1"/>
  <c r="E158" i="13" s="1"/>
  <c r="F158" i="13" a="1"/>
  <c r="F158" i="13" s="1"/>
  <c r="A158" i="13" a="1"/>
  <c r="A158" i="13" s="1"/>
  <c r="C158" i="13" a="1"/>
  <c r="C158" i="13" s="1"/>
  <c r="G158" i="13" a="1"/>
  <c r="G158" i="13" s="1"/>
  <c r="E162" i="13" a="1"/>
  <c r="E162" i="13" s="1"/>
  <c r="A162" i="13" a="1"/>
  <c r="A162" i="13" s="1"/>
  <c r="B162" i="13" a="1"/>
  <c r="B162" i="13" s="1"/>
  <c r="D162" i="13" a="1"/>
  <c r="D162" i="13" s="1"/>
  <c r="C162" i="13" a="1"/>
  <c r="C162" i="13" s="1"/>
  <c r="F162" i="13" a="1"/>
  <c r="F162" i="13" s="1"/>
  <c r="G162" i="13" a="1"/>
  <c r="G162" i="13" s="1"/>
  <c r="A171" i="13" a="1"/>
  <c r="A171" i="13" s="1"/>
  <c r="F171" i="13" a="1"/>
  <c r="F171" i="13" s="1"/>
  <c r="C171" i="13" a="1"/>
  <c r="C171" i="13" s="1"/>
  <c r="B171" i="13" a="1"/>
  <c r="B171" i="13" s="1"/>
  <c r="E171" i="13" a="1"/>
  <c r="E171" i="13" s="1"/>
  <c r="D171" i="13" a="1"/>
  <c r="D171" i="13" s="1"/>
  <c r="G171" i="13" a="1"/>
  <c r="G171" i="13" s="1"/>
  <c r="F214" i="13" a="1"/>
  <c r="F214" i="13" s="1"/>
  <c r="D214" i="13" a="1"/>
  <c r="D214" i="13" s="1"/>
  <c r="A214" i="13" a="1"/>
  <c r="A214" i="13" s="1"/>
  <c r="B214" i="13" a="1"/>
  <c r="B214" i="13" s="1"/>
  <c r="G214" i="13" a="1"/>
  <c r="G214" i="13" s="1"/>
  <c r="C214" i="13" a="1"/>
  <c r="C214" i="13" s="1"/>
  <c r="D291" i="13" a="1"/>
  <c r="D291" i="13" s="1"/>
  <c r="C291" i="13" a="1"/>
  <c r="C291" i="13" s="1"/>
  <c r="B291" i="13" a="1"/>
  <c r="B291" i="13" s="1"/>
  <c r="A291" i="13" a="1"/>
  <c r="A291" i="13" s="1"/>
  <c r="F172" i="13" a="1"/>
  <c r="F172" i="13" s="1"/>
  <c r="E172" i="13" a="1"/>
  <c r="E172" i="13" s="1"/>
  <c r="B172" i="13" a="1"/>
  <c r="B172" i="13" s="1"/>
  <c r="A172" i="13" a="1"/>
  <c r="A172" i="13" s="1"/>
  <c r="D172" i="13" a="1"/>
  <c r="D172" i="13" s="1"/>
  <c r="C172" i="13" a="1"/>
  <c r="C172" i="13" s="1"/>
  <c r="G172" i="13" a="1"/>
  <c r="G172" i="13" s="1"/>
  <c r="B173" i="13" a="1"/>
  <c r="B173" i="13" s="1"/>
  <c r="D173" i="13" a="1"/>
  <c r="D173" i="13" s="1"/>
  <c r="E173" i="13" a="1"/>
  <c r="E173" i="13" s="1"/>
  <c r="A173" i="13" a="1"/>
  <c r="A173" i="13" s="1"/>
  <c r="C173" i="13" a="1"/>
  <c r="C173" i="13" s="1"/>
  <c r="G173" i="13" a="1"/>
  <c r="G173" i="13" s="1"/>
  <c r="F173" i="13" a="1"/>
  <c r="F173" i="13" s="1"/>
  <c r="B174" i="13" a="1"/>
  <c r="B174" i="13" s="1"/>
  <c r="A174" i="13" a="1"/>
  <c r="A174" i="13" s="1"/>
  <c r="C174" i="13" a="1"/>
  <c r="C174" i="13" s="1"/>
  <c r="E174" i="13" a="1"/>
  <c r="E174" i="13" s="1"/>
  <c r="D174" i="13" a="1"/>
  <c r="D174" i="13" s="1"/>
  <c r="G174" i="13" a="1"/>
  <c r="G174" i="13" s="1"/>
  <c r="F174" i="13" a="1"/>
  <c r="F174" i="13" s="1"/>
  <c r="A175" i="13" a="1"/>
  <c r="A175" i="13" s="1"/>
  <c r="F175" i="13" a="1"/>
  <c r="F175" i="13" s="1"/>
  <c r="G175" i="13" a="1"/>
  <c r="G175" i="13" s="1"/>
  <c r="B175" i="13" a="1"/>
  <c r="B175" i="13" s="1"/>
  <c r="E175" i="13" a="1"/>
  <c r="E175" i="13" s="1"/>
  <c r="C175" i="13" a="1"/>
  <c r="C175" i="13" s="1"/>
  <c r="D175" i="13" a="1"/>
  <c r="D175" i="13" s="1"/>
  <c r="D176" i="13" a="1"/>
  <c r="D176" i="13" s="1"/>
  <c r="A176" i="13" a="1"/>
  <c r="A176" i="13" s="1"/>
  <c r="G176" i="13" a="1"/>
  <c r="G176" i="13" s="1"/>
  <c r="F176" i="13" a="1"/>
  <c r="F176" i="13" s="1"/>
  <c r="E176" i="13" a="1"/>
  <c r="E176" i="13" s="1"/>
  <c r="B176" i="13" a="1"/>
  <c r="B176" i="13" s="1"/>
  <c r="C176" i="13" a="1"/>
  <c r="C176" i="13" s="1"/>
  <c r="D177" i="13" a="1"/>
  <c r="D177" i="13" s="1"/>
  <c r="G177" i="13" a="1"/>
  <c r="G177" i="13" s="1"/>
  <c r="F177" i="13" a="1"/>
  <c r="F177" i="13" s="1"/>
  <c r="B177" i="13" a="1"/>
  <c r="B177" i="13" s="1"/>
  <c r="C177" i="13" a="1"/>
  <c r="C177" i="13" s="1"/>
  <c r="A177" i="13" a="1"/>
  <c r="A177" i="13" s="1"/>
  <c r="E177" i="13" a="1"/>
  <c r="E177" i="13" s="1"/>
  <c r="G178" i="13" a="1"/>
  <c r="G178" i="13" s="1"/>
  <c r="F178" i="13" a="1"/>
  <c r="F178" i="13" s="1"/>
  <c r="E178" i="13" a="1"/>
  <c r="E178" i="13" s="1"/>
  <c r="A178" i="13" a="1"/>
  <c r="A178" i="13" s="1"/>
  <c r="C178" i="13" a="1"/>
  <c r="C178" i="13" s="1"/>
  <c r="B178" i="13" a="1"/>
  <c r="B178" i="13" s="1"/>
  <c r="D178" i="13" a="1"/>
  <c r="D178" i="13" s="1"/>
  <c r="C179" i="13" a="1"/>
  <c r="C179" i="13" s="1"/>
  <c r="G179" i="13" a="1"/>
  <c r="G179" i="13" s="1"/>
  <c r="B179" i="13" a="1"/>
  <c r="B179" i="13" s="1"/>
  <c r="F179" i="13" a="1"/>
  <c r="F179" i="13" s="1"/>
  <c r="E179" i="13" a="1"/>
  <c r="E179" i="13" s="1"/>
  <c r="A179" i="13" a="1"/>
  <c r="A179" i="13" s="1"/>
  <c r="D179" i="13" a="1"/>
  <c r="D179" i="13" s="1"/>
  <c r="E180" i="13" a="1"/>
  <c r="E180" i="13" s="1"/>
  <c r="G180" i="13" a="1"/>
  <c r="G180" i="13" s="1"/>
  <c r="A180" i="13" a="1"/>
  <c r="A180" i="13" s="1"/>
  <c r="C180" i="13" a="1"/>
  <c r="C180" i="13" s="1"/>
  <c r="F180" i="13" a="1"/>
  <c r="F180" i="13" s="1"/>
  <c r="B180" i="13" a="1"/>
  <c r="B180" i="13" s="1"/>
  <c r="D180" i="13" a="1"/>
  <c r="D180" i="13" s="1"/>
  <c r="G181" i="13" a="1"/>
  <c r="G181" i="13" s="1"/>
  <c r="E181" i="13" a="1"/>
  <c r="E181" i="13" s="1"/>
  <c r="B181" i="13" a="1"/>
  <c r="B181" i="13" s="1"/>
  <c r="D181" i="13" a="1"/>
  <c r="D181" i="13" s="1"/>
  <c r="A181" i="13" a="1"/>
  <c r="A181" i="13" s="1"/>
  <c r="C181" i="13" a="1"/>
  <c r="C181" i="13" s="1"/>
  <c r="F181" i="13" a="1"/>
  <c r="F181" i="13" s="1"/>
  <c r="G182" i="13" a="1"/>
  <c r="G182" i="13" s="1"/>
  <c r="D182" i="13" a="1"/>
  <c r="D182" i="13" s="1"/>
  <c r="F182" i="13" a="1"/>
  <c r="F182" i="13" s="1"/>
  <c r="C182" i="13" a="1"/>
  <c r="C182" i="13" s="1"/>
  <c r="A182" i="13" a="1"/>
  <c r="A182" i="13" s="1"/>
  <c r="B182" i="13" a="1"/>
  <c r="B182" i="13" s="1"/>
  <c r="E182" i="13" a="1"/>
  <c r="E182" i="13" s="1"/>
  <c r="E183" i="13" a="1"/>
  <c r="E183" i="13" s="1"/>
  <c r="G183" i="13" a="1"/>
  <c r="G183" i="13" s="1"/>
  <c r="D183" i="13" a="1"/>
  <c r="D183" i="13" s="1"/>
  <c r="A183" i="13" a="1"/>
  <c r="A183" i="13" s="1"/>
  <c r="B183" i="13" a="1"/>
  <c r="B183" i="13" s="1"/>
  <c r="F183" i="13" a="1"/>
  <c r="F183" i="13" s="1"/>
  <c r="C183" i="13" a="1"/>
  <c r="C183" i="13" s="1"/>
  <c r="D184" i="13" a="1"/>
  <c r="D184" i="13" s="1"/>
  <c r="A184" i="13" a="1"/>
  <c r="A184" i="13" s="1"/>
  <c r="G184" i="13" a="1"/>
  <c r="G184" i="13" s="1"/>
  <c r="F184" i="13" a="1"/>
  <c r="F184" i="13" s="1"/>
  <c r="E184" i="13" a="1"/>
  <c r="E184" i="13" s="1"/>
  <c r="C184" i="13" a="1"/>
  <c r="C184" i="13" s="1"/>
  <c r="B184" i="13" a="1"/>
  <c r="B184" i="13" s="1"/>
  <c r="D185" i="13" a="1"/>
  <c r="D185" i="13" s="1"/>
  <c r="C185" i="13" a="1"/>
  <c r="C185" i="13" s="1"/>
  <c r="A185" i="13" a="1"/>
  <c r="A185" i="13" s="1"/>
  <c r="B185" i="13" a="1"/>
  <c r="B185" i="13" s="1"/>
  <c r="G185" i="13" a="1"/>
  <c r="G185" i="13" s="1"/>
  <c r="F185" i="13" a="1"/>
  <c r="F185" i="13" s="1"/>
  <c r="E185" i="13" a="1"/>
  <c r="E185" i="13" s="1"/>
  <c r="B186" i="13" a="1"/>
  <c r="B186" i="13" s="1"/>
  <c r="C186" i="13" a="1"/>
  <c r="C186" i="13" s="1"/>
  <c r="A186" i="13" a="1"/>
  <c r="A186" i="13" s="1"/>
  <c r="G186" i="13" a="1"/>
  <c r="G186" i="13" s="1"/>
  <c r="F186" i="13" a="1"/>
  <c r="F186" i="13" s="1"/>
  <c r="D186" i="13" a="1"/>
  <c r="D186" i="13" s="1"/>
  <c r="E186" i="13" a="1"/>
  <c r="E186" i="13" s="1"/>
  <c r="G187" i="13" a="1"/>
  <c r="G187" i="13" s="1"/>
  <c r="E187" i="13" a="1"/>
  <c r="E187" i="13" s="1"/>
  <c r="D187" i="13" a="1"/>
  <c r="D187" i="13" s="1"/>
  <c r="F187" i="13" a="1"/>
  <c r="F187" i="13" s="1"/>
  <c r="C187" i="13" a="1"/>
  <c r="C187" i="13" s="1"/>
  <c r="B187" i="13" a="1"/>
  <c r="B187" i="13" s="1"/>
  <c r="A187" i="13" a="1"/>
  <c r="A187" i="13" s="1"/>
  <c r="D188" i="13" a="1"/>
  <c r="D188" i="13" s="1"/>
  <c r="G188" i="13" a="1"/>
  <c r="G188" i="13" s="1"/>
  <c r="E188" i="13" a="1"/>
  <c r="E188" i="13" s="1"/>
  <c r="B188" i="13" a="1"/>
  <c r="B188" i="13" s="1"/>
  <c r="C188" i="13" a="1"/>
  <c r="C188" i="13" s="1"/>
  <c r="F188" i="13" a="1"/>
  <c r="F188" i="13" s="1"/>
  <c r="A188" i="13" a="1"/>
  <c r="A188" i="13" s="1"/>
  <c r="C189" i="13" a="1"/>
  <c r="C189" i="13" s="1"/>
  <c r="B189" i="13" a="1"/>
  <c r="B189" i="13" s="1"/>
  <c r="E189" i="13" a="1"/>
  <c r="E189" i="13" s="1"/>
  <c r="F189" i="13" a="1"/>
  <c r="F189" i="13" s="1"/>
  <c r="G189" i="13" a="1"/>
  <c r="G189" i="13" s="1"/>
  <c r="A189" i="13" a="1"/>
  <c r="A189" i="13" s="1"/>
  <c r="D189" i="13" a="1"/>
  <c r="D189" i="13" s="1"/>
  <c r="A190" i="13" a="1"/>
  <c r="A190" i="13" s="1"/>
  <c r="D190" i="13" a="1"/>
  <c r="D190" i="13" s="1"/>
  <c r="G190" i="13" a="1"/>
  <c r="G190" i="13" s="1"/>
  <c r="E190" i="13" a="1"/>
  <c r="E190" i="13" s="1"/>
  <c r="B190" i="13" a="1"/>
  <c r="B190" i="13" s="1"/>
  <c r="C190" i="13" a="1"/>
  <c r="C190" i="13" s="1"/>
  <c r="F190" i="13" a="1"/>
  <c r="F190" i="13" s="1"/>
  <c r="C191" i="13" a="1"/>
  <c r="C191" i="13" s="1"/>
  <c r="A191" i="13" a="1"/>
  <c r="A191" i="13" s="1"/>
  <c r="D191" i="13" a="1"/>
  <c r="D191" i="13" s="1"/>
  <c r="G191" i="13" a="1"/>
  <c r="G191" i="13" s="1"/>
  <c r="B191" i="13" a="1"/>
  <c r="B191" i="13" s="1"/>
  <c r="F191" i="13" a="1"/>
  <c r="F191" i="13" s="1"/>
  <c r="E191" i="13" a="1"/>
  <c r="E191" i="13" s="1"/>
  <c r="F192" i="13" a="1"/>
  <c r="F192" i="13" s="1"/>
  <c r="E192" i="13" a="1"/>
  <c r="E192" i="13" s="1"/>
  <c r="C192" i="13" a="1"/>
  <c r="C192" i="13" s="1"/>
  <c r="B192" i="13" a="1"/>
  <c r="B192" i="13" s="1"/>
  <c r="G192" i="13" a="1"/>
  <c r="G192" i="13" s="1"/>
  <c r="A192" i="13" a="1"/>
  <c r="A192" i="13" s="1"/>
  <c r="D192" i="13" a="1"/>
  <c r="D192" i="13" s="1"/>
  <c r="C193" i="13" a="1"/>
  <c r="C193" i="13" s="1"/>
  <c r="A193" i="13" a="1"/>
  <c r="A193" i="13" s="1"/>
  <c r="D193" i="13" a="1"/>
  <c r="D193" i="13" s="1"/>
  <c r="G193" i="13" a="1"/>
  <c r="G193" i="13" s="1"/>
  <c r="E193" i="13" a="1"/>
  <c r="E193" i="13" s="1"/>
  <c r="B193" i="13" a="1"/>
  <c r="B193" i="13" s="1"/>
  <c r="F193" i="13" a="1"/>
  <c r="F193" i="13" s="1"/>
  <c r="C194" i="13" a="1"/>
  <c r="C194" i="13" s="1"/>
  <c r="E194" i="13" a="1"/>
  <c r="E194" i="13" s="1"/>
  <c r="G194" i="13" a="1"/>
  <c r="G194" i="13" s="1"/>
  <c r="B194" i="13" a="1"/>
  <c r="B194" i="13" s="1"/>
  <c r="F194" i="13" a="1"/>
  <c r="F194" i="13" s="1"/>
  <c r="D194" i="13" a="1"/>
  <c r="D194" i="13" s="1"/>
  <c r="A194" i="13" a="1"/>
  <c r="A194" i="13" s="1"/>
  <c r="G195" i="13" a="1"/>
  <c r="G195" i="13" s="1"/>
  <c r="F195" i="13" a="1"/>
  <c r="F195" i="13" s="1"/>
  <c r="B195" i="13" a="1"/>
  <c r="B195" i="13" s="1"/>
  <c r="C195" i="13" a="1"/>
  <c r="C195" i="13" s="1"/>
  <c r="A195" i="13" a="1"/>
  <c r="A195" i="13" s="1"/>
  <c r="E195" i="13" a="1"/>
  <c r="E195" i="13" s="1"/>
  <c r="D195" i="13" a="1"/>
  <c r="D195" i="13" s="1"/>
  <c r="E196" i="13" a="1"/>
  <c r="E196" i="13" s="1"/>
  <c r="F196" i="13" a="1"/>
  <c r="F196" i="13" s="1"/>
  <c r="A196" i="13" a="1"/>
  <c r="A196" i="13" s="1"/>
  <c r="B196" i="13" a="1"/>
  <c r="B196" i="13" s="1"/>
  <c r="C196" i="13" a="1"/>
  <c r="C196" i="13" s="1"/>
  <c r="G196" i="13" a="1"/>
  <c r="G196" i="13" s="1"/>
  <c r="D196" i="13" a="1"/>
  <c r="D196" i="13" s="1"/>
  <c r="A197" i="13" a="1"/>
  <c r="A197" i="13" s="1"/>
  <c r="D197" i="13" a="1"/>
  <c r="D197" i="13" s="1"/>
  <c r="F197" i="13" a="1"/>
  <c r="F197" i="13" s="1"/>
  <c r="G197" i="13" a="1"/>
  <c r="G197" i="13" s="1"/>
  <c r="E197" i="13" a="1"/>
  <c r="E197" i="13" s="1"/>
  <c r="B197" i="13" a="1"/>
  <c r="B197" i="13" s="1"/>
  <c r="C197" i="13" a="1"/>
  <c r="C197" i="13" s="1"/>
  <c r="B205" i="13" a="1"/>
  <c r="B205" i="13" s="1"/>
  <c r="A205" i="13" a="1"/>
  <c r="A205" i="13" s="1"/>
  <c r="D205" i="13" a="1"/>
  <c r="D205" i="13" s="1"/>
  <c r="G205" i="13" a="1"/>
  <c r="G205" i="13" s="1"/>
  <c r="C205" i="13" a="1"/>
  <c r="C205" i="13" s="1"/>
  <c r="F205" i="13" a="1"/>
  <c r="F205" i="13" s="1"/>
  <c r="G213" i="13" a="1"/>
  <c r="G213" i="13" s="1"/>
  <c r="F213" i="13" a="1"/>
  <c r="F213" i="13" s="1"/>
  <c r="A213" i="13" a="1"/>
  <c r="A213" i="13" s="1"/>
  <c r="C213" i="13" a="1"/>
  <c r="C213" i="13" s="1"/>
  <c r="B213" i="13" a="1"/>
  <c r="B213" i="13" s="1"/>
  <c r="D213" i="13" a="1"/>
  <c r="D213" i="13" s="1"/>
  <c r="A220" i="13" a="1"/>
  <c r="A220" i="13" s="1"/>
  <c r="G220" i="13" a="1"/>
  <c r="G220" i="13" s="1"/>
  <c r="F220" i="13" a="1"/>
  <c r="F220" i="13" s="1"/>
  <c r="D220" i="13" a="1"/>
  <c r="D220" i="13" s="1"/>
  <c r="B220" i="13" a="1"/>
  <c r="B220" i="13" s="1"/>
  <c r="C220" i="13" a="1"/>
  <c r="C220" i="13" s="1"/>
  <c r="B225" i="13" a="1"/>
  <c r="B225" i="13" s="1"/>
  <c r="A225" i="13" a="1"/>
  <c r="A225" i="13" s="1"/>
  <c r="D225" i="13" a="1"/>
  <c r="D225" i="13" s="1"/>
  <c r="F225" i="13" a="1"/>
  <c r="F225" i="13" s="1"/>
  <c r="G225" i="13" a="1"/>
  <c r="G225" i="13" s="1"/>
  <c r="C225" i="13" a="1"/>
  <c r="C225" i="13" s="1"/>
  <c r="D229" i="13" a="1"/>
  <c r="D229" i="13" s="1"/>
  <c r="G229" i="13" a="1"/>
  <c r="G229" i="13" s="1"/>
  <c r="F229" i="13" a="1"/>
  <c r="F229" i="13" s="1"/>
  <c r="C229" i="13" a="1"/>
  <c r="C229" i="13" s="1"/>
  <c r="A229" i="13" a="1"/>
  <c r="A229" i="13" s="1"/>
  <c r="B229" i="13" a="1"/>
  <c r="B229" i="13" s="1"/>
  <c r="G234" i="13" a="1"/>
  <c r="G234" i="13" s="1"/>
  <c r="A234" i="13" a="1"/>
  <c r="A234" i="13" s="1"/>
  <c r="B234" i="13" a="1"/>
  <c r="B234" i="13" s="1"/>
  <c r="C234" i="13" a="1"/>
  <c r="C234" i="13" s="1"/>
  <c r="F234" i="13" a="1"/>
  <c r="F234" i="13" s="1"/>
  <c r="D234" i="13" a="1"/>
  <c r="D234" i="13" s="1"/>
  <c r="G239" i="13" a="1"/>
  <c r="G239" i="13" s="1"/>
  <c r="D239" i="13" a="1"/>
  <c r="D239" i="13" s="1"/>
  <c r="F239" i="13" a="1"/>
  <c r="F239" i="13" s="1"/>
  <c r="A239" i="13" a="1"/>
  <c r="A239" i="13" s="1"/>
  <c r="C239" i="13" a="1"/>
  <c r="C239" i="13" s="1"/>
  <c r="B239" i="13" a="1"/>
  <c r="B239" i="13" s="1"/>
  <c r="A243" i="13" a="1"/>
  <c r="A243" i="13" s="1"/>
  <c r="D243" i="13" a="1"/>
  <c r="D243" i="13" s="1"/>
  <c r="C243" i="13" a="1"/>
  <c r="C243" i="13" s="1"/>
  <c r="B243" i="13" a="1"/>
  <c r="B243" i="13" s="1"/>
  <c r="G243" i="13" a="1"/>
  <c r="G243" i="13" s="1"/>
  <c r="F243" i="13" a="1"/>
  <c r="F243" i="13" s="1"/>
  <c r="C248" i="13" a="1"/>
  <c r="C248" i="13" s="1"/>
  <c r="A248" i="13" a="1"/>
  <c r="A248" i="13" s="1"/>
  <c r="D248" i="13" a="1"/>
  <c r="D248" i="13" s="1"/>
  <c r="G248" i="13" a="1"/>
  <c r="G248" i="13" s="1"/>
  <c r="F248" i="13" a="1"/>
  <c r="F248" i="13" s="1"/>
  <c r="B248" i="13" a="1"/>
  <c r="B248" i="13" s="1"/>
  <c r="A252" i="13" a="1"/>
  <c r="A252" i="13" s="1"/>
  <c r="G252" i="13" a="1"/>
  <c r="G252" i="13" s="1"/>
  <c r="F252" i="13" a="1"/>
  <c r="F252" i="13" s="1"/>
  <c r="B252" i="13" a="1"/>
  <c r="B252" i="13" s="1"/>
  <c r="D252" i="13" a="1"/>
  <c r="D252" i="13" s="1"/>
  <c r="C252" i="13" a="1"/>
  <c r="C252" i="13" s="1"/>
  <c r="D257" i="13" a="1"/>
  <c r="D257" i="13" s="1"/>
  <c r="A257" i="13" a="1"/>
  <c r="A257" i="13" s="1"/>
  <c r="G257" i="13" a="1"/>
  <c r="G257" i="13" s="1"/>
  <c r="F257" i="13" a="1"/>
  <c r="F257" i="13" s="1"/>
  <c r="C257" i="13" a="1"/>
  <c r="C257" i="13" s="1"/>
  <c r="B257" i="13" a="1"/>
  <c r="B257" i="13" s="1"/>
  <c r="G261" i="13" a="1"/>
  <c r="G261" i="13" s="1"/>
  <c r="B261" i="13" a="1"/>
  <c r="B261" i="13" s="1"/>
  <c r="C261" i="13" a="1"/>
  <c r="C261" i="13" s="1"/>
  <c r="A261" i="13" a="1"/>
  <c r="A261" i="13" s="1"/>
  <c r="D261" i="13" a="1"/>
  <c r="D261" i="13" s="1"/>
  <c r="F261" i="13" a="1"/>
  <c r="F261" i="13" s="1"/>
  <c r="B285" i="13" a="1"/>
  <c r="B285" i="13" s="1"/>
  <c r="D285" i="13" a="1"/>
  <c r="D285" i="13" s="1"/>
  <c r="C285" i="13" a="1"/>
  <c r="C285" i="13" s="1"/>
  <c r="A285" i="13" a="1"/>
  <c r="A285" i="13" s="1"/>
  <c r="B288" i="13" a="1"/>
  <c r="B288" i="13" s="1"/>
  <c r="A288" i="13" a="1"/>
  <c r="A288" i="13" s="1"/>
  <c r="D288" i="13" a="1"/>
  <c r="D288" i="13" s="1"/>
  <c r="C288" i="13" a="1"/>
  <c r="C288" i="13" s="1"/>
  <c r="D317" i="13" a="1"/>
  <c r="D317" i="13" s="1"/>
  <c r="B317" i="13" a="1"/>
  <c r="B317" i="13" s="1"/>
  <c r="A317" i="13" a="1"/>
  <c r="A317" i="13" s="1"/>
  <c r="C317" i="13" a="1"/>
  <c r="C317" i="13" s="1"/>
  <c r="B320" i="13" a="1"/>
  <c r="B320" i="13" s="1"/>
  <c r="C320" i="13" a="1"/>
  <c r="C320" i="13" s="1"/>
  <c r="A320" i="13" a="1"/>
  <c r="A320" i="13" s="1"/>
  <c r="D320" i="13" a="1"/>
  <c r="D320" i="13" s="1"/>
  <c r="D349" i="13" a="1"/>
  <c r="D349" i="13" s="1"/>
  <c r="C349" i="13" a="1"/>
  <c r="C349" i="13" s="1"/>
  <c r="A349" i="13" a="1"/>
  <c r="A349" i="13" s="1"/>
  <c r="B349" i="13" a="1"/>
  <c r="B349" i="13" s="1"/>
  <c r="C352" i="13" a="1"/>
  <c r="C352" i="13" s="1"/>
  <c r="D352" i="13" a="1"/>
  <c r="D352" i="13" s="1"/>
  <c r="A352" i="13" a="1"/>
  <c r="A352" i="13" s="1"/>
  <c r="B352" i="13" a="1"/>
  <c r="B352" i="13" s="1"/>
  <c r="A395" i="13" a="1"/>
  <c r="A395" i="13" s="1"/>
  <c r="D395" i="13" a="1"/>
  <c r="D395" i="13" s="1"/>
  <c r="C395" i="13" a="1"/>
  <c r="C395" i="13" s="1"/>
  <c r="B395" i="13" a="1"/>
  <c r="B395" i="13" s="1"/>
  <c r="C398" i="13" a="1"/>
  <c r="C398" i="13" s="1"/>
  <c r="D398" i="13" a="1"/>
  <c r="D398" i="13" s="1"/>
  <c r="B398" i="13" a="1"/>
  <c r="B398" i="13" s="1"/>
  <c r="A398" i="13" a="1"/>
  <c r="A398" i="13" s="1"/>
  <c r="A405" i="13" a="1"/>
  <c r="A405" i="13" s="1"/>
  <c r="B405" i="13" a="1"/>
  <c r="B405" i="13" s="1"/>
  <c r="D405" i="13" a="1"/>
  <c r="D405" i="13" s="1"/>
  <c r="C405" i="13" a="1"/>
  <c r="C405" i="13" s="1"/>
  <c r="B426" i="13" a="1"/>
  <c r="B426" i="13" s="1"/>
  <c r="D426" i="13" a="1"/>
  <c r="D426" i="13" s="1"/>
  <c r="C426" i="13" a="1"/>
  <c r="C426" i="13" s="1"/>
  <c r="A426" i="13" a="1"/>
  <c r="A426" i="13" s="1"/>
  <c r="A519" i="13" a="1"/>
  <c r="A519" i="13" s="1"/>
  <c r="C519" i="13" a="1"/>
  <c r="C519" i="13" s="1"/>
  <c r="A596" i="13" a="1"/>
  <c r="A596" i="13" s="1"/>
  <c r="C596" i="13" a="1"/>
  <c r="C596" i="13" s="1"/>
  <c r="D204" i="13" a="1"/>
  <c r="D204" i="13" s="1"/>
  <c r="B204" i="13" a="1"/>
  <c r="B204" i="13" s="1"/>
  <c r="F204" i="13" a="1"/>
  <c r="F204" i="13" s="1"/>
  <c r="G204" i="13" a="1"/>
  <c r="G204" i="13" s="1"/>
  <c r="A204" i="13" a="1"/>
  <c r="A204" i="13" s="1"/>
  <c r="C204" i="13" a="1"/>
  <c r="C204" i="13" s="1"/>
  <c r="B212" i="13" a="1"/>
  <c r="B212" i="13" s="1"/>
  <c r="F212" i="13" a="1"/>
  <c r="F212" i="13" s="1"/>
  <c r="G212" i="13" a="1"/>
  <c r="G212" i="13" s="1"/>
  <c r="D212" i="13" a="1"/>
  <c r="D212" i="13" s="1"/>
  <c r="A212" i="13" a="1"/>
  <c r="A212" i="13" s="1"/>
  <c r="C212" i="13" a="1"/>
  <c r="C212" i="13" s="1"/>
  <c r="B271" i="13" a="1"/>
  <c r="B271" i="13" s="1"/>
  <c r="A271" i="13" a="1"/>
  <c r="A271" i="13" s="1"/>
  <c r="D271" i="13" a="1"/>
  <c r="D271" i="13" s="1"/>
  <c r="C271" i="13" a="1"/>
  <c r="C271" i="13" s="1"/>
  <c r="A277" i="13" a="1"/>
  <c r="A277" i="13" s="1"/>
  <c r="B277" i="13" a="1"/>
  <c r="B277" i="13" s="1"/>
  <c r="D277" i="13" a="1"/>
  <c r="D277" i="13" s="1"/>
  <c r="C277" i="13" a="1"/>
  <c r="C277" i="13" s="1"/>
  <c r="A280" i="13" a="1"/>
  <c r="A280" i="13" s="1"/>
  <c r="D280" i="13" a="1"/>
  <c r="D280" i="13" s="1"/>
  <c r="B280" i="13" a="1"/>
  <c r="B280" i="13" s="1"/>
  <c r="C280" i="13" a="1"/>
  <c r="C280" i="13" s="1"/>
  <c r="C303" i="13" a="1"/>
  <c r="C303" i="13" s="1"/>
  <c r="B303" i="13" a="1"/>
  <c r="B303" i="13" s="1"/>
  <c r="D303" i="13" a="1"/>
  <c r="D303" i="13" s="1"/>
  <c r="A303" i="13" a="1"/>
  <c r="A303" i="13" s="1"/>
  <c r="A309" i="13" a="1"/>
  <c r="A309" i="13" s="1"/>
  <c r="B309" i="13" a="1"/>
  <c r="B309" i="13" s="1"/>
  <c r="C309" i="13" a="1"/>
  <c r="C309" i="13" s="1"/>
  <c r="D309" i="13" a="1"/>
  <c r="D309" i="13" s="1"/>
  <c r="B312" i="13" a="1"/>
  <c r="B312" i="13" s="1"/>
  <c r="C312" i="13" a="1"/>
  <c r="C312" i="13" s="1"/>
  <c r="A312" i="13" a="1"/>
  <c r="A312" i="13" s="1"/>
  <c r="D312" i="13" a="1"/>
  <c r="D312" i="13" s="1"/>
  <c r="A335" i="13" a="1"/>
  <c r="A335" i="13" s="1"/>
  <c r="C335" i="13" a="1"/>
  <c r="C335" i="13" s="1"/>
  <c r="B335" i="13" a="1"/>
  <c r="B335" i="13" s="1"/>
  <c r="D335" i="13" a="1"/>
  <c r="D335" i="13" s="1"/>
  <c r="B341" i="13" a="1"/>
  <c r="B341" i="13" s="1"/>
  <c r="C341" i="13" a="1"/>
  <c r="C341" i="13" s="1"/>
  <c r="A341" i="13" a="1"/>
  <c r="A341" i="13" s="1"/>
  <c r="D341" i="13" a="1"/>
  <c r="D341" i="13" s="1"/>
  <c r="B344" i="13" a="1"/>
  <c r="B344" i="13" s="1"/>
  <c r="D344" i="13" a="1"/>
  <c r="D344" i="13" s="1"/>
  <c r="A344" i="13" a="1"/>
  <c r="A344" i="13" s="1"/>
  <c r="C344" i="13" a="1"/>
  <c r="C344" i="13" s="1"/>
  <c r="B367" i="13" a="1"/>
  <c r="B367" i="13" s="1"/>
  <c r="A367" i="13" a="1"/>
  <c r="A367" i="13" s="1"/>
  <c r="D367" i="13" a="1"/>
  <c r="D367" i="13" s="1"/>
  <c r="C367" i="13" a="1"/>
  <c r="C367" i="13" s="1"/>
  <c r="C373" i="13" a="1"/>
  <c r="C373" i="13" s="1"/>
  <c r="D373" i="13" a="1"/>
  <c r="D373" i="13" s="1"/>
  <c r="B373" i="13" a="1"/>
  <c r="B373" i="13" s="1"/>
  <c r="A373" i="13" a="1"/>
  <c r="A373" i="13" s="1"/>
  <c r="C376" i="13" a="1"/>
  <c r="C376" i="13" s="1"/>
  <c r="A376" i="13" a="1"/>
  <c r="A376" i="13" s="1"/>
  <c r="D376" i="13" a="1"/>
  <c r="D376" i="13" s="1"/>
  <c r="B376" i="13" a="1"/>
  <c r="B376" i="13" s="1"/>
  <c r="D389" i="13" a="1"/>
  <c r="D389" i="13" s="1"/>
  <c r="A389" i="13" a="1"/>
  <c r="A389" i="13" s="1"/>
  <c r="C389" i="13" a="1"/>
  <c r="C389" i="13" s="1"/>
  <c r="B389" i="13" a="1"/>
  <c r="B389" i="13" s="1"/>
  <c r="C402" i="13" a="1"/>
  <c r="C402" i="13" s="1"/>
  <c r="A402" i="13" a="1"/>
  <c r="A402" i="13" s="1"/>
  <c r="D402" i="13" a="1"/>
  <c r="D402" i="13" s="1"/>
  <c r="B402" i="13" a="1"/>
  <c r="B402" i="13" s="1"/>
  <c r="C431" i="13" a="1"/>
  <c r="C431" i="13" s="1"/>
  <c r="B431" i="13" a="1"/>
  <c r="B431" i="13" s="1"/>
  <c r="D431" i="13" a="1"/>
  <c r="D431" i="13" s="1"/>
  <c r="A431" i="13" a="1"/>
  <c r="A431" i="13" s="1"/>
  <c r="C547" i="13" a="1"/>
  <c r="C547" i="13" s="1"/>
  <c r="A547" i="13" a="1"/>
  <c r="A547" i="13" s="1"/>
  <c r="A571" i="13" a="1"/>
  <c r="A571" i="13" s="1"/>
  <c r="C571" i="13" a="1"/>
  <c r="C571" i="13" s="1"/>
  <c r="C628" i="13" a="1"/>
  <c r="C628" i="13" s="1"/>
  <c r="A628" i="13" a="1"/>
  <c r="A628" i="13" s="1"/>
  <c r="F203" i="13" a="1"/>
  <c r="F203" i="13" s="1"/>
  <c r="C203" i="13" a="1"/>
  <c r="C203" i="13" s="1"/>
  <c r="G203" i="13" a="1"/>
  <c r="G203" i="13" s="1"/>
  <c r="D203" i="13" a="1"/>
  <c r="D203" i="13" s="1"/>
  <c r="A203" i="13" a="1"/>
  <c r="A203" i="13" s="1"/>
  <c r="B203" i="13" a="1"/>
  <c r="B203" i="13" s="1"/>
  <c r="D211" i="13" a="1"/>
  <c r="D211" i="13" s="1"/>
  <c r="F211" i="13" a="1"/>
  <c r="F211" i="13" s="1"/>
  <c r="G211" i="13" a="1"/>
  <c r="G211" i="13" s="1"/>
  <c r="A211" i="13" a="1"/>
  <c r="A211" i="13" s="1"/>
  <c r="C211" i="13" a="1"/>
  <c r="C211" i="13" s="1"/>
  <c r="B211" i="13" a="1"/>
  <c r="B211" i="13" s="1"/>
  <c r="G219" i="13" a="1"/>
  <c r="G219" i="13" s="1"/>
  <c r="C219" i="13" a="1"/>
  <c r="C219" i="13" s="1"/>
  <c r="A219" i="13" a="1"/>
  <c r="A219" i="13" s="1"/>
  <c r="D219" i="13" a="1"/>
  <c r="D219" i="13" s="1"/>
  <c r="F219" i="13" a="1"/>
  <c r="F219" i="13" s="1"/>
  <c r="B219" i="13" a="1"/>
  <c r="B219" i="13" s="1"/>
  <c r="D224" i="13" a="1"/>
  <c r="D224" i="13" s="1"/>
  <c r="A224" i="13" a="1"/>
  <c r="A224" i="13" s="1"/>
  <c r="B224" i="13" a="1"/>
  <c r="B224" i="13" s="1"/>
  <c r="G224" i="13" a="1"/>
  <c r="G224" i="13" s="1"/>
  <c r="F224" i="13" a="1"/>
  <c r="F224" i="13" s="1"/>
  <c r="C224" i="13" a="1"/>
  <c r="C224" i="13" s="1"/>
  <c r="B228" i="13" a="1"/>
  <c r="B228" i="13" s="1"/>
  <c r="G228" i="13" a="1"/>
  <c r="G228" i="13" s="1"/>
  <c r="A228" i="13" a="1"/>
  <c r="A228" i="13" s="1"/>
  <c r="D228" i="13" a="1"/>
  <c r="D228" i="13" s="1"/>
  <c r="C228" i="13" a="1"/>
  <c r="C228" i="13" s="1"/>
  <c r="F228" i="13" a="1"/>
  <c r="F228" i="13" s="1"/>
  <c r="D233" i="13" a="1"/>
  <c r="D233" i="13" s="1"/>
  <c r="B233" i="13" a="1"/>
  <c r="B233" i="13" s="1"/>
  <c r="A233" i="13" a="1"/>
  <c r="A233" i="13" s="1"/>
  <c r="F233" i="13" a="1"/>
  <c r="F233" i="13" s="1"/>
  <c r="G233" i="13" a="1"/>
  <c r="G233" i="13" s="1"/>
  <c r="C233" i="13" a="1"/>
  <c r="C233" i="13" s="1"/>
  <c r="G237" i="13" a="1"/>
  <c r="G237" i="13" s="1"/>
  <c r="C237" i="13" a="1"/>
  <c r="C237" i="13" s="1"/>
  <c r="D237" i="13" a="1"/>
  <c r="D237" i="13" s="1"/>
  <c r="B237" i="13" a="1"/>
  <c r="B237" i="13" s="1"/>
  <c r="A237" i="13" a="1"/>
  <c r="A237" i="13" s="1"/>
  <c r="F237" i="13" a="1"/>
  <c r="F237" i="13" s="1"/>
  <c r="G242" i="13" a="1"/>
  <c r="G242" i="13" s="1"/>
  <c r="F242" i="13" a="1"/>
  <c r="F242" i="13" s="1"/>
  <c r="D242" i="13" a="1"/>
  <c r="D242" i="13" s="1"/>
  <c r="A242" i="13" a="1"/>
  <c r="A242" i="13" s="1"/>
  <c r="C242" i="13" a="1"/>
  <c r="C242" i="13" s="1"/>
  <c r="B242" i="13" a="1"/>
  <c r="B242" i="13" s="1"/>
  <c r="F247" i="13" a="1"/>
  <c r="F247" i="13" s="1"/>
  <c r="G247" i="13" a="1"/>
  <c r="G247" i="13" s="1"/>
  <c r="B247" i="13" a="1"/>
  <c r="B247" i="13" s="1"/>
  <c r="A247" i="13" a="1"/>
  <c r="A247" i="13" s="1"/>
  <c r="C247" i="13" a="1"/>
  <c r="C247" i="13" s="1"/>
  <c r="D247" i="13" a="1"/>
  <c r="D247" i="13" s="1"/>
  <c r="A251" i="13" a="1"/>
  <c r="A251" i="13" s="1"/>
  <c r="C251" i="13" a="1"/>
  <c r="C251" i="13" s="1"/>
  <c r="G251" i="13" a="1"/>
  <c r="G251" i="13" s="1"/>
  <c r="F251" i="13" a="1"/>
  <c r="F251" i="13" s="1"/>
  <c r="D251" i="13" a="1"/>
  <c r="D251" i="13" s="1"/>
  <c r="B251" i="13" a="1"/>
  <c r="B251" i="13" s="1"/>
  <c r="A256" i="13" a="1"/>
  <c r="A256" i="13" s="1"/>
  <c r="C256" i="13" a="1"/>
  <c r="C256" i="13" s="1"/>
  <c r="F256" i="13" a="1"/>
  <c r="F256" i="13" s="1"/>
  <c r="G256" i="13" a="1"/>
  <c r="G256" i="13" s="1"/>
  <c r="B256" i="13" a="1"/>
  <c r="B256" i="13" s="1"/>
  <c r="D256" i="13" a="1"/>
  <c r="D256" i="13" s="1"/>
  <c r="G260" i="13" a="1"/>
  <c r="G260" i="13" s="1"/>
  <c r="A260" i="13" a="1"/>
  <c r="A260" i="13" s="1"/>
  <c r="F260" i="13" a="1"/>
  <c r="F260" i="13" s="1"/>
  <c r="B260" i="13" a="1"/>
  <c r="B260" i="13" s="1"/>
  <c r="D260" i="13" a="1"/>
  <c r="D260" i="13" s="1"/>
  <c r="C260" i="13" a="1"/>
  <c r="C260" i="13" s="1"/>
  <c r="D283" i="13" a="1"/>
  <c r="D283" i="13" s="1"/>
  <c r="C283" i="13" a="1"/>
  <c r="C283" i="13" s="1"/>
  <c r="B283" i="13" a="1"/>
  <c r="B283" i="13" s="1"/>
  <c r="A283" i="13" a="1"/>
  <c r="A283" i="13" s="1"/>
  <c r="C315" i="13" a="1"/>
  <c r="C315" i="13" s="1"/>
  <c r="B315" i="13" a="1"/>
  <c r="B315" i="13" s="1"/>
  <c r="A315" i="13" a="1"/>
  <c r="A315" i="13" s="1"/>
  <c r="D315" i="13" a="1"/>
  <c r="D315" i="13" s="1"/>
  <c r="A347" i="13" a="1"/>
  <c r="A347" i="13" s="1"/>
  <c r="D347" i="13" a="1"/>
  <c r="D347" i="13" s="1"/>
  <c r="B347" i="13" a="1"/>
  <c r="B347" i="13" s="1"/>
  <c r="C347" i="13" a="1"/>
  <c r="C347" i="13" s="1"/>
  <c r="B379" i="13" a="1"/>
  <c r="B379" i="13" s="1"/>
  <c r="D379" i="13" a="1"/>
  <c r="D379" i="13" s="1"/>
  <c r="A379" i="13" a="1"/>
  <c r="A379" i="13" s="1"/>
  <c r="C379" i="13" a="1"/>
  <c r="C379" i="13" s="1"/>
  <c r="A390" i="13" a="1"/>
  <c r="A390" i="13" s="1"/>
  <c r="C390" i="13" a="1"/>
  <c r="C390" i="13" s="1"/>
  <c r="D390" i="13" a="1"/>
  <c r="D390" i="13" s="1"/>
  <c r="B390" i="13" a="1"/>
  <c r="B390" i="13" s="1"/>
  <c r="C406" i="13" a="1"/>
  <c r="C406" i="13" s="1"/>
  <c r="D406" i="13" a="1"/>
  <c r="D406" i="13" s="1"/>
  <c r="A406" i="13" a="1"/>
  <c r="A406" i="13" s="1"/>
  <c r="B406" i="13" a="1"/>
  <c r="B406" i="13" s="1"/>
  <c r="B413" i="13" a="1"/>
  <c r="B413" i="13" s="1"/>
  <c r="C413" i="13" a="1"/>
  <c r="C413" i="13" s="1"/>
  <c r="D413" i="13" a="1"/>
  <c r="D413" i="13" s="1"/>
  <c r="A413" i="13" a="1"/>
  <c r="A413" i="13" s="1"/>
  <c r="A427" i="13" a="1"/>
  <c r="A427" i="13" s="1"/>
  <c r="D427" i="13" a="1"/>
  <c r="D427" i="13" s="1"/>
  <c r="C427" i="13" a="1"/>
  <c r="C427" i="13" s="1"/>
  <c r="B427" i="13" a="1"/>
  <c r="B427" i="13" s="1"/>
  <c r="C535" i="13" a="1"/>
  <c r="C535" i="13" s="1"/>
  <c r="A535" i="13" a="1"/>
  <c r="A535" i="13" s="1"/>
  <c r="A603" i="13" a="1"/>
  <c r="A603" i="13" s="1"/>
  <c r="C603" i="13" a="1"/>
  <c r="C603" i="13" s="1"/>
  <c r="D202" i="13" a="1"/>
  <c r="D202" i="13" s="1"/>
  <c r="C202" i="13" a="1"/>
  <c r="C202" i="13" s="1"/>
  <c r="F202" i="13" a="1"/>
  <c r="F202" i="13" s="1"/>
  <c r="A202" i="13" a="1"/>
  <c r="A202" i="13" s="1"/>
  <c r="B202" i="13" a="1"/>
  <c r="B202" i="13" s="1"/>
  <c r="G202" i="13" a="1"/>
  <c r="G202" i="13" s="1"/>
  <c r="A210" i="13" a="1"/>
  <c r="A210" i="13" s="1"/>
  <c r="B210" i="13" a="1"/>
  <c r="B210" i="13" s="1"/>
  <c r="G210" i="13" a="1"/>
  <c r="G210" i="13" s="1"/>
  <c r="F210" i="13" a="1"/>
  <c r="F210" i="13" s="1"/>
  <c r="C210" i="13" a="1"/>
  <c r="C210" i="13" s="1"/>
  <c r="D210" i="13" a="1"/>
  <c r="D210" i="13" s="1"/>
  <c r="F218" i="13" a="1"/>
  <c r="F218" i="13" s="1"/>
  <c r="G218" i="13" a="1"/>
  <c r="G218" i="13" s="1"/>
  <c r="D218" i="13" a="1"/>
  <c r="D218" i="13" s="1"/>
  <c r="A218" i="13" a="1"/>
  <c r="A218" i="13" s="1"/>
  <c r="C218" i="13" a="1"/>
  <c r="C218" i="13" s="1"/>
  <c r="B218" i="13" a="1"/>
  <c r="B218" i="13" s="1"/>
  <c r="D263" i="13" a="1"/>
  <c r="D263" i="13" s="1"/>
  <c r="A263" i="13" a="1"/>
  <c r="A263" i="13" s="1"/>
  <c r="B263" i="13" a="1"/>
  <c r="B263" i="13" s="1"/>
  <c r="C263" i="13" a="1"/>
  <c r="C263" i="13" s="1"/>
  <c r="G263" i="13" a="1"/>
  <c r="G263" i="13" s="1"/>
  <c r="B267" i="13" a="1"/>
  <c r="B267" i="13" s="1"/>
  <c r="D267" i="13" a="1"/>
  <c r="D267" i="13" s="1"/>
  <c r="A267" i="13" a="1"/>
  <c r="A267" i="13" s="1"/>
  <c r="C267" i="13" a="1"/>
  <c r="C267" i="13" s="1"/>
  <c r="C269" i="13" a="1"/>
  <c r="C269" i="13" s="1"/>
  <c r="B269" i="13" a="1"/>
  <c r="B269" i="13" s="1"/>
  <c r="D269" i="13" a="1"/>
  <c r="D269" i="13" s="1"/>
  <c r="A269" i="13" a="1"/>
  <c r="A269" i="13" s="1"/>
  <c r="C275" i="13" a="1"/>
  <c r="C275" i="13" s="1"/>
  <c r="B275" i="13" a="1"/>
  <c r="B275" i="13" s="1"/>
  <c r="A275" i="13" a="1"/>
  <c r="A275" i="13" s="1"/>
  <c r="D275" i="13" a="1"/>
  <c r="D275" i="13" s="1"/>
  <c r="B278" i="13" a="1"/>
  <c r="B278" i="13" s="1"/>
  <c r="A278" i="13" a="1"/>
  <c r="A278" i="13" s="1"/>
  <c r="C278" i="13" a="1"/>
  <c r="C278" i="13" s="1"/>
  <c r="D278" i="13" a="1"/>
  <c r="D278" i="13" s="1"/>
  <c r="C307" i="13" a="1"/>
  <c r="C307" i="13" s="1"/>
  <c r="A307" i="13" a="1"/>
  <c r="A307" i="13" s="1"/>
  <c r="D307" i="13" a="1"/>
  <c r="D307" i="13" s="1"/>
  <c r="B307" i="13" a="1"/>
  <c r="B307" i="13" s="1"/>
  <c r="B310" i="13" a="1"/>
  <c r="B310" i="13" s="1"/>
  <c r="A310" i="13" a="1"/>
  <c r="A310" i="13" s="1"/>
  <c r="D310" i="13" a="1"/>
  <c r="D310" i="13" s="1"/>
  <c r="C310" i="13" a="1"/>
  <c r="C310" i="13" s="1"/>
  <c r="D339" i="13" a="1"/>
  <c r="D339" i="13" s="1"/>
  <c r="A339" i="13" a="1"/>
  <c r="A339" i="13" s="1"/>
  <c r="C339" i="13" a="1"/>
  <c r="C339" i="13" s="1"/>
  <c r="B339" i="13" a="1"/>
  <c r="B339" i="13" s="1"/>
  <c r="D342" i="13" a="1"/>
  <c r="D342" i="13" s="1"/>
  <c r="B342" i="13" a="1"/>
  <c r="B342" i="13" s="1"/>
  <c r="C342" i="13" a="1"/>
  <c r="C342" i="13" s="1"/>
  <c r="A342" i="13" a="1"/>
  <c r="A342" i="13" s="1"/>
  <c r="D371" i="13" a="1"/>
  <c r="D371" i="13" s="1"/>
  <c r="B371" i="13" a="1"/>
  <c r="B371" i="13" s="1"/>
  <c r="A371" i="13" a="1"/>
  <c r="A371" i="13" s="1"/>
  <c r="C371" i="13" a="1"/>
  <c r="C371" i="13" s="1"/>
  <c r="B374" i="13" a="1"/>
  <c r="B374" i="13" s="1"/>
  <c r="C374" i="13" a="1"/>
  <c r="C374" i="13" s="1"/>
  <c r="A374" i="13" a="1"/>
  <c r="A374" i="13" s="1"/>
  <c r="D374" i="13" a="1"/>
  <c r="D374" i="13" s="1"/>
  <c r="A383" i="13" a="1"/>
  <c r="A383" i="13" s="1"/>
  <c r="D383" i="13" a="1"/>
  <c r="D383" i="13" s="1"/>
  <c r="B383" i="13" a="1"/>
  <c r="B383" i="13" s="1"/>
  <c r="C383" i="13" a="1"/>
  <c r="C383" i="13" s="1"/>
  <c r="C548" i="13" a="1"/>
  <c r="C548" i="13" s="1"/>
  <c r="A548" i="13" a="1"/>
  <c r="A548" i="13" s="1"/>
  <c r="A555" i="13" a="1"/>
  <c r="A555" i="13" s="1"/>
  <c r="C555" i="13" a="1"/>
  <c r="C555" i="13" s="1"/>
  <c r="A579" i="13" a="1"/>
  <c r="A579" i="13" s="1"/>
  <c r="C579" i="13" a="1"/>
  <c r="C579" i="13" s="1"/>
  <c r="G201" i="13" a="1"/>
  <c r="G201" i="13" s="1"/>
  <c r="F201" i="13" a="1"/>
  <c r="F201" i="13" s="1"/>
  <c r="D201" i="13" a="1"/>
  <c r="D201" i="13" s="1"/>
  <c r="C201" i="13" a="1"/>
  <c r="C201" i="13" s="1"/>
  <c r="B201" i="13" a="1"/>
  <c r="B201" i="13" s="1"/>
  <c r="A201" i="13" a="1"/>
  <c r="A201" i="13" s="1"/>
  <c r="F209" i="13" a="1"/>
  <c r="F209" i="13" s="1"/>
  <c r="D209" i="13" a="1"/>
  <c r="D209" i="13" s="1"/>
  <c r="B209" i="13" a="1"/>
  <c r="B209" i="13" s="1"/>
  <c r="C209" i="13" a="1"/>
  <c r="C209" i="13" s="1"/>
  <c r="G209" i="13" a="1"/>
  <c r="G209" i="13" s="1"/>
  <c r="A209" i="13" a="1"/>
  <c r="A209" i="13" s="1"/>
  <c r="D217" i="13" a="1"/>
  <c r="D217" i="13" s="1"/>
  <c r="A217" i="13" a="1"/>
  <c r="A217" i="13" s="1"/>
  <c r="C217" i="13" a="1"/>
  <c r="C217" i="13" s="1"/>
  <c r="B217" i="13" a="1"/>
  <c r="B217" i="13" s="1"/>
  <c r="G217" i="13" a="1"/>
  <c r="G217" i="13" s="1"/>
  <c r="F217" i="13" a="1"/>
  <c r="F217" i="13" s="1"/>
  <c r="G223" i="13" a="1"/>
  <c r="G223" i="13" s="1"/>
  <c r="C223" i="13" a="1"/>
  <c r="C223" i="13" s="1"/>
  <c r="A223" i="13" a="1"/>
  <c r="A223" i="13" s="1"/>
  <c r="B223" i="13" a="1"/>
  <c r="B223" i="13" s="1"/>
  <c r="F223" i="13" a="1"/>
  <c r="F223" i="13" s="1"/>
  <c r="D223" i="13" a="1"/>
  <c r="D223" i="13" s="1"/>
  <c r="C227" i="13" a="1"/>
  <c r="C227" i="13" s="1"/>
  <c r="A227" i="13" a="1"/>
  <c r="A227" i="13" s="1"/>
  <c r="D227" i="13" a="1"/>
  <c r="D227" i="13" s="1"/>
  <c r="B227" i="13" a="1"/>
  <c r="B227" i="13" s="1"/>
  <c r="F227" i="13" a="1"/>
  <c r="F227" i="13" s="1"/>
  <c r="G227" i="13" a="1"/>
  <c r="G227" i="13" s="1"/>
  <c r="A232" i="13" a="1"/>
  <c r="A232" i="13" s="1"/>
  <c r="C232" i="13" a="1"/>
  <c r="C232" i="13" s="1"/>
  <c r="D232" i="13" a="1"/>
  <c r="D232" i="13" s="1"/>
  <c r="F232" i="13" a="1"/>
  <c r="F232" i="13" s="1"/>
  <c r="G232" i="13" a="1"/>
  <c r="G232" i="13" s="1"/>
  <c r="B232" i="13" a="1"/>
  <c r="B232" i="13" s="1"/>
  <c r="F236" i="13" a="1"/>
  <c r="F236" i="13" s="1"/>
  <c r="B236" i="13" a="1"/>
  <c r="B236" i="13" s="1"/>
  <c r="D236" i="13" a="1"/>
  <c r="D236" i="13" s="1"/>
  <c r="G236" i="13" a="1"/>
  <c r="G236" i="13" s="1"/>
  <c r="A236" i="13" a="1"/>
  <c r="A236" i="13" s="1"/>
  <c r="C236" i="13" a="1"/>
  <c r="C236" i="13" s="1"/>
  <c r="D241" i="13" a="1"/>
  <c r="D241" i="13" s="1"/>
  <c r="C241" i="13" a="1"/>
  <c r="C241" i="13" s="1"/>
  <c r="B241" i="13" a="1"/>
  <c r="B241" i="13" s="1"/>
  <c r="A241" i="13" a="1"/>
  <c r="A241" i="13" s="1"/>
  <c r="F241" i="13" a="1"/>
  <c r="F241" i="13" s="1"/>
  <c r="G241" i="13" a="1"/>
  <c r="G241" i="13" s="1"/>
  <c r="B245" i="13" a="1"/>
  <c r="B245" i="13" s="1"/>
  <c r="A245" i="13" a="1"/>
  <c r="A245" i="13" s="1"/>
  <c r="G245" i="13" a="1"/>
  <c r="G245" i="13" s="1"/>
  <c r="F245" i="13" a="1"/>
  <c r="F245" i="13" s="1"/>
  <c r="C245" i="13" a="1"/>
  <c r="C245" i="13" s="1"/>
  <c r="D245" i="13" a="1"/>
  <c r="D245" i="13" s="1"/>
  <c r="F250" i="13" a="1"/>
  <c r="F250" i="13" s="1"/>
  <c r="B250" i="13" a="1"/>
  <c r="B250" i="13" s="1"/>
  <c r="C250" i="13" a="1"/>
  <c r="C250" i="13" s="1"/>
  <c r="D250" i="13" a="1"/>
  <c r="D250" i="13" s="1"/>
  <c r="A250" i="13" a="1"/>
  <c r="A250" i="13" s="1"/>
  <c r="G250" i="13" a="1"/>
  <c r="G250" i="13" s="1"/>
  <c r="F255" i="13" a="1"/>
  <c r="F255" i="13" s="1"/>
  <c r="B255" i="13" a="1"/>
  <c r="B255" i="13" s="1"/>
  <c r="A255" i="13" a="1"/>
  <c r="A255" i="13" s="1"/>
  <c r="G255" i="13" a="1"/>
  <c r="G255" i="13" s="1"/>
  <c r="C255" i="13" a="1"/>
  <c r="C255" i="13" s="1"/>
  <c r="D255" i="13" a="1"/>
  <c r="D255" i="13" s="1"/>
  <c r="F259" i="13" a="1"/>
  <c r="F259" i="13" s="1"/>
  <c r="C259" i="13" a="1"/>
  <c r="C259" i="13" s="1"/>
  <c r="B259" i="13" a="1"/>
  <c r="B259" i="13" s="1"/>
  <c r="A259" i="13" a="1"/>
  <c r="A259" i="13" s="1"/>
  <c r="D259" i="13" a="1"/>
  <c r="D259" i="13" s="1"/>
  <c r="G259" i="13" a="1"/>
  <c r="G259" i="13" s="1"/>
  <c r="B272" i="13" a="1"/>
  <c r="B272" i="13" s="1"/>
  <c r="C272" i="13" a="1"/>
  <c r="C272" i="13" s="1"/>
  <c r="D272" i="13" a="1"/>
  <c r="D272" i="13" s="1"/>
  <c r="A272" i="13" a="1"/>
  <c r="A272" i="13" s="1"/>
  <c r="B301" i="13" a="1"/>
  <c r="B301" i="13" s="1"/>
  <c r="C301" i="13" a="1"/>
  <c r="C301" i="13" s="1"/>
  <c r="A301" i="13" a="1"/>
  <c r="A301" i="13" s="1"/>
  <c r="D301" i="13" a="1"/>
  <c r="D301" i="13" s="1"/>
  <c r="B304" i="13" a="1"/>
  <c r="B304" i="13" s="1"/>
  <c r="C304" i="13" a="1"/>
  <c r="C304" i="13" s="1"/>
  <c r="A304" i="13" a="1"/>
  <c r="A304" i="13" s="1"/>
  <c r="D304" i="13" a="1"/>
  <c r="D304" i="13" s="1"/>
  <c r="D333" i="13" a="1"/>
  <c r="D333" i="13" s="1"/>
  <c r="C333" i="13" a="1"/>
  <c r="C333" i="13" s="1"/>
  <c r="A333" i="13" a="1"/>
  <c r="A333" i="13" s="1"/>
  <c r="B333" i="13" a="1"/>
  <c r="B333" i="13" s="1"/>
  <c r="D336" i="13" a="1"/>
  <c r="D336" i="13" s="1"/>
  <c r="A336" i="13" a="1"/>
  <c r="A336" i="13" s="1"/>
  <c r="C336" i="13" a="1"/>
  <c r="C336" i="13" s="1"/>
  <c r="B336" i="13" a="1"/>
  <c r="B336" i="13" s="1"/>
  <c r="C365" i="13" a="1"/>
  <c r="C365" i="13" s="1"/>
  <c r="D365" i="13" a="1"/>
  <c r="D365" i="13" s="1"/>
  <c r="B365" i="13" a="1"/>
  <c r="B365" i="13" s="1"/>
  <c r="A365" i="13" a="1"/>
  <c r="A365" i="13" s="1"/>
  <c r="A368" i="13" a="1"/>
  <c r="A368" i="13" s="1"/>
  <c r="B368" i="13" a="1"/>
  <c r="B368" i="13" s="1"/>
  <c r="D368" i="13" a="1"/>
  <c r="D368" i="13" s="1"/>
  <c r="C368" i="13" a="1"/>
  <c r="C368" i="13" s="1"/>
  <c r="A387" i="13" a="1"/>
  <c r="A387" i="13" s="1"/>
  <c r="D387" i="13" a="1"/>
  <c r="D387" i="13" s="1"/>
  <c r="B387" i="13" a="1"/>
  <c r="B387" i="13" s="1"/>
  <c r="C387" i="13" a="1"/>
  <c r="C387" i="13" s="1"/>
  <c r="A424" i="13" a="1"/>
  <c r="A424" i="13" s="1"/>
  <c r="D424" i="13" a="1"/>
  <c r="D424" i="13" s="1"/>
  <c r="B424" i="13" a="1"/>
  <c r="B424" i="13" s="1"/>
  <c r="C424" i="13" a="1"/>
  <c r="C424" i="13" s="1"/>
  <c r="A428" i="13" a="1"/>
  <c r="A428" i="13" s="1"/>
  <c r="B428" i="13" a="1"/>
  <c r="B428" i="13" s="1"/>
  <c r="C428" i="13" a="1"/>
  <c r="C428" i="13" s="1"/>
  <c r="D428" i="13" a="1"/>
  <c r="D428" i="13" s="1"/>
  <c r="C580" i="13" a="1"/>
  <c r="C580" i="13" s="1"/>
  <c r="A580" i="13" a="1"/>
  <c r="A580" i="13" s="1"/>
  <c r="A587" i="13" a="1"/>
  <c r="A587" i="13" s="1"/>
  <c r="C587" i="13" a="1"/>
  <c r="C587" i="13" s="1"/>
  <c r="C611" i="13" a="1"/>
  <c r="C611" i="13" s="1"/>
  <c r="A611" i="13" a="1"/>
  <c r="A611" i="13" s="1"/>
  <c r="F200" i="13" a="1"/>
  <c r="F200" i="13" s="1"/>
  <c r="A200" i="13" a="1"/>
  <c r="A200" i="13" s="1"/>
  <c r="B200" i="13" a="1"/>
  <c r="B200" i="13" s="1"/>
  <c r="C200" i="13" a="1"/>
  <c r="C200" i="13" s="1"/>
  <c r="D200" i="13" a="1"/>
  <c r="D200" i="13" s="1"/>
  <c r="G200" i="13" a="1"/>
  <c r="G200" i="13" s="1"/>
  <c r="C208" i="13" a="1"/>
  <c r="C208" i="13" s="1"/>
  <c r="B208" i="13" a="1"/>
  <c r="B208" i="13" s="1"/>
  <c r="D208" i="13" a="1"/>
  <c r="D208" i="13" s="1"/>
  <c r="A208" i="13" a="1"/>
  <c r="A208" i="13" s="1"/>
  <c r="G208" i="13" a="1"/>
  <c r="G208" i="13" s="1"/>
  <c r="F208" i="13" a="1"/>
  <c r="F208" i="13" s="1"/>
  <c r="B216" i="13" a="1"/>
  <c r="B216" i="13" s="1"/>
  <c r="A216" i="13" a="1"/>
  <c r="A216" i="13" s="1"/>
  <c r="D216" i="13" a="1"/>
  <c r="D216" i="13" s="1"/>
  <c r="F216" i="13" a="1"/>
  <c r="F216" i="13" s="1"/>
  <c r="G216" i="13" a="1"/>
  <c r="G216" i="13" s="1"/>
  <c r="C216" i="13" a="1"/>
  <c r="C216" i="13" s="1"/>
  <c r="D287" i="13" a="1"/>
  <c r="D287" i="13" s="1"/>
  <c r="A287" i="13" a="1"/>
  <c r="A287" i="13" s="1"/>
  <c r="B287" i="13" a="1"/>
  <c r="B287" i="13" s="1"/>
  <c r="C287" i="13" a="1"/>
  <c r="C287" i="13" s="1"/>
  <c r="D293" i="13" a="1"/>
  <c r="D293" i="13" s="1"/>
  <c r="A293" i="13" a="1"/>
  <c r="A293" i="13" s="1"/>
  <c r="C293" i="13" a="1"/>
  <c r="C293" i="13" s="1"/>
  <c r="B293" i="13" a="1"/>
  <c r="B293" i="13" s="1"/>
  <c r="D296" i="13" a="1"/>
  <c r="D296" i="13" s="1"/>
  <c r="B296" i="13" a="1"/>
  <c r="B296" i="13" s="1"/>
  <c r="C296" i="13" a="1"/>
  <c r="C296" i="13" s="1"/>
  <c r="A296" i="13" a="1"/>
  <c r="A296" i="13" s="1"/>
  <c r="C319" i="13" a="1"/>
  <c r="C319" i="13" s="1"/>
  <c r="B319" i="13" a="1"/>
  <c r="B319" i="13" s="1"/>
  <c r="D319" i="13" a="1"/>
  <c r="D319" i="13" s="1"/>
  <c r="A319" i="13" a="1"/>
  <c r="A319" i="13" s="1"/>
  <c r="D325" i="13" a="1"/>
  <c r="D325" i="13" s="1"/>
  <c r="B325" i="13" a="1"/>
  <c r="B325" i="13" s="1"/>
  <c r="C325" i="13" a="1"/>
  <c r="C325" i="13" s="1"/>
  <c r="A325" i="13" a="1"/>
  <c r="A325" i="13" s="1"/>
  <c r="B328" i="13" a="1"/>
  <c r="B328" i="13" s="1"/>
  <c r="C328" i="13" a="1"/>
  <c r="C328" i="13" s="1"/>
  <c r="D328" i="13" a="1"/>
  <c r="D328" i="13" s="1"/>
  <c r="A328" i="13" a="1"/>
  <c r="A328" i="13" s="1"/>
  <c r="D351" i="13" a="1"/>
  <c r="D351" i="13" s="1"/>
  <c r="B351" i="13" a="1"/>
  <c r="B351" i="13" s="1"/>
  <c r="C351" i="13" a="1"/>
  <c r="C351" i="13" s="1"/>
  <c r="A351" i="13" a="1"/>
  <c r="A351" i="13" s="1"/>
  <c r="D357" i="13" a="1"/>
  <c r="D357" i="13" s="1"/>
  <c r="B357" i="13" a="1"/>
  <c r="B357" i="13" s="1"/>
  <c r="C357" i="13" a="1"/>
  <c r="C357" i="13" s="1"/>
  <c r="A357" i="13" a="1"/>
  <c r="A357" i="13" s="1"/>
  <c r="A360" i="13" a="1"/>
  <c r="A360" i="13" s="1"/>
  <c r="D360" i="13" a="1"/>
  <c r="D360" i="13" s="1"/>
  <c r="C360" i="13" a="1"/>
  <c r="C360" i="13" s="1"/>
  <c r="B360" i="13" a="1"/>
  <c r="B360" i="13" s="1"/>
  <c r="B418" i="13" a="1"/>
  <c r="B418" i="13" s="1"/>
  <c r="A418" i="13" a="1"/>
  <c r="A418" i="13" s="1"/>
  <c r="D418" i="13" a="1"/>
  <c r="D418" i="13" s="1"/>
  <c r="C418" i="13" a="1"/>
  <c r="C418" i="13" s="1"/>
  <c r="C531" i="13" a="1"/>
  <c r="C531" i="13" s="1"/>
  <c r="A531" i="13" a="1"/>
  <c r="A531" i="13" s="1"/>
  <c r="A543" i="13" a="1"/>
  <c r="A543" i="13" s="1"/>
  <c r="C543" i="13" a="1"/>
  <c r="C543" i="13" s="1"/>
  <c r="A574" i="13" a="1"/>
  <c r="A574" i="13" s="1"/>
  <c r="C574" i="13" a="1"/>
  <c r="C574" i="13" s="1"/>
  <c r="C612" i="13" a="1"/>
  <c r="C612" i="13" s="1"/>
  <c r="A612" i="13" a="1"/>
  <c r="A612" i="13" s="1"/>
  <c r="A619" i="13" a="1"/>
  <c r="A619" i="13" s="1"/>
  <c r="C619" i="13" a="1"/>
  <c r="C619" i="13" s="1"/>
  <c r="D199" i="13" a="1"/>
  <c r="D199" i="13" s="1"/>
  <c r="B199" i="13" a="1"/>
  <c r="B199" i="13" s="1"/>
  <c r="G199" i="13" a="1"/>
  <c r="G199" i="13" s="1"/>
  <c r="F199" i="13" a="1"/>
  <c r="F199" i="13" s="1"/>
  <c r="A199" i="13" a="1"/>
  <c r="A199" i="13" s="1"/>
  <c r="C199" i="13" a="1"/>
  <c r="C199" i="13" s="1"/>
  <c r="D207" i="13" a="1"/>
  <c r="D207" i="13" s="1"/>
  <c r="C207" i="13" a="1"/>
  <c r="C207" i="13" s="1"/>
  <c r="A207" i="13" a="1"/>
  <c r="A207" i="13" s="1"/>
  <c r="B207" i="13" a="1"/>
  <c r="B207" i="13" s="1"/>
  <c r="G207" i="13" a="1"/>
  <c r="G207" i="13" s="1"/>
  <c r="F207" i="13" a="1"/>
  <c r="F207" i="13" s="1"/>
  <c r="C215" i="13" a="1"/>
  <c r="C215" i="13" s="1"/>
  <c r="A215" i="13" a="1"/>
  <c r="A215" i="13" s="1"/>
  <c r="B215" i="13" a="1"/>
  <c r="B215" i="13" s="1"/>
  <c r="G215" i="13" a="1"/>
  <c r="G215" i="13" s="1"/>
  <c r="F215" i="13" a="1"/>
  <c r="F215" i="13" s="1"/>
  <c r="D215" i="13" a="1"/>
  <c r="D215" i="13" s="1"/>
  <c r="F221" i="13" a="1"/>
  <c r="F221" i="13" s="1"/>
  <c r="D221" i="13" a="1"/>
  <c r="D221" i="13" s="1"/>
  <c r="B221" i="13" a="1"/>
  <c r="B221" i="13" s="1"/>
  <c r="A221" i="13" a="1"/>
  <c r="A221" i="13" s="1"/>
  <c r="C221" i="13" a="1"/>
  <c r="C221" i="13" s="1"/>
  <c r="G221" i="13" a="1"/>
  <c r="G221" i="13" s="1"/>
  <c r="C226" i="13" a="1"/>
  <c r="C226" i="13" s="1"/>
  <c r="A226" i="13" a="1"/>
  <c r="A226" i="13" s="1"/>
  <c r="D226" i="13" a="1"/>
  <c r="D226" i="13" s="1"/>
  <c r="G226" i="13" a="1"/>
  <c r="G226" i="13" s="1"/>
  <c r="F226" i="13" a="1"/>
  <c r="F226" i="13" s="1"/>
  <c r="B226" i="13" a="1"/>
  <c r="B226" i="13" s="1"/>
  <c r="B231" i="13" a="1"/>
  <c r="B231" i="13" s="1"/>
  <c r="A231" i="13" a="1"/>
  <c r="A231" i="13" s="1"/>
  <c r="G231" i="13" a="1"/>
  <c r="G231" i="13" s="1"/>
  <c r="F231" i="13" a="1"/>
  <c r="F231" i="13" s="1"/>
  <c r="C231" i="13" a="1"/>
  <c r="C231" i="13" s="1"/>
  <c r="D231" i="13" a="1"/>
  <c r="D231" i="13" s="1"/>
  <c r="D235" i="13" a="1"/>
  <c r="D235" i="13" s="1"/>
  <c r="B235" i="13" a="1"/>
  <c r="B235" i="13" s="1"/>
  <c r="A235" i="13" a="1"/>
  <c r="A235" i="13" s="1"/>
  <c r="F235" i="13" a="1"/>
  <c r="F235" i="13" s="1"/>
  <c r="G235" i="13" a="1"/>
  <c r="G235" i="13" s="1"/>
  <c r="C235" i="13" a="1"/>
  <c r="C235" i="13" s="1"/>
  <c r="C240" i="13" a="1"/>
  <c r="C240" i="13" s="1"/>
  <c r="F240" i="13" a="1"/>
  <c r="F240" i="13" s="1"/>
  <c r="G240" i="13" a="1"/>
  <c r="G240" i="13" s="1"/>
  <c r="B240" i="13" a="1"/>
  <c r="B240" i="13" s="1"/>
  <c r="D240" i="13" a="1"/>
  <c r="D240" i="13" s="1"/>
  <c r="A240" i="13" a="1"/>
  <c r="A240" i="13" s="1"/>
  <c r="C244" i="13" a="1"/>
  <c r="C244" i="13" s="1"/>
  <c r="G244" i="13" a="1"/>
  <c r="G244" i="13" s="1"/>
  <c r="A244" i="13" a="1"/>
  <c r="A244" i="13" s="1"/>
  <c r="B244" i="13" a="1"/>
  <c r="B244" i="13" s="1"/>
  <c r="D244" i="13" a="1"/>
  <c r="D244" i="13" s="1"/>
  <c r="F244" i="13" a="1"/>
  <c r="F244" i="13" s="1"/>
  <c r="G249" i="13" a="1"/>
  <c r="G249" i="13" s="1"/>
  <c r="F249" i="13" a="1"/>
  <c r="F249" i="13" s="1"/>
  <c r="B249" i="13" a="1"/>
  <c r="B249" i="13" s="1"/>
  <c r="A249" i="13" a="1"/>
  <c r="A249" i="13" s="1"/>
  <c r="D249" i="13" a="1"/>
  <c r="D249" i="13" s="1"/>
  <c r="C249" i="13" a="1"/>
  <c r="C249" i="13" s="1"/>
  <c r="G253" i="13" a="1"/>
  <c r="G253" i="13" s="1"/>
  <c r="C253" i="13" a="1"/>
  <c r="C253" i="13" s="1"/>
  <c r="A253" i="13" a="1"/>
  <c r="A253" i="13" s="1"/>
  <c r="D253" i="13" a="1"/>
  <c r="D253" i="13" s="1"/>
  <c r="B253" i="13" a="1"/>
  <c r="B253" i="13" s="1"/>
  <c r="F253" i="13" a="1"/>
  <c r="F253" i="13" s="1"/>
  <c r="B258" i="13" a="1"/>
  <c r="B258" i="13" s="1"/>
  <c r="C258" i="13" a="1"/>
  <c r="C258" i="13" s="1"/>
  <c r="A258" i="13" a="1"/>
  <c r="A258" i="13" s="1"/>
  <c r="D258" i="13" a="1"/>
  <c r="D258" i="13" s="1"/>
  <c r="G258" i="13" a="1"/>
  <c r="G258" i="13" s="1"/>
  <c r="F258" i="13" a="1"/>
  <c r="F258" i="13" s="1"/>
  <c r="B270" i="13" a="1"/>
  <c r="B270" i="13" s="1"/>
  <c r="A270" i="13" a="1"/>
  <c r="A270" i="13" s="1"/>
  <c r="C270" i="13" a="1"/>
  <c r="C270" i="13" s="1"/>
  <c r="D270" i="13" a="1"/>
  <c r="D270" i="13" s="1"/>
  <c r="A299" i="13" a="1"/>
  <c r="A299" i="13" s="1"/>
  <c r="C299" i="13" a="1"/>
  <c r="C299" i="13" s="1"/>
  <c r="D299" i="13" a="1"/>
  <c r="D299" i="13" s="1"/>
  <c r="B299" i="13" a="1"/>
  <c r="B299" i="13" s="1"/>
  <c r="A331" i="13" a="1"/>
  <c r="A331" i="13" s="1"/>
  <c r="D331" i="13" a="1"/>
  <c r="D331" i="13" s="1"/>
  <c r="C331" i="13" a="1"/>
  <c r="C331" i="13" s="1"/>
  <c r="B331" i="13" a="1"/>
  <c r="B331" i="13" s="1"/>
  <c r="D363" i="13" a="1"/>
  <c r="D363" i="13" s="1"/>
  <c r="A363" i="13" a="1"/>
  <c r="A363" i="13" s="1"/>
  <c r="C363" i="13" a="1"/>
  <c r="C363" i="13" s="1"/>
  <c r="B363" i="13" a="1"/>
  <c r="B363" i="13" s="1"/>
  <c r="B384" i="13" a="1"/>
  <c r="B384" i="13" s="1"/>
  <c r="D384" i="13" a="1"/>
  <c r="D384" i="13" s="1"/>
  <c r="C384" i="13" a="1"/>
  <c r="C384" i="13" s="1"/>
  <c r="A384" i="13" a="1"/>
  <c r="A384" i="13" s="1"/>
  <c r="A408" i="13" a="1"/>
  <c r="A408" i="13" s="1"/>
  <c r="C408" i="13" a="1"/>
  <c r="C408" i="13" s="1"/>
  <c r="B408" i="13" a="1"/>
  <c r="B408" i="13" s="1"/>
  <c r="D408" i="13" a="1"/>
  <c r="D408" i="13" s="1"/>
  <c r="C411" i="13" a="1"/>
  <c r="C411" i="13" s="1"/>
  <c r="D411" i="13" a="1"/>
  <c r="D411" i="13" s="1"/>
  <c r="A411" i="13" a="1"/>
  <c r="A411" i="13" s="1"/>
  <c r="B411" i="13" a="1"/>
  <c r="B411" i="13" s="1"/>
  <c r="B421" i="13" a="1"/>
  <c r="B421" i="13" s="1"/>
  <c r="A421" i="13" a="1"/>
  <c r="A421" i="13" s="1"/>
  <c r="C421" i="13" a="1"/>
  <c r="C421" i="13" s="1"/>
  <c r="D421" i="13" a="1"/>
  <c r="D421" i="13" s="1"/>
  <c r="C430" i="13" a="1"/>
  <c r="C430" i="13" s="1"/>
  <c r="B430" i="13" a="1"/>
  <c r="B430" i="13" s="1"/>
  <c r="A430" i="13" a="1"/>
  <c r="A430" i="13" s="1"/>
  <c r="D430" i="13" a="1"/>
  <c r="D430" i="13" s="1"/>
  <c r="A524" i="13" a="1"/>
  <c r="A524" i="13" s="1"/>
  <c r="C524" i="13" a="1"/>
  <c r="C524" i="13" s="1"/>
  <c r="A551" i="13" a="1"/>
  <c r="A551" i="13" s="1"/>
  <c r="C551" i="13" a="1"/>
  <c r="C551" i="13" s="1"/>
  <c r="A606" i="13" a="1"/>
  <c r="A606" i="13" s="1"/>
  <c r="C606" i="13" a="1"/>
  <c r="C606" i="13" s="1"/>
  <c r="A392" i="13" a="1"/>
  <c r="A392" i="13" s="1"/>
  <c r="B392" i="13" a="1"/>
  <c r="B392" i="13" s="1"/>
  <c r="C392" i="13" a="1"/>
  <c r="C392" i="13" s="1"/>
  <c r="D392" i="13" a="1"/>
  <c r="D392" i="13" s="1"/>
  <c r="C397" i="13" a="1"/>
  <c r="C397" i="13" s="1"/>
  <c r="D397" i="13" a="1"/>
  <c r="D397" i="13" s="1"/>
  <c r="B397" i="13" a="1"/>
  <c r="B397" i="13" s="1"/>
  <c r="A397" i="13" a="1"/>
  <c r="A397" i="13" s="1"/>
  <c r="A412" i="13" a="1"/>
  <c r="A412" i="13" s="1"/>
  <c r="D412" i="13" a="1"/>
  <c r="D412" i="13" s="1"/>
  <c r="B412" i="13" a="1"/>
  <c r="B412" i="13" s="1"/>
  <c r="C412" i="13" a="1"/>
  <c r="C412" i="13" s="1"/>
  <c r="A415" i="13" a="1"/>
  <c r="A415" i="13" s="1"/>
  <c r="C415" i="13" a="1"/>
  <c r="C415" i="13" s="1"/>
  <c r="B415" i="13" a="1"/>
  <c r="B415" i="13" s="1"/>
  <c r="D415" i="13" a="1"/>
  <c r="D415" i="13" s="1"/>
  <c r="D420" i="13" a="1"/>
  <c r="D420" i="13" s="1"/>
  <c r="B420" i="13" a="1"/>
  <c r="B420" i="13" s="1"/>
  <c r="C420" i="13" a="1"/>
  <c r="C420" i="13" s="1"/>
  <c r="A420" i="13" a="1"/>
  <c r="A420" i="13" s="1"/>
  <c r="B423" i="13" a="1"/>
  <c r="B423" i="13" s="1"/>
  <c r="C423" i="13" a="1"/>
  <c r="C423" i="13" s="1"/>
  <c r="A423" i="13" a="1"/>
  <c r="A423" i="13" s="1"/>
  <c r="D423" i="13" a="1"/>
  <c r="D423" i="13" s="1"/>
  <c r="C523" i="13" a="1"/>
  <c r="C523" i="13" s="1"/>
  <c r="A523" i="13" a="1"/>
  <c r="A523" i="13" s="1"/>
  <c r="C540" i="13" a="1"/>
  <c r="C540" i="13" s="1"/>
  <c r="A540" i="13" a="1"/>
  <c r="A540" i="13" s="1"/>
  <c r="C266" i="13" a="1"/>
  <c r="C266" i="13" s="1"/>
  <c r="D266" i="13" a="1"/>
  <c r="D266" i="13" s="1"/>
  <c r="A266" i="13" a="1"/>
  <c r="A266" i="13" s="1"/>
  <c r="B266" i="13" a="1"/>
  <c r="B266" i="13" s="1"/>
  <c r="D279" i="13" a="1"/>
  <c r="D279" i="13" s="1"/>
  <c r="B279" i="13" a="1"/>
  <c r="B279" i="13" s="1"/>
  <c r="C279" i="13" a="1"/>
  <c r="C279" i="13" s="1"/>
  <c r="A279" i="13" a="1"/>
  <c r="A279" i="13" s="1"/>
  <c r="D286" i="13" a="1"/>
  <c r="D286" i="13" s="1"/>
  <c r="B286" i="13" a="1"/>
  <c r="B286" i="13" s="1"/>
  <c r="C286" i="13" a="1"/>
  <c r="C286" i="13" s="1"/>
  <c r="A286" i="13" a="1"/>
  <c r="A286" i="13" s="1"/>
  <c r="C295" i="13" a="1"/>
  <c r="C295" i="13" s="1"/>
  <c r="A295" i="13" a="1"/>
  <c r="A295" i="13" s="1"/>
  <c r="B295" i="13" a="1"/>
  <c r="B295" i="13" s="1"/>
  <c r="D295" i="13" a="1"/>
  <c r="D295" i="13" s="1"/>
  <c r="D302" i="13" a="1"/>
  <c r="D302" i="13" s="1"/>
  <c r="A302" i="13" a="1"/>
  <c r="A302" i="13" s="1"/>
  <c r="C302" i="13" a="1"/>
  <c r="C302" i="13" s="1"/>
  <c r="B302" i="13" a="1"/>
  <c r="B302" i="13" s="1"/>
  <c r="B311" i="13" a="1"/>
  <c r="B311" i="13" s="1"/>
  <c r="A311" i="13" a="1"/>
  <c r="A311" i="13" s="1"/>
  <c r="D311" i="13" a="1"/>
  <c r="D311" i="13" s="1"/>
  <c r="C311" i="13" a="1"/>
  <c r="C311" i="13" s="1"/>
  <c r="A318" i="13" a="1"/>
  <c r="A318" i="13" s="1"/>
  <c r="D318" i="13" a="1"/>
  <c r="D318" i="13" s="1"/>
  <c r="B318" i="13" a="1"/>
  <c r="B318" i="13" s="1"/>
  <c r="C318" i="13" a="1"/>
  <c r="C318" i="13" s="1"/>
  <c r="D327" i="13" a="1"/>
  <c r="D327" i="13" s="1"/>
  <c r="B327" i="13" a="1"/>
  <c r="B327" i="13" s="1"/>
  <c r="C327" i="13" a="1"/>
  <c r="C327" i="13" s="1"/>
  <c r="A327" i="13" a="1"/>
  <c r="A327" i="13" s="1"/>
  <c r="B334" i="13" a="1"/>
  <c r="B334" i="13" s="1"/>
  <c r="A334" i="13" a="1"/>
  <c r="A334" i="13" s="1"/>
  <c r="D334" i="13" a="1"/>
  <c r="D334" i="13" s="1"/>
  <c r="C334" i="13" a="1"/>
  <c r="C334" i="13" s="1"/>
  <c r="C343" i="13" a="1"/>
  <c r="C343" i="13" s="1"/>
  <c r="D343" i="13" a="1"/>
  <c r="D343" i="13" s="1"/>
  <c r="B343" i="13" a="1"/>
  <c r="B343" i="13" s="1"/>
  <c r="A343" i="13" a="1"/>
  <c r="A343" i="13" s="1"/>
  <c r="D350" i="13" a="1"/>
  <c r="D350" i="13" s="1"/>
  <c r="C350" i="13" a="1"/>
  <c r="C350" i="13" s="1"/>
  <c r="B350" i="13" a="1"/>
  <c r="B350" i="13" s="1"/>
  <c r="A350" i="13" a="1"/>
  <c r="A350" i="13" s="1"/>
  <c r="D359" i="13" a="1"/>
  <c r="D359" i="13" s="1"/>
  <c r="A359" i="13" a="1"/>
  <c r="A359" i="13" s="1"/>
  <c r="B359" i="13" a="1"/>
  <c r="B359" i="13" s="1"/>
  <c r="C359" i="13" a="1"/>
  <c r="C359" i="13" s="1"/>
  <c r="C366" i="13" a="1"/>
  <c r="C366" i="13" s="1"/>
  <c r="B366" i="13" a="1"/>
  <c r="B366" i="13" s="1"/>
  <c r="A366" i="13" a="1"/>
  <c r="A366" i="13" s="1"/>
  <c r="D366" i="13" a="1"/>
  <c r="D366" i="13" s="1"/>
  <c r="B375" i="13" a="1"/>
  <c r="B375" i="13" s="1"/>
  <c r="A375" i="13" a="1"/>
  <c r="A375" i="13" s="1"/>
  <c r="C375" i="13" a="1"/>
  <c r="C375" i="13" s="1"/>
  <c r="D375" i="13" a="1"/>
  <c r="D375" i="13" s="1"/>
  <c r="D382" i="13" a="1"/>
  <c r="D382" i="13" s="1"/>
  <c r="B382" i="13" a="1"/>
  <c r="B382" i="13" s="1"/>
  <c r="A382" i="13" a="1"/>
  <c r="A382" i="13" s="1"/>
  <c r="C382" i="13" a="1"/>
  <c r="C382" i="13" s="1"/>
  <c r="A391" i="13" a="1"/>
  <c r="A391" i="13" s="1"/>
  <c r="C391" i="13" a="1"/>
  <c r="C391" i="13" s="1"/>
  <c r="D391" i="13" a="1"/>
  <c r="D391" i="13" s="1"/>
  <c r="B391" i="13" a="1"/>
  <c r="B391" i="13" s="1"/>
  <c r="C414" i="13" a="1"/>
  <c r="C414" i="13" s="1"/>
  <c r="B414" i="13" a="1"/>
  <c r="B414" i="13" s="1"/>
  <c r="D414" i="13" a="1"/>
  <c r="D414" i="13" s="1"/>
  <c r="A414" i="13" a="1"/>
  <c r="A414" i="13" s="1"/>
  <c r="C422" i="13" a="1"/>
  <c r="C422" i="13" s="1"/>
  <c r="D422" i="13" a="1"/>
  <c r="D422" i="13" s="1"/>
  <c r="A422" i="13" a="1"/>
  <c r="A422" i="13" s="1"/>
  <c r="B422" i="13" a="1"/>
  <c r="B422" i="13" s="1"/>
  <c r="A532" i="13" a="1"/>
  <c r="A532" i="13" s="1"/>
  <c r="C532" i="13" a="1"/>
  <c r="C532" i="13" s="1"/>
  <c r="C582" i="13" a="1"/>
  <c r="C582" i="13" s="1"/>
  <c r="A582" i="13" a="1"/>
  <c r="A582" i="13" s="1"/>
  <c r="C614" i="13" a="1"/>
  <c r="C614" i="13" s="1"/>
  <c r="A614" i="13" a="1"/>
  <c r="A614" i="13" s="1"/>
  <c r="D396" i="13" a="1"/>
  <c r="D396" i="13" s="1"/>
  <c r="B396" i="13" a="1"/>
  <c r="B396" i="13" s="1"/>
  <c r="A396" i="13" a="1"/>
  <c r="A396" i="13" s="1"/>
  <c r="C396" i="13" a="1"/>
  <c r="C396" i="13" s="1"/>
  <c r="A399" i="13" a="1"/>
  <c r="A399" i="13" s="1"/>
  <c r="B399" i="13" a="1"/>
  <c r="B399" i="13" s="1"/>
  <c r="C399" i="13" a="1"/>
  <c r="C399" i="13" s="1"/>
  <c r="D399" i="13" a="1"/>
  <c r="D399" i="13" s="1"/>
  <c r="B404" i="13" a="1"/>
  <c r="B404" i="13" s="1"/>
  <c r="D404" i="13" a="1"/>
  <c r="D404" i="13" s="1"/>
  <c r="C404" i="13" a="1"/>
  <c r="C404" i="13" s="1"/>
  <c r="A404" i="13" a="1"/>
  <c r="A404" i="13" s="1"/>
  <c r="A432" i="13" a="1"/>
  <c r="A432" i="13" s="1"/>
  <c r="B432" i="13" a="1"/>
  <c r="B432" i="13" s="1"/>
  <c r="D432" i="13" a="1"/>
  <c r="D432" i="13" s="1"/>
  <c r="C432" i="13" a="1"/>
  <c r="C432" i="13" s="1"/>
  <c r="C527" i="13" a="1"/>
  <c r="C527" i="13" s="1"/>
  <c r="A527" i="13" a="1"/>
  <c r="A527" i="13" s="1"/>
  <c r="A539" i="13" a="1"/>
  <c r="A539" i="13" s="1"/>
  <c r="C539" i="13" a="1"/>
  <c r="C539" i="13" s="1"/>
  <c r="C556" i="13" a="1"/>
  <c r="C556" i="13" s="1"/>
  <c r="A556" i="13" a="1"/>
  <c r="A556" i="13" s="1"/>
  <c r="A588" i="13" a="1"/>
  <c r="A588" i="13" s="1"/>
  <c r="C588" i="13" a="1"/>
  <c r="C588" i="13" s="1"/>
  <c r="C620" i="13" a="1"/>
  <c r="C620" i="13" s="1"/>
  <c r="A620" i="13" a="1"/>
  <c r="A620" i="13" s="1"/>
  <c r="D274" i="13" a="1"/>
  <c r="D274" i="13" s="1"/>
  <c r="C274" i="13" a="1"/>
  <c r="C274" i="13" s="1"/>
  <c r="A274" i="13" a="1"/>
  <c r="A274" i="13" s="1"/>
  <c r="B274" i="13" a="1"/>
  <c r="B274" i="13" s="1"/>
  <c r="C282" i="13" a="1"/>
  <c r="C282" i="13" s="1"/>
  <c r="A282" i="13" a="1"/>
  <c r="A282" i="13" s="1"/>
  <c r="D282" i="13" a="1"/>
  <c r="D282" i="13" s="1"/>
  <c r="B282" i="13" a="1"/>
  <c r="B282" i="13" s="1"/>
  <c r="C290" i="13" a="1"/>
  <c r="C290" i="13" s="1"/>
  <c r="A290" i="13" a="1"/>
  <c r="A290" i="13" s="1"/>
  <c r="B290" i="13" a="1"/>
  <c r="B290" i="13" s="1"/>
  <c r="D290" i="13" a="1"/>
  <c r="D290" i="13" s="1"/>
  <c r="D298" i="13" a="1"/>
  <c r="D298" i="13" s="1"/>
  <c r="A298" i="13" a="1"/>
  <c r="A298" i="13" s="1"/>
  <c r="C298" i="13" a="1"/>
  <c r="C298" i="13" s="1"/>
  <c r="B298" i="13" a="1"/>
  <c r="B298" i="13" s="1"/>
  <c r="C306" i="13" a="1"/>
  <c r="C306" i="13" s="1"/>
  <c r="A306" i="13" a="1"/>
  <c r="A306" i="13" s="1"/>
  <c r="B306" i="13" a="1"/>
  <c r="B306" i="13" s="1"/>
  <c r="D306" i="13" a="1"/>
  <c r="D306" i="13" s="1"/>
  <c r="A314" i="13" a="1"/>
  <c r="A314" i="13" s="1"/>
  <c r="C314" i="13" a="1"/>
  <c r="C314" i="13" s="1"/>
  <c r="B314" i="13" a="1"/>
  <c r="B314" i="13" s="1"/>
  <c r="D314" i="13" a="1"/>
  <c r="D314" i="13" s="1"/>
  <c r="B322" i="13" a="1"/>
  <c r="B322" i="13" s="1"/>
  <c r="D322" i="13" a="1"/>
  <c r="D322" i="13" s="1"/>
  <c r="A322" i="13" a="1"/>
  <c r="A322" i="13" s="1"/>
  <c r="C322" i="13" a="1"/>
  <c r="C322" i="13" s="1"/>
  <c r="A330" i="13" a="1"/>
  <c r="A330" i="13" s="1"/>
  <c r="B330" i="13" a="1"/>
  <c r="B330" i="13" s="1"/>
  <c r="C330" i="13" a="1"/>
  <c r="C330" i="13" s="1"/>
  <c r="D330" i="13" a="1"/>
  <c r="D330" i="13" s="1"/>
  <c r="D338" i="13" a="1"/>
  <c r="D338" i="13" s="1"/>
  <c r="B338" i="13" a="1"/>
  <c r="B338" i="13" s="1"/>
  <c r="A338" i="13" a="1"/>
  <c r="A338" i="13" s="1"/>
  <c r="C338" i="13" a="1"/>
  <c r="C338" i="13" s="1"/>
  <c r="C346" i="13" a="1"/>
  <c r="C346" i="13" s="1"/>
  <c r="B346" i="13" a="1"/>
  <c r="B346" i="13" s="1"/>
  <c r="A346" i="13" a="1"/>
  <c r="A346" i="13" s="1"/>
  <c r="D346" i="13" a="1"/>
  <c r="D346" i="13" s="1"/>
  <c r="B354" i="13" a="1"/>
  <c r="B354" i="13" s="1"/>
  <c r="A354" i="13" a="1"/>
  <c r="A354" i="13" s="1"/>
  <c r="C354" i="13" a="1"/>
  <c r="C354" i="13" s="1"/>
  <c r="D354" i="13" a="1"/>
  <c r="D354" i="13" s="1"/>
  <c r="B362" i="13" a="1"/>
  <c r="B362" i="13" s="1"/>
  <c r="A362" i="13" a="1"/>
  <c r="A362" i="13" s="1"/>
  <c r="C362" i="13" a="1"/>
  <c r="C362" i="13" s="1"/>
  <c r="D362" i="13" a="1"/>
  <c r="D362" i="13" s="1"/>
  <c r="C370" i="13" a="1"/>
  <c r="C370" i="13" s="1"/>
  <c r="B370" i="13" a="1"/>
  <c r="B370" i="13" s="1"/>
  <c r="A370" i="13" a="1"/>
  <c r="A370" i="13" s="1"/>
  <c r="D370" i="13" a="1"/>
  <c r="D370" i="13" s="1"/>
  <c r="D378" i="13" a="1"/>
  <c r="D378" i="13" s="1"/>
  <c r="B378" i="13" a="1"/>
  <c r="B378" i="13" s="1"/>
  <c r="C378" i="13" a="1"/>
  <c r="C378" i="13" s="1"/>
  <c r="A378" i="13" a="1"/>
  <c r="A378" i="13" s="1"/>
  <c r="B386" i="13" a="1"/>
  <c r="B386" i="13" s="1"/>
  <c r="A386" i="13" a="1"/>
  <c r="A386" i="13" s="1"/>
  <c r="C386" i="13" a="1"/>
  <c r="C386" i="13" s="1"/>
  <c r="D386" i="13" a="1"/>
  <c r="D386" i="13" s="1"/>
  <c r="D394" i="13" a="1"/>
  <c r="D394" i="13" s="1"/>
  <c r="C394" i="13" a="1"/>
  <c r="C394" i="13" s="1"/>
  <c r="B394" i="13" a="1"/>
  <c r="B394" i="13" s="1"/>
  <c r="A394" i="13" a="1"/>
  <c r="A394" i="13" s="1"/>
  <c r="D403" i="13" a="1"/>
  <c r="D403" i="13" s="1"/>
  <c r="A403" i="13" a="1"/>
  <c r="A403" i="13" s="1"/>
  <c r="C403" i="13" a="1"/>
  <c r="C403" i="13" s="1"/>
  <c r="B403" i="13" a="1"/>
  <c r="B403" i="13" s="1"/>
  <c r="D410" i="13" a="1"/>
  <c r="D410" i="13" s="1"/>
  <c r="C410" i="13" a="1"/>
  <c r="C410" i="13" s="1"/>
  <c r="B410" i="13" a="1"/>
  <c r="B410" i="13" s="1"/>
  <c r="A410" i="13" a="1"/>
  <c r="A410" i="13" s="1"/>
  <c r="D419" i="13" a="1"/>
  <c r="D419" i="13" s="1"/>
  <c r="B419" i="13" a="1"/>
  <c r="B419" i="13" s="1"/>
  <c r="A419" i="13" a="1"/>
  <c r="A419" i="13" s="1"/>
  <c r="C419" i="13" a="1"/>
  <c r="C419" i="13" s="1"/>
  <c r="A566" i="13" a="1"/>
  <c r="A566" i="13" s="1"/>
  <c r="C566" i="13" a="1"/>
  <c r="C566" i="13" s="1"/>
  <c r="A598" i="13" a="1"/>
  <c r="A598" i="13" s="1"/>
  <c r="C598" i="13" a="1"/>
  <c r="C598" i="13" s="1"/>
  <c r="C630" i="13" a="1"/>
  <c r="C630" i="13" s="1"/>
  <c r="A630" i="13" a="1"/>
  <c r="A630" i="13" s="1"/>
  <c r="G262" i="13" a="1"/>
  <c r="G262" i="13" s="1"/>
  <c r="A262" i="13" a="1"/>
  <c r="A262" i="13" s="1"/>
  <c r="C262" i="13" a="1"/>
  <c r="C262" i="13" s="1"/>
  <c r="B262" i="13" a="1"/>
  <c r="B262" i="13" s="1"/>
  <c r="D262" i="13" a="1"/>
  <c r="D262" i="13" s="1"/>
  <c r="B268" i="13" a="1"/>
  <c r="B268" i="13" s="1"/>
  <c r="D268" i="13" a="1"/>
  <c r="D268" i="13" s="1"/>
  <c r="A268" i="13" a="1"/>
  <c r="A268" i="13" s="1"/>
  <c r="C268" i="13" a="1"/>
  <c r="C268" i="13" s="1"/>
  <c r="A276" i="13" a="1"/>
  <c r="A276" i="13" s="1"/>
  <c r="D276" i="13" a="1"/>
  <c r="D276" i="13" s="1"/>
  <c r="C276" i="13" a="1"/>
  <c r="C276" i="13" s="1"/>
  <c r="B276" i="13" a="1"/>
  <c r="B276" i="13" s="1"/>
  <c r="A284" i="13" a="1"/>
  <c r="A284" i="13" s="1"/>
  <c r="D284" i="13" a="1"/>
  <c r="D284" i="13" s="1"/>
  <c r="B284" i="13" a="1"/>
  <c r="B284" i="13" s="1"/>
  <c r="C284" i="13" a="1"/>
  <c r="C284" i="13" s="1"/>
  <c r="A292" i="13" a="1"/>
  <c r="A292" i="13" s="1"/>
  <c r="C292" i="13" a="1"/>
  <c r="C292" i="13" s="1"/>
  <c r="B292" i="13" a="1"/>
  <c r="B292" i="13" s="1"/>
  <c r="D292" i="13" a="1"/>
  <c r="D292" i="13" s="1"/>
  <c r="A300" i="13" a="1"/>
  <c r="A300" i="13" s="1"/>
  <c r="D300" i="13" a="1"/>
  <c r="D300" i="13" s="1"/>
  <c r="C300" i="13" a="1"/>
  <c r="C300" i="13" s="1"/>
  <c r="B300" i="13" a="1"/>
  <c r="B300" i="13" s="1"/>
  <c r="C308" i="13" a="1"/>
  <c r="C308" i="13" s="1"/>
  <c r="D308" i="13" a="1"/>
  <c r="D308" i="13" s="1"/>
  <c r="A308" i="13" a="1"/>
  <c r="A308" i="13" s="1"/>
  <c r="B308" i="13" a="1"/>
  <c r="B308" i="13" s="1"/>
  <c r="A316" i="13" a="1"/>
  <c r="A316" i="13" s="1"/>
  <c r="C316" i="13" a="1"/>
  <c r="C316" i="13" s="1"/>
  <c r="B316" i="13" a="1"/>
  <c r="B316" i="13" s="1"/>
  <c r="D316" i="13" a="1"/>
  <c r="D316" i="13" s="1"/>
  <c r="C324" i="13" a="1"/>
  <c r="C324" i="13" s="1"/>
  <c r="A324" i="13" a="1"/>
  <c r="A324" i="13" s="1"/>
  <c r="D324" i="13" a="1"/>
  <c r="D324" i="13" s="1"/>
  <c r="B324" i="13" a="1"/>
  <c r="B324" i="13" s="1"/>
  <c r="C332" i="13" a="1"/>
  <c r="C332" i="13" s="1"/>
  <c r="B332" i="13" a="1"/>
  <c r="B332" i="13" s="1"/>
  <c r="D332" i="13" a="1"/>
  <c r="D332" i="13" s="1"/>
  <c r="A332" i="13" a="1"/>
  <c r="A332" i="13" s="1"/>
  <c r="D340" i="13" a="1"/>
  <c r="D340" i="13" s="1"/>
  <c r="B340" i="13" a="1"/>
  <c r="B340" i="13" s="1"/>
  <c r="A340" i="13" a="1"/>
  <c r="A340" i="13" s="1"/>
  <c r="C340" i="13" a="1"/>
  <c r="C340" i="13" s="1"/>
  <c r="D348" i="13" a="1"/>
  <c r="D348" i="13" s="1"/>
  <c r="A348" i="13" a="1"/>
  <c r="A348" i="13" s="1"/>
  <c r="C348" i="13" a="1"/>
  <c r="C348" i="13" s="1"/>
  <c r="B348" i="13" a="1"/>
  <c r="B348" i="13" s="1"/>
  <c r="B356" i="13" a="1"/>
  <c r="B356" i="13" s="1"/>
  <c r="D356" i="13" a="1"/>
  <c r="D356" i="13" s="1"/>
  <c r="A356" i="13" a="1"/>
  <c r="A356" i="13" s="1"/>
  <c r="C356" i="13" a="1"/>
  <c r="C356" i="13" s="1"/>
  <c r="B364" i="13" a="1"/>
  <c r="B364" i="13" s="1"/>
  <c r="C364" i="13" a="1"/>
  <c r="C364" i="13" s="1"/>
  <c r="D364" i="13" a="1"/>
  <c r="D364" i="13" s="1"/>
  <c r="A364" i="13" a="1"/>
  <c r="A364" i="13" s="1"/>
  <c r="A372" i="13" a="1"/>
  <c r="A372" i="13" s="1"/>
  <c r="B372" i="13" a="1"/>
  <c r="B372" i="13" s="1"/>
  <c r="C372" i="13" a="1"/>
  <c r="C372" i="13" s="1"/>
  <c r="D372" i="13" a="1"/>
  <c r="D372" i="13" s="1"/>
  <c r="A380" i="13" a="1"/>
  <c r="A380" i="13" s="1"/>
  <c r="D380" i="13" a="1"/>
  <c r="D380" i="13" s="1"/>
  <c r="B380" i="13" a="1"/>
  <c r="B380" i="13" s="1"/>
  <c r="C380" i="13" a="1"/>
  <c r="C380" i="13" s="1"/>
  <c r="B388" i="13" a="1"/>
  <c r="B388" i="13" s="1"/>
  <c r="A388" i="13" a="1"/>
  <c r="A388" i="13" s="1"/>
  <c r="C388" i="13" a="1"/>
  <c r="C388" i="13" s="1"/>
  <c r="D388" i="13" a="1"/>
  <c r="D388" i="13" s="1"/>
  <c r="B400" i="13" a="1"/>
  <c r="B400" i="13" s="1"/>
  <c r="D400" i="13" a="1"/>
  <c r="D400" i="13" s="1"/>
  <c r="C400" i="13" a="1"/>
  <c r="C400" i="13" s="1"/>
  <c r="A400" i="13" a="1"/>
  <c r="A400" i="13" s="1"/>
  <c r="B407" i="13" a="1"/>
  <c r="B407" i="13" s="1"/>
  <c r="D407" i="13" a="1"/>
  <c r="D407" i="13" s="1"/>
  <c r="A407" i="13" a="1"/>
  <c r="A407" i="13" s="1"/>
  <c r="C407" i="13" a="1"/>
  <c r="C407" i="13" s="1"/>
  <c r="C416" i="13" a="1"/>
  <c r="C416" i="13" s="1"/>
  <c r="A416" i="13" a="1"/>
  <c r="A416" i="13" s="1"/>
  <c r="B416" i="13" a="1"/>
  <c r="B416" i="13" s="1"/>
  <c r="D416" i="13" a="1"/>
  <c r="D416" i="13" s="1"/>
  <c r="A558" i="13" a="1"/>
  <c r="A558" i="13" s="1"/>
  <c r="C558" i="13" a="1"/>
  <c r="C558" i="13" s="1"/>
  <c r="A590" i="13" a="1"/>
  <c r="A590" i="13" s="1"/>
  <c r="C590" i="13" a="1"/>
  <c r="C590" i="13" s="1"/>
  <c r="C622" i="13" a="1"/>
  <c r="C622" i="13" s="1"/>
  <c r="A622" i="13" a="1"/>
  <c r="A622" i="13" s="1"/>
  <c r="C222" i="13" a="1"/>
  <c r="C222" i="13" s="1"/>
  <c r="A222" i="13" a="1"/>
  <c r="A222" i="13" s="1"/>
  <c r="F222" i="13" a="1"/>
  <c r="F222" i="13" s="1"/>
  <c r="B222" i="13" a="1"/>
  <c r="B222" i="13" s="1"/>
  <c r="D222" i="13" a="1"/>
  <c r="D222" i="13" s="1"/>
  <c r="G222" i="13" a="1"/>
  <c r="G222" i="13" s="1"/>
  <c r="A230" i="13" a="1"/>
  <c r="A230" i="13" s="1"/>
  <c r="G230" i="13" a="1"/>
  <c r="G230" i="13" s="1"/>
  <c r="F230" i="13" a="1"/>
  <c r="F230" i="13" s="1"/>
  <c r="C230" i="13" a="1"/>
  <c r="C230" i="13" s="1"/>
  <c r="D230" i="13" a="1"/>
  <c r="D230" i="13" s="1"/>
  <c r="B230" i="13" a="1"/>
  <c r="B230" i="13" s="1"/>
  <c r="B238" i="13" a="1"/>
  <c r="B238" i="13" s="1"/>
  <c r="G238" i="13" a="1"/>
  <c r="G238" i="13" s="1"/>
  <c r="A238" i="13" a="1"/>
  <c r="A238" i="13" s="1"/>
  <c r="C238" i="13" a="1"/>
  <c r="C238" i="13" s="1"/>
  <c r="F238" i="13" a="1"/>
  <c r="F238" i="13" s="1"/>
  <c r="D238" i="13" a="1"/>
  <c r="D238" i="13" s="1"/>
  <c r="F246" i="13" a="1"/>
  <c r="F246" i="13" s="1"/>
  <c r="G246" i="13" a="1"/>
  <c r="G246" i="13" s="1"/>
  <c r="A246" i="13" a="1"/>
  <c r="A246" i="13" s="1"/>
  <c r="B246" i="13" a="1"/>
  <c r="B246" i="13" s="1"/>
  <c r="D246" i="13" a="1"/>
  <c r="D246" i="13" s="1"/>
  <c r="C246" i="13" a="1"/>
  <c r="C246" i="13" s="1"/>
  <c r="C254" i="13" a="1"/>
  <c r="C254" i="13" s="1"/>
  <c r="B254" i="13" a="1"/>
  <c r="B254" i="13" s="1"/>
  <c r="G254" i="13" a="1"/>
  <c r="G254" i="13" s="1"/>
  <c r="D254" i="13" a="1"/>
  <c r="D254" i="13" s="1"/>
  <c r="A254" i="13" a="1"/>
  <c r="A254" i="13" s="1"/>
  <c r="F254" i="13" a="1"/>
  <c r="F254" i="13" s="1"/>
  <c r="A265" i="13" a="1"/>
  <c r="A265" i="13" s="1"/>
  <c r="D265" i="13" a="1"/>
  <c r="D265" i="13" s="1"/>
  <c r="C265" i="13" a="1"/>
  <c r="C265" i="13" s="1"/>
  <c r="B265" i="13" a="1"/>
  <c r="B265" i="13" s="1"/>
  <c r="A273" i="13" a="1"/>
  <c r="A273" i="13" s="1"/>
  <c r="C273" i="13" a="1"/>
  <c r="C273" i="13" s="1"/>
  <c r="D273" i="13" a="1"/>
  <c r="D273" i="13" s="1"/>
  <c r="B273" i="13" a="1"/>
  <c r="B273" i="13" s="1"/>
  <c r="A281" i="13" a="1"/>
  <c r="A281" i="13" s="1"/>
  <c r="C281" i="13" a="1"/>
  <c r="C281" i="13" s="1"/>
  <c r="D281" i="13" a="1"/>
  <c r="D281" i="13" s="1"/>
  <c r="B281" i="13" a="1"/>
  <c r="B281" i="13" s="1"/>
  <c r="A289" i="13" a="1"/>
  <c r="A289" i="13" s="1"/>
  <c r="C289" i="13" a="1"/>
  <c r="C289" i="13" s="1"/>
  <c r="D289" i="13" a="1"/>
  <c r="D289" i="13" s="1"/>
  <c r="B289" i="13" a="1"/>
  <c r="B289" i="13" s="1"/>
  <c r="B297" i="13" a="1"/>
  <c r="B297" i="13" s="1"/>
  <c r="D297" i="13" a="1"/>
  <c r="D297" i="13" s="1"/>
  <c r="A297" i="13" a="1"/>
  <c r="A297" i="13" s="1"/>
  <c r="C297" i="13" a="1"/>
  <c r="C297" i="13" s="1"/>
  <c r="B305" i="13" a="1"/>
  <c r="B305" i="13" s="1"/>
  <c r="D305" i="13" a="1"/>
  <c r="D305" i="13" s="1"/>
  <c r="A305" i="13" a="1"/>
  <c r="A305" i="13" s="1"/>
  <c r="C305" i="13" a="1"/>
  <c r="C305" i="13" s="1"/>
  <c r="D313" i="13" a="1"/>
  <c r="D313" i="13" s="1"/>
  <c r="A313" i="13" a="1"/>
  <c r="A313" i="13" s="1"/>
  <c r="C313" i="13" a="1"/>
  <c r="C313" i="13" s="1"/>
  <c r="B313" i="13" a="1"/>
  <c r="B313" i="13" s="1"/>
  <c r="D321" i="13" a="1"/>
  <c r="D321" i="13" s="1"/>
  <c r="A321" i="13" a="1"/>
  <c r="A321" i="13" s="1"/>
  <c r="B321" i="13" a="1"/>
  <c r="B321" i="13" s="1"/>
  <c r="C321" i="13" a="1"/>
  <c r="C321" i="13" s="1"/>
  <c r="B329" i="13" a="1"/>
  <c r="B329" i="13" s="1"/>
  <c r="D329" i="13" a="1"/>
  <c r="D329" i="13" s="1"/>
  <c r="A329" i="13" a="1"/>
  <c r="A329" i="13" s="1"/>
  <c r="C329" i="13" a="1"/>
  <c r="C329" i="13" s="1"/>
  <c r="C337" i="13" a="1"/>
  <c r="C337" i="13" s="1"/>
  <c r="A337" i="13" a="1"/>
  <c r="A337" i="13" s="1"/>
  <c r="D337" i="13" a="1"/>
  <c r="D337" i="13" s="1"/>
  <c r="B337" i="13" a="1"/>
  <c r="B337" i="13" s="1"/>
  <c r="D345" i="13" a="1"/>
  <c r="D345" i="13" s="1"/>
  <c r="A345" i="13" a="1"/>
  <c r="A345" i="13" s="1"/>
  <c r="C345" i="13" a="1"/>
  <c r="C345" i="13" s="1"/>
  <c r="B345" i="13" a="1"/>
  <c r="B345" i="13" s="1"/>
  <c r="C353" i="13" a="1"/>
  <c r="C353" i="13" s="1"/>
  <c r="A353" i="13" a="1"/>
  <c r="A353" i="13" s="1"/>
  <c r="B353" i="13" a="1"/>
  <c r="B353" i="13" s="1"/>
  <c r="D353" i="13" a="1"/>
  <c r="D353" i="13" s="1"/>
  <c r="D361" i="13" a="1"/>
  <c r="D361" i="13" s="1"/>
  <c r="A361" i="13" a="1"/>
  <c r="A361" i="13" s="1"/>
  <c r="C361" i="13" a="1"/>
  <c r="C361" i="13" s="1"/>
  <c r="B361" i="13" a="1"/>
  <c r="B361" i="13" s="1"/>
  <c r="A369" i="13" a="1"/>
  <c r="A369" i="13" s="1"/>
  <c r="B369" i="13" a="1"/>
  <c r="B369" i="13" s="1"/>
  <c r="C369" i="13" a="1"/>
  <c r="C369" i="13" s="1"/>
  <c r="D369" i="13" a="1"/>
  <c r="D369" i="13" s="1"/>
  <c r="B377" i="13" a="1"/>
  <c r="B377" i="13" s="1"/>
  <c r="D377" i="13" a="1"/>
  <c r="D377" i="13" s="1"/>
  <c r="A377" i="13" a="1"/>
  <c r="A377" i="13" s="1"/>
  <c r="C377" i="13" a="1"/>
  <c r="C377" i="13" s="1"/>
  <c r="A385" i="13" a="1"/>
  <c r="A385" i="13" s="1"/>
  <c r="D385" i="13" a="1"/>
  <c r="D385" i="13" s="1"/>
  <c r="B385" i="13" a="1"/>
  <c r="B385" i="13" s="1"/>
  <c r="C385" i="13" a="1"/>
  <c r="C385" i="13" s="1"/>
  <c r="A393" i="13" a="1"/>
  <c r="A393" i="13" s="1"/>
  <c r="D393" i="13" a="1"/>
  <c r="D393" i="13" s="1"/>
  <c r="B393" i="13" a="1"/>
  <c r="B393" i="13" s="1"/>
  <c r="C393" i="13" a="1"/>
  <c r="C393" i="13" s="1"/>
  <c r="A518" i="13" a="1"/>
  <c r="A518" i="13" s="1"/>
  <c r="C518" i="13" a="1"/>
  <c r="C518" i="13" s="1"/>
  <c r="A526" i="13" a="1"/>
  <c r="A526" i="13" s="1"/>
  <c r="C526" i="13" a="1"/>
  <c r="C526" i="13" s="1"/>
  <c r="C534" i="13" a="1"/>
  <c r="C534" i="13" s="1"/>
  <c r="A534" i="13" a="1"/>
  <c r="A534" i="13" s="1"/>
  <c r="C542" i="13" a="1"/>
  <c r="C542" i="13" s="1"/>
  <c r="A542" i="13" a="1"/>
  <c r="A542" i="13" s="1"/>
  <c r="C550" i="13" a="1"/>
  <c r="C550" i="13" s="1"/>
  <c r="A550" i="13" a="1"/>
  <c r="A550" i="13" s="1"/>
  <c r="C563" i="13" a="1"/>
  <c r="C563" i="13" s="1"/>
  <c r="A563" i="13" a="1"/>
  <c r="A563" i="13" s="1"/>
  <c r="C572" i="13" a="1"/>
  <c r="C572" i="13" s="1"/>
  <c r="A572" i="13" a="1"/>
  <c r="A572" i="13" s="1"/>
  <c r="A595" i="13" a="1"/>
  <c r="A595" i="13" s="1"/>
  <c r="C595" i="13" a="1"/>
  <c r="C595" i="13" s="1"/>
  <c r="C604" i="13" a="1"/>
  <c r="C604" i="13" s="1"/>
  <c r="A604" i="13" a="1"/>
  <c r="A604" i="13" s="1"/>
  <c r="A627" i="13" a="1"/>
  <c r="A627" i="13" s="1"/>
  <c r="C627" i="13" a="1"/>
  <c r="C627" i="13" s="1"/>
  <c r="C429" i="13" a="1"/>
  <c r="C429" i="13" s="1"/>
  <c r="A429" i="13" a="1"/>
  <c r="A429" i="13" s="1"/>
  <c r="D429" i="13" a="1"/>
  <c r="D429" i="13" s="1"/>
  <c r="B429" i="13" a="1"/>
  <c r="B429" i="13" s="1"/>
  <c r="B434" i="13" a="1"/>
  <c r="B434" i="13" s="1"/>
  <c r="C434" i="13" a="1"/>
  <c r="C434" i="13" s="1"/>
  <c r="A434" i="13" a="1"/>
  <c r="A434" i="13" s="1"/>
  <c r="C436" i="13" a="1"/>
  <c r="C436" i="13" s="1"/>
  <c r="A436" i="13" a="1"/>
  <c r="A436" i="13" s="1"/>
  <c r="B436" i="13" a="1"/>
  <c r="B436" i="13" s="1"/>
  <c r="A438" i="13" a="1"/>
  <c r="A438" i="13" s="1"/>
  <c r="C438" i="13" a="1"/>
  <c r="C438" i="13" s="1"/>
  <c r="B438" i="13" a="1"/>
  <c r="B438" i="13" s="1"/>
  <c r="A440" i="13" a="1"/>
  <c r="A440" i="13" s="1"/>
  <c r="B440" i="13" a="1"/>
  <c r="B440" i="13" s="1"/>
  <c r="C440" i="13" a="1"/>
  <c r="C440" i="13" s="1"/>
  <c r="C442" i="13" a="1"/>
  <c r="C442" i="13" s="1"/>
  <c r="B442" i="13" a="1"/>
  <c r="B442" i="13" s="1"/>
  <c r="A442" i="13" a="1"/>
  <c r="A442" i="13" s="1"/>
  <c r="A444" i="13" a="1"/>
  <c r="A444" i="13" s="1"/>
  <c r="B444" i="13" a="1"/>
  <c r="B444" i="13" s="1"/>
  <c r="C444" i="13" a="1"/>
  <c r="C444" i="13" s="1"/>
  <c r="C446" i="13" a="1"/>
  <c r="C446" i="13" s="1"/>
  <c r="B446" i="13" a="1"/>
  <c r="B446" i="13" s="1"/>
  <c r="A446" i="13" a="1"/>
  <c r="A446" i="13" s="1"/>
  <c r="C448" i="13" a="1"/>
  <c r="C448" i="13" s="1"/>
  <c r="B448" i="13" a="1"/>
  <c r="B448" i="13" s="1"/>
  <c r="A448" i="13" a="1"/>
  <c r="A448" i="13" s="1"/>
  <c r="B450" i="13" a="1"/>
  <c r="B450" i="13" s="1"/>
  <c r="A450" i="13" a="1"/>
  <c r="A450" i="13" s="1"/>
  <c r="C450" i="13" a="1"/>
  <c r="C450" i="13" s="1"/>
  <c r="C452" i="13" a="1"/>
  <c r="C452" i="13" s="1"/>
  <c r="B452" i="13" a="1"/>
  <c r="B452" i="13" s="1"/>
  <c r="A452" i="13" a="1"/>
  <c r="A452" i="13" s="1"/>
  <c r="C454" i="13" a="1"/>
  <c r="C454" i="13" s="1"/>
  <c r="B454" i="13" a="1"/>
  <c r="B454" i="13" s="1"/>
  <c r="A454" i="13" a="1"/>
  <c r="A454" i="13" s="1"/>
  <c r="A456" i="13" a="1"/>
  <c r="A456" i="13" s="1"/>
  <c r="B456" i="13" a="1"/>
  <c r="B456" i="13" s="1"/>
  <c r="C456" i="13" a="1"/>
  <c r="C456" i="13" s="1"/>
  <c r="C458" i="13" a="1"/>
  <c r="C458" i="13" s="1"/>
  <c r="A458" i="13" a="1"/>
  <c r="A458" i="13" s="1"/>
  <c r="B458" i="13" a="1"/>
  <c r="B458" i="13" s="1"/>
  <c r="B460" i="13" a="1"/>
  <c r="B460" i="13" s="1"/>
  <c r="A460" i="13" a="1"/>
  <c r="A460" i="13" s="1"/>
  <c r="C460" i="13" a="1"/>
  <c r="C460" i="13" s="1"/>
  <c r="A462" i="13" a="1"/>
  <c r="A462" i="13" s="1"/>
  <c r="B462" i="13" a="1"/>
  <c r="B462" i="13" s="1"/>
  <c r="C462" i="13" a="1"/>
  <c r="C462" i="13" s="1"/>
  <c r="C464" i="13" a="1"/>
  <c r="C464" i="13" s="1"/>
  <c r="A464" i="13" a="1"/>
  <c r="A464" i="13" s="1"/>
  <c r="B464" i="13" a="1"/>
  <c r="B464" i="13" s="1"/>
  <c r="C466" i="13" a="1"/>
  <c r="C466" i="13" s="1"/>
  <c r="A466" i="13" a="1"/>
  <c r="A466" i="13" s="1"/>
  <c r="B466" i="13" a="1"/>
  <c r="B466" i="13" s="1"/>
  <c r="B468" i="13" a="1"/>
  <c r="B468" i="13" s="1"/>
  <c r="A468" i="13" a="1"/>
  <c r="A468" i="13" s="1"/>
  <c r="C468" i="13" a="1"/>
  <c r="C468" i="13" s="1"/>
  <c r="B470" i="13" a="1"/>
  <c r="B470" i="13" s="1"/>
  <c r="C470" i="13" a="1"/>
  <c r="C470" i="13" s="1"/>
  <c r="A470" i="13" a="1"/>
  <c r="A470" i="13" s="1"/>
  <c r="C472" i="13" a="1"/>
  <c r="C472" i="13" s="1"/>
  <c r="B472" i="13" a="1"/>
  <c r="B472" i="13" s="1"/>
  <c r="A472" i="13" a="1"/>
  <c r="A472" i="13" s="1"/>
  <c r="A474" i="13" a="1"/>
  <c r="A474" i="13" s="1"/>
  <c r="B474" i="13" a="1"/>
  <c r="B474" i="13" s="1"/>
  <c r="C474" i="13" a="1"/>
  <c r="C474" i="13" s="1"/>
  <c r="A476" i="13" a="1"/>
  <c r="A476" i="13" s="1"/>
  <c r="C476" i="13" a="1"/>
  <c r="C476" i="13" s="1"/>
  <c r="B476" i="13" a="1"/>
  <c r="B476" i="13" s="1"/>
  <c r="A478" i="13" a="1"/>
  <c r="A478" i="13" s="1"/>
  <c r="C478" i="13" a="1"/>
  <c r="C478" i="13" s="1"/>
  <c r="B478" i="13" a="1"/>
  <c r="B478" i="13" s="1"/>
  <c r="C480" i="13" a="1"/>
  <c r="C480" i="13" s="1"/>
  <c r="A480" i="13" a="1"/>
  <c r="A480" i="13" s="1"/>
  <c r="B480" i="13" a="1"/>
  <c r="B480" i="13" s="1"/>
  <c r="C482" i="13" a="1"/>
  <c r="C482" i="13" s="1"/>
  <c r="B482" i="13" a="1"/>
  <c r="B482" i="13" s="1"/>
  <c r="A482" i="13" a="1"/>
  <c r="A482" i="13" s="1"/>
  <c r="A484" i="13" a="1"/>
  <c r="A484" i="13" s="1"/>
  <c r="B484" i="13" a="1"/>
  <c r="B484" i="13" s="1"/>
  <c r="C484" i="13" a="1"/>
  <c r="C484" i="13" s="1"/>
  <c r="B486" i="13" a="1"/>
  <c r="B486" i="13" s="1"/>
  <c r="A486" i="13" a="1"/>
  <c r="A486" i="13" s="1"/>
  <c r="C486" i="13" a="1"/>
  <c r="C486" i="13" s="1"/>
  <c r="B488" i="13" a="1"/>
  <c r="B488" i="13" s="1"/>
  <c r="C488" i="13" a="1"/>
  <c r="C488" i="13" s="1"/>
  <c r="A488" i="13" a="1"/>
  <c r="A488" i="13" s="1"/>
  <c r="C490" i="13" a="1"/>
  <c r="C490" i="13" s="1"/>
  <c r="A490" i="13" a="1"/>
  <c r="A490" i="13" s="1"/>
  <c r="B490" i="13" a="1"/>
  <c r="B490" i="13" s="1"/>
  <c r="A492" i="13" a="1"/>
  <c r="A492" i="13" s="1"/>
  <c r="C492" i="13" a="1"/>
  <c r="C492" i="13" s="1"/>
  <c r="B492" i="13" a="1"/>
  <c r="B492" i="13" s="1"/>
  <c r="C494" i="13" a="1"/>
  <c r="C494" i="13" s="1"/>
  <c r="B494" i="13" a="1"/>
  <c r="B494" i="13" s="1"/>
  <c r="A494" i="13" a="1"/>
  <c r="A494" i="13" s="1"/>
  <c r="A496" i="13" a="1"/>
  <c r="A496" i="13" s="1"/>
  <c r="C496" i="13" a="1"/>
  <c r="C496" i="13" s="1"/>
  <c r="B496" i="13" a="1"/>
  <c r="B496" i="13" s="1"/>
  <c r="C498" i="13" a="1"/>
  <c r="C498" i="13" s="1"/>
  <c r="A498" i="13" a="1"/>
  <c r="A498" i="13" s="1"/>
  <c r="B498" i="13" a="1"/>
  <c r="B498" i="13" s="1"/>
  <c r="C500" i="13" a="1"/>
  <c r="C500" i="13" s="1"/>
  <c r="A500" i="13" a="1"/>
  <c r="A500" i="13" s="1"/>
  <c r="B500" i="13" a="1"/>
  <c r="B500" i="13" s="1"/>
  <c r="A502" i="13" a="1"/>
  <c r="A502" i="13" s="1"/>
  <c r="C502" i="13" a="1"/>
  <c r="C502" i="13" s="1"/>
  <c r="B502" i="13" a="1"/>
  <c r="B502" i="13" s="1"/>
  <c r="A504" i="13" a="1"/>
  <c r="A504" i="13" s="1"/>
  <c r="C504" i="13" a="1"/>
  <c r="C504" i="13" s="1"/>
  <c r="B504" i="13" a="1"/>
  <c r="B504" i="13" s="1"/>
  <c r="C506" i="13" a="1"/>
  <c r="C506" i="13" s="1"/>
  <c r="A506" i="13" a="1"/>
  <c r="A506" i="13" s="1"/>
  <c r="B506" i="13" a="1"/>
  <c r="B506" i="13" s="1"/>
  <c r="B508" i="13" a="1"/>
  <c r="B508" i="13" s="1"/>
  <c r="A508" i="13" a="1"/>
  <c r="A508" i="13" s="1"/>
  <c r="C508" i="13" a="1"/>
  <c r="C508" i="13" s="1"/>
  <c r="B510" i="13" a="1"/>
  <c r="B510" i="13" s="1"/>
  <c r="A510" i="13" a="1"/>
  <c r="A510" i="13" s="1"/>
  <c r="C510" i="13" a="1"/>
  <c r="C510" i="13" s="1"/>
  <c r="C512" i="13" a="1"/>
  <c r="C512" i="13" s="1"/>
  <c r="B512" i="13" a="1"/>
  <c r="B512" i="13" s="1"/>
  <c r="A512" i="13" a="1"/>
  <c r="A512" i="13" s="1"/>
  <c r="C514" i="13" a="1"/>
  <c r="C514" i="13" s="1"/>
  <c r="B514" i="13" a="1"/>
  <c r="B514" i="13" s="1"/>
  <c r="A514" i="13" a="1"/>
  <c r="A514" i="13" s="1"/>
  <c r="A516" i="13" a="1"/>
  <c r="A516" i="13" s="1"/>
  <c r="B516" i="13" a="1"/>
  <c r="B516" i="13" s="1"/>
  <c r="C516" i="13" a="1"/>
  <c r="C516" i="13" s="1"/>
  <c r="A521" i="13" a="1"/>
  <c r="A521" i="13" s="1"/>
  <c r="C521" i="13" a="1"/>
  <c r="C521" i="13" s="1"/>
  <c r="A529" i="13" a="1"/>
  <c r="A529" i="13" s="1"/>
  <c r="C529" i="13" a="1"/>
  <c r="C529" i="13" s="1"/>
  <c r="A537" i="13" a="1"/>
  <c r="A537" i="13" s="1"/>
  <c r="C537" i="13" a="1"/>
  <c r="C537" i="13" s="1"/>
  <c r="C545" i="13" a="1"/>
  <c r="C545" i="13" s="1"/>
  <c r="A545" i="13" a="1"/>
  <c r="A545" i="13" s="1"/>
  <c r="A553" i="13" a="1"/>
  <c r="A553" i="13" s="1"/>
  <c r="C553" i="13" a="1"/>
  <c r="C553" i="13" s="1"/>
  <c r="A561" i="13" a="1"/>
  <c r="A561" i="13" s="1"/>
  <c r="C561" i="13" a="1"/>
  <c r="C561" i="13" s="1"/>
  <c r="A569" i="13" a="1"/>
  <c r="A569" i="13" s="1"/>
  <c r="C569" i="13" a="1"/>
  <c r="C569" i="13" s="1"/>
  <c r="A577" i="13" a="1"/>
  <c r="A577" i="13" s="1"/>
  <c r="C577" i="13" a="1"/>
  <c r="C577" i="13" s="1"/>
  <c r="A585" i="13" a="1"/>
  <c r="A585" i="13" s="1"/>
  <c r="C585" i="13" a="1"/>
  <c r="C585" i="13" s="1"/>
  <c r="A593" i="13" a="1"/>
  <c r="A593" i="13" s="1"/>
  <c r="C593" i="13" a="1"/>
  <c r="C593" i="13" s="1"/>
  <c r="C601" i="13" a="1"/>
  <c r="C601" i="13" s="1"/>
  <c r="A601" i="13" a="1"/>
  <c r="A601" i="13" s="1"/>
  <c r="A609" i="13" a="1"/>
  <c r="A609" i="13" s="1"/>
  <c r="C609" i="13" a="1"/>
  <c r="C609" i="13" s="1"/>
  <c r="A617" i="13" a="1"/>
  <c r="A617" i="13" s="1"/>
  <c r="C617" i="13" a="1"/>
  <c r="C617" i="13" s="1"/>
  <c r="C625" i="13" a="1"/>
  <c r="C625" i="13" s="1"/>
  <c r="A625" i="13" a="1"/>
  <c r="A625" i="13" s="1"/>
  <c r="C559" i="13" a="1"/>
  <c r="C559" i="13" s="1"/>
  <c r="A559" i="13" a="1"/>
  <c r="A559" i="13" s="1"/>
  <c r="C567" i="13" a="1"/>
  <c r="C567" i="13" s="1"/>
  <c r="A567" i="13" a="1"/>
  <c r="A567" i="13" s="1"/>
  <c r="C575" i="13" a="1"/>
  <c r="C575" i="13" s="1"/>
  <c r="A575" i="13" a="1"/>
  <c r="A575" i="13" s="1"/>
  <c r="C583" i="13" a="1"/>
  <c r="C583" i="13" s="1"/>
  <c r="A583" i="13" a="1"/>
  <c r="A583" i="13" s="1"/>
  <c r="C591" i="13" a="1"/>
  <c r="C591" i="13" s="1"/>
  <c r="A591" i="13" a="1"/>
  <c r="A591" i="13" s="1"/>
  <c r="A599" i="13" a="1"/>
  <c r="A599" i="13" s="1"/>
  <c r="C599" i="13" a="1"/>
  <c r="C599" i="13" s="1"/>
  <c r="C607" i="13" a="1"/>
  <c r="C607" i="13" s="1"/>
  <c r="A607" i="13" a="1"/>
  <c r="A607" i="13" s="1"/>
  <c r="A615" i="13" a="1"/>
  <c r="A615" i="13" s="1"/>
  <c r="C615" i="13" a="1"/>
  <c r="C615" i="13" s="1"/>
  <c r="A623" i="13" a="1"/>
  <c r="A623" i="13" s="1"/>
  <c r="C623" i="13" a="1"/>
  <c r="C623" i="13" s="1"/>
  <c r="A631" i="13" a="1"/>
  <c r="A631" i="13" s="1"/>
  <c r="C631" i="13" a="1"/>
  <c r="C631" i="13" s="1"/>
  <c r="A677" i="13" a="1"/>
  <c r="A522" i="13" a="1"/>
  <c r="A522" i="13" s="1"/>
  <c r="C522" i="13" a="1"/>
  <c r="C522" i="13" s="1"/>
  <c r="C530" i="13" a="1"/>
  <c r="C530" i="13" s="1"/>
  <c r="A530" i="13" a="1"/>
  <c r="A530" i="13" s="1"/>
  <c r="C538" i="13" a="1"/>
  <c r="C538" i="13" s="1"/>
  <c r="A538" i="13" a="1"/>
  <c r="A538" i="13" s="1"/>
  <c r="C546" i="13" a="1"/>
  <c r="C546" i="13" s="1"/>
  <c r="A546" i="13" a="1"/>
  <c r="A546" i="13" s="1"/>
  <c r="C554" i="13" a="1"/>
  <c r="C554" i="13" s="1"/>
  <c r="A554" i="13" a="1"/>
  <c r="A554" i="13" s="1"/>
  <c r="C562" i="13" a="1"/>
  <c r="C562" i="13" s="1"/>
  <c r="A562" i="13" a="1"/>
  <c r="A562" i="13" s="1"/>
  <c r="C570" i="13" a="1"/>
  <c r="C570" i="13" s="1"/>
  <c r="A570" i="13" a="1"/>
  <c r="A570" i="13" s="1"/>
  <c r="C578" i="13" a="1"/>
  <c r="C578" i="13" s="1"/>
  <c r="A578" i="13" a="1"/>
  <c r="A578" i="13" s="1"/>
  <c r="A586" i="13" a="1"/>
  <c r="A586" i="13" s="1"/>
  <c r="C586" i="13" a="1"/>
  <c r="C586" i="13" s="1"/>
  <c r="A594" i="13" a="1"/>
  <c r="A594" i="13" s="1"/>
  <c r="C594" i="13" a="1"/>
  <c r="C594" i="13" s="1"/>
  <c r="A602" i="13" a="1"/>
  <c r="A602" i="13" s="1"/>
  <c r="C602" i="13" a="1"/>
  <c r="C602" i="13" s="1"/>
  <c r="A610" i="13" a="1"/>
  <c r="A610" i="13" s="1"/>
  <c r="C610" i="13" a="1"/>
  <c r="C610" i="13" s="1"/>
  <c r="A618" i="13" a="1"/>
  <c r="A618" i="13" s="1"/>
  <c r="C618" i="13" a="1"/>
  <c r="C618" i="13" s="1"/>
  <c r="C626" i="13" a="1"/>
  <c r="C626" i="13" s="1"/>
  <c r="A626" i="13" a="1"/>
  <c r="A626" i="13" s="1"/>
  <c r="A401" i="13" a="1"/>
  <c r="A401" i="13" s="1"/>
  <c r="C401" i="13" a="1"/>
  <c r="C401" i="13" s="1"/>
  <c r="D401" i="13" a="1"/>
  <c r="D401" i="13" s="1"/>
  <c r="B401" i="13" a="1"/>
  <c r="B401" i="13" s="1"/>
  <c r="A409" i="13" a="1"/>
  <c r="A409" i="13" s="1"/>
  <c r="C409" i="13" a="1"/>
  <c r="C409" i="13" s="1"/>
  <c r="D409" i="13" a="1"/>
  <c r="D409" i="13" s="1"/>
  <c r="B409" i="13" a="1"/>
  <c r="B409" i="13" s="1"/>
  <c r="C417" i="13" a="1"/>
  <c r="C417" i="13" s="1"/>
  <c r="B417" i="13" a="1"/>
  <c r="B417" i="13" s="1"/>
  <c r="D417" i="13" a="1"/>
  <c r="D417" i="13" s="1"/>
  <c r="A417" i="13" a="1"/>
  <c r="A417" i="13" s="1"/>
  <c r="B425" i="13" a="1"/>
  <c r="B425" i="13" s="1"/>
  <c r="A425" i="13" a="1"/>
  <c r="A425" i="13" s="1"/>
  <c r="D425" i="13" a="1"/>
  <c r="D425" i="13" s="1"/>
  <c r="C425" i="13" a="1"/>
  <c r="C425" i="13" s="1"/>
  <c r="C433" i="13" a="1"/>
  <c r="C433" i="13" s="1"/>
  <c r="D433" i="13" a="1"/>
  <c r="D433" i="13" s="1"/>
  <c r="B433" i="13" a="1"/>
  <c r="B433" i="13" s="1"/>
  <c r="A433" i="13" a="1"/>
  <c r="A433" i="13" s="1"/>
  <c r="A435" i="13" a="1"/>
  <c r="A435" i="13" s="1"/>
  <c r="B435" i="13" a="1"/>
  <c r="B435" i="13" s="1"/>
  <c r="C435" i="13" a="1"/>
  <c r="C435" i="13" s="1"/>
  <c r="A437" i="13" a="1"/>
  <c r="A437" i="13" s="1"/>
  <c r="C437" i="13" a="1"/>
  <c r="C437" i="13" s="1"/>
  <c r="B437" i="13" a="1"/>
  <c r="B437" i="13" s="1"/>
  <c r="A439" i="13" a="1"/>
  <c r="A439" i="13" s="1"/>
  <c r="C439" i="13" a="1"/>
  <c r="C439" i="13" s="1"/>
  <c r="B439" i="13" a="1"/>
  <c r="B439" i="13" s="1"/>
  <c r="C441" i="13" a="1"/>
  <c r="C441" i="13" s="1"/>
  <c r="B441" i="13" a="1"/>
  <c r="B441" i="13" s="1"/>
  <c r="A441" i="13" a="1"/>
  <c r="A441" i="13" s="1"/>
  <c r="C443" i="13" a="1"/>
  <c r="C443" i="13" s="1"/>
  <c r="A443" i="13" a="1"/>
  <c r="A443" i="13" s="1"/>
  <c r="B443" i="13" a="1"/>
  <c r="B443" i="13" s="1"/>
  <c r="A445" i="13" a="1"/>
  <c r="A445" i="13" s="1"/>
  <c r="C445" i="13" a="1"/>
  <c r="C445" i="13" s="1"/>
  <c r="B445" i="13" a="1"/>
  <c r="B445" i="13" s="1"/>
  <c r="B447" i="13" a="1"/>
  <c r="B447" i="13" s="1"/>
  <c r="A447" i="13" a="1"/>
  <c r="A447" i="13" s="1"/>
  <c r="C447" i="13" a="1"/>
  <c r="C447" i="13" s="1"/>
  <c r="C449" i="13" a="1"/>
  <c r="C449" i="13" s="1"/>
  <c r="A449" i="13" a="1"/>
  <c r="A449" i="13" s="1"/>
  <c r="B449" i="13" a="1"/>
  <c r="B449" i="13" s="1"/>
  <c r="A451" i="13" a="1"/>
  <c r="A451" i="13" s="1"/>
  <c r="C451" i="13" a="1"/>
  <c r="C451" i="13" s="1"/>
  <c r="B451" i="13" a="1"/>
  <c r="B451" i="13" s="1"/>
  <c r="C453" i="13" a="1"/>
  <c r="C453" i="13" s="1"/>
  <c r="A453" i="13" a="1"/>
  <c r="A453" i="13" s="1"/>
  <c r="B453" i="13" a="1"/>
  <c r="B453" i="13" s="1"/>
  <c r="A455" i="13" a="1"/>
  <c r="A455" i="13" s="1"/>
  <c r="C455" i="13" a="1"/>
  <c r="C455" i="13" s="1"/>
  <c r="B455" i="13" a="1"/>
  <c r="B455" i="13" s="1"/>
  <c r="C457" i="13" a="1"/>
  <c r="C457" i="13" s="1"/>
  <c r="B457" i="13" a="1"/>
  <c r="B457" i="13" s="1"/>
  <c r="A457" i="13" a="1"/>
  <c r="A457" i="13" s="1"/>
  <c r="B459" i="13" a="1"/>
  <c r="B459" i="13" s="1"/>
  <c r="C459" i="13" a="1"/>
  <c r="C459" i="13" s="1"/>
  <c r="A459" i="13" a="1"/>
  <c r="A459" i="13" s="1"/>
  <c r="A461" i="13" a="1"/>
  <c r="A461" i="13" s="1"/>
  <c r="C461" i="13" a="1"/>
  <c r="C461" i="13" s="1"/>
  <c r="B461" i="13" a="1"/>
  <c r="B461" i="13" s="1"/>
  <c r="A463" i="13" a="1"/>
  <c r="A463" i="13" s="1"/>
  <c r="C463" i="13" a="1"/>
  <c r="C463" i="13" s="1"/>
  <c r="B463" i="13" a="1"/>
  <c r="B463" i="13" s="1"/>
  <c r="C465" i="13" a="1"/>
  <c r="C465" i="13" s="1"/>
  <c r="A465" i="13" a="1"/>
  <c r="A465" i="13" s="1"/>
  <c r="B465" i="13" a="1"/>
  <c r="B465" i="13" s="1"/>
  <c r="A467" i="13" a="1"/>
  <c r="A467" i="13" s="1"/>
  <c r="C467" i="13" a="1"/>
  <c r="C467" i="13" s="1"/>
  <c r="B467" i="13" a="1"/>
  <c r="B467" i="13" s="1"/>
  <c r="A469" i="13" a="1"/>
  <c r="A469" i="13" s="1"/>
  <c r="C469" i="13" a="1"/>
  <c r="C469" i="13" s="1"/>
  <c r="B469" i="13" a="1"/>
  <c r="B469" i="13" s="1"/>
  <c r="A471" i="13" a="1"/>
  <c r="A471" i="13" s="1"/>
  <c r="C471" i="13" a="1"/>
  <c r="C471" i="13" s="1"/>
  <c r="B471" i="13" a="1"/>
  <c r="B471" i="13" s="1"/>
  <c r="C473" i="13" a="1"/>
  <c r="C473" i="13" s="1"/>
  <c r="A473" i="13" a="1"/>
  <c r="A473" i="13" s="1"/>
  <c r="B473" i="13" a="1"/>
  <c r="B473" i="13" s="1"/>
  <c r="B475" i="13" a="1"/>
  <c r="B475" i="13" s="1"/>
  <c r="A475" i="13" a="1"/>
  <c r="A475" i="13" s="1"/>
  <c r="C475" i="13" a="1"/>
  <c r="C475" i="13" s="1"/>
  <c r="A477" i="13" a="1"/>
  <c r="A477" i="13" s="1"/>
  <c r="B477" i="13" a="1"/>
  <c r="B477" i="13" s="1"/>
  <c r="C477" i="13" a="1"/>
  <c r="C477" i="13" s="1"/>
  <c r="B479" i="13" a="1"/>
  <c r="B479" i="13" s="1"/>
  <c r="C479" i="13" a="1"/>
  <c r="C479" i="13" s="1"/>
  <c r="A479" i="13" a="1"/>
  <c r="A479" i="13" s="1"/>
  <c r="A481" i="13" a="1"/>
  <c r="A481" i="13" s="1"/>
  <c r="B481" i="13" a="1"/>
  <c r="B481" i="13" s="1"/>
  <c r="C481" i="13" a="1"/>
  <c r="C481" i="13" s="1"/>
  <c r="A483" i="13" a="1"/>
  <c r="A483" i="13" s="1"/>
  <c r="C483" i="13" a="1"/>
  <c r="C483" i="13" s="1"/>
  <c r="B483" i="13" a="1"/>
  <c r="B483" i="13" s="1"/>
  <c r="A485" i="13" a="1"/>
  <c r="A485" i="13" s="1"/>
  <c r="B485" i="13" a="1"/>
  <c r="B485" i="13" s="1"/>
  <c r="C485" i="13" a="1"/>
  <c r="C485" i="13" s="1"/>
  <c r="C487" i="13" a="1"/>
  <c r="C487" i="13" s="1"/>
  <c r="B487" i="13" a="1"/>
  <c r="B487" i="13" s="1"/>
  <c r="A487" i="13" a="1"/>
  <c r="A487" i="13" s="1"/>
  <c r="C489" i="13" a="1"/>
  <c r="C489" i="13" s="1"/>
  <c r="A489" i="13" a="1"/>
  <c r="A489" i="13" s="1"/>
  <c r="B489" i="13" a="1"/>
  <c r="B489" i="13" s="1"/>
  <c r="B491" i="13" a="1"/>
  <c r="B491" i="13" s="1"/>
  <c r="C491" i="13" a="1"/>
  <c r="C491" i="13" s="1"/>
  <c r="A491" i="13" a="1"/>
  <c r="A491" i="13" s="1"/>
  <c r="A493" i="13" a="1"/>
  <c r="A493" i="13" s="1"/>
  <c r="C493" i="13" a="1"/>
  <c r="C493" i="13" s="1"/>
  <c r="B493" i="13" a="1"/>
  <c r="B493" i="13" s="1"/>
  <c r="A495" i="13" a="1"/>
  <c r="A495" i="13" s="1"/>
  <c r="B495" i="13" a="1"/>
  <c r="B495" i="13" s="1"/>
  <c r="C495" i="13" a="1"/>
  <c r="C495" i="13" s="1"/>
  <c r="B497" i="13" a="1"/>
  <c r="B497" i="13" s="1"/>
  <c r="C497" i="13" a="1"/>
  <c r="C497" i="13" s="1"/>
  <c r="A497" i="13" a="1"/>
  <c r="A497" i="13" s="1"/>
  <c r="B499" i="13" a="1"/>
  <c r="B499" i="13" s="1"/>
  <c r="C499" i="13" a="1"/>
  <c r="C499" i="13" s="1"/>
  <c r="A499" i="13" a="1"/>
  <c r="A499" i="13" s="1"/>
  <c r="A501" i="13" a="1"/>
  <c r="A501" i="13" s="1"/>
  <c r="B501" i="13" a="1"/>
  <c r="B501" i="13" s="1"/>
  <c r="C501" i="13" a="1"/>
  <c r="C501" i="13" s="1"/>
  <c r="B503" i="13" a="1"/>
  <c r="B503" i="13" s="1"/>
  <c r="C503" i="13" a="1"/>
  <c r="C503" i="13" s="1"/>
  <c r="A503" i="13" a="1"/>
  <c r="A503" i="13" s="1"/>
  <c r="A505" i="13" a="1"/>
  <c r="A505" i="13" s="1"/>
  <c r="B505" i="13" a="1"/>
  <c r="B505" i="13" s="1"/>
  <c r="C505" i="13" a="1"/>
  <c r="C505" i="13" s="1"/>
  <c r="A507" i="13" a="1"/>
  <c r="A507" i="13" s="1"/>
  <c r="C507" i="13" a="1"/>
  <c r="C507" i="13" s="1"/>
  <c r="B507" i="13" a="1"/>
  <c r="B507" i="13" s="1"/>
  <c r="B509" i="13" a="1"/>
  <c r="B509" i="13" s="1"/>
  <c r="C509" i="13" a="1"/>
  <c r="C509" i="13" s="1"/>
  <c r="A509" i="13" a="1"/>
  <c r="A509" i="13" s="1"/>
  <c r="B511" i="13" a="1"/>
  <c r="B511" i="13" s="1"/>
  <c r="A511" i="13" a="1"/>
  <c r="A511" i="13" s="1"/>
  <c r="C511" i="13" a="1"/>
  <c r="C511" i="13" s="1"/>
  <c r="C513" i="13" a="1"/>
  <c r="C513" i="13" s="1"/>
  <c r="B513" i="13" a="1"/>
  <c r="B513" i="13" s="1"/>
  <c r="A513" i="13" a="1"/>
  <c r="A513" i="13" s="1"/>
  <c r="C515" i="13" a="1"/>
  <c r="C515" i="13" s="1"/>
  <c r="A515" i="13" a="1"/>
  <c r="A515" i="13" s="1"/>
  <c r="B515" i="13" a="1"/>
  <c r="B515" i="13" s="1"/>
  <c r="C517" i="13" a="1"/>
  <c r="C517" i="13" s="1"/>
  <c r="B517" i="13" a="1"/>
  <c r="B517" i="13" s="1"/>
  <c r="A517" i="13" a="1"/>
  <c r="A517" i="13" s="1"/>
  <c r="C525" i="13" a="1"/>
  <c r="C525" i="13" s="1"/>
  <c r="A525" i="13" a="1"/>
  <c r="A525" i="13" s="1"/>
  <c r="C533" i="13" a="1"/>
  <c r="C533" i="13" s="1"/>
  <c r="A533" i="13" a="1"/>
  <c r="A533" i="13" s="1"/>
  <c r="C541" i="13" a="1"/>
  <c r="C541" i="13" s="1"/>
  <c r="A541" i="13" a="1"/>
  <c r="A541" i="13" s="1"/>
  <c r="A549" i="13" a="1"/>
  <c r="A549" i="13" s="1"/>
  <c r="C549" i="13" a="1"/>
  <c r="C549" i="13" s="1"/>
  <c r="C557" i="13" a="1"/>
  <c r="C557" i="13" s="1"/>
  <c r="A557" i="13" a="1"/>
  <c r="A557" i="13" s="1"/>
  <c r="A565" i="13" a="1"/>
  <c r="A565" i="13" s="1"/>
  <c r="C565" i="13" a="1"/>
  <c r="C565" i="13" s="1"/>
  <c r="A573" i="13" a="1"/>
  <c r="A573" i="13" s="1"/>
  <c r="C573" i="13" a="1"/>
  <c r="C573" i="13" s="1"/>
  <c r="C581" i="13" a="1"/>
  <c r="C581" i="13" s="1"/>
  <c r="A581" i="13" a="1"/>
  <c r="A581" i="13" s="1"/>
  <c r="A589" i="13" a="1"/>
  <c r="A589" i="13" s="1"/>
  <c r="C589" i="13" a="1"/>
  <c r="C589" i="13" s="1"/>
  <c r="C597" i="13" a="1"/>
  <c r="C597" i="13" s="1"/>
  <c r="A597" i="13" a="1"/>
  <c r="A597" i="13" s="1"/>
  <c r="C605" i="13" a="1"/>
  <c r="C605" i="13" s="1"/>
  <c r="A605" i="13" a="1"/>
  <c r="A605" i="13" s="1"/>
  <c r="C613" i="13" a="1"/>
  <c r="C613" i="13" s="1"/>
  <c r="A613" i="13" a="1"/>
  <c r="A613" i="13" s="1"/>
  <c r="C621" i="13" a="1"/>
  <c r="C621" i="13" s="1"/>
  <c r="A621" i="13" a="1"/>
  <c r="A621" i="13" s="1"/>
  <c r="A629" i="13" a="1"/>
  <c r="A629" i="13" s="1"/>
  <c r="C629" i="13" a="1"/>
  <c r="C629" i="13" s="1"/>
  <c r="C520" i="13" a="1"/>
  <c r="C520" i="13" s="1"/>
  <c r="A520" i="13" a="1"/>
  <c r="A520" i="13" s="1"/>
  <c r="A528" i="13" a="1"/>
  <c r="A528" i="13" s="1"/>
  <c r="C528" i="13" a="1"/>
  <c r="C528" i="13" s="1"/>
  <c r="C536" i="13" a="1"/>
  <c r="C536" i="13" s="1"/>
  <c r="A536" i="13" a="1"/>
  <c r="A536" i="13" s="1"/>
  <c r="C544" i="13" a="1"/>
  <c r="C544" i="13" s="1"/>
  <c r="A544" i="13" a="1"/>
  <c r="A544" i="13" s="1"/>
  <c r="C552" i="13" a="1"/>
  <c r="C552" i="13" s="1"/>
  <c r="A552" i="13" a="1"/>
  <c r="A552" i="13" s="1"/>
  <c r="A560" i="13" a="1"/>
  <c r="A560" i="13" s="1"/>
  <c r="C560" i="13" a="1"/>
  <c r="C560" i="13" s="1"/>
  <c r="A568" i="13" a="1"/>
  <c r="A568" i="13" s="1"/>
  <c r="C568" i="13" a="1"/>
  <c r="C568" i="13" s="1"/>
  <c r="C576" i="13" a="1"/>
  <c r="C576" i="13" s="1"/>
  <c r="A576" i="13" a="1"/>
  <c r="A576" i="13" s="1"/>
  <c r="C584" i="13" a="1"/>
  <c r="C584" i="13" s="1"/>
  <c r="A584" i="13" a="1"/>
  <c r="A584" i="13" s="1"/>
  <c r="C592" i="13" a="1"/>
  <c r="C592" i="13" s="1"/>
  <c r="A592" i="13" a="1"/>
  <c r="A592" i="13" s="1"/>
  <c r="A600" i="13" a="1"/>
  <c r="A600" i="13" s="1"/>
  <c r="C600" i="13" a="1"/>
  <c r="C600" i="13" s="1"/>
  <c r="A608" i="13" a="1"/>
  <c r="A608" i="13" s="1"/>
  <c r="C608" i="13" a="1"/>
  <c r="C608" i="13" s="1"/>
  <c r="C616" i="13" a="1"/>
  <c r="C616" i="13" s="1"/>
  <c r="A616" i="13" a="1"/>
  <c r="A616" i="13" s="1"/>
  <c r="A624" i="13" a="1"/>
  <c r="A624" i="13" s="1"/>
  <c r="C624" i="13" a="1"/>
  <c r="C624" i="13" s="1"/>
  <c r="F3" i="9"/>
  <c r="D6" i="9"/>
  <c r="D7" i="8"/>
  <c r="B30" i="8" s="1"/>
  <c r="F22" i="8" a="1"/>
  <c r="F22" i="8" s="1"/>
  <c r="D3" i="9"/>
  <c r="H5" i="9"/>
  <c r="P89" i="10" a="1"/>
  <c r="P89" i="10" s="1"/>
  <c r="U89" i="10"/>
  <c r="V89" i="10" a="1"/>
  <c r="V89" i="10" s="1"/>
  <c r="O89" i="10" a="1"/>
  <c r="O89" i="10" s="1"/>
  <c r="S89" i="10" a="1"/>
  <c r="S89" i="10" s="1"/>
  <c r="T89" i="10" a="1"/>
  <c r="T89" i="10" s="1"/>
  <c r="R89" i="10" a="1"/>
  <c r="R89" i="10" s="1"/>
  <c r="Q89" i="10" a="1"/>
  <c r="Q89" i="10" s="1"/>
  <c r="Q93" i="10" a="1"/>
  <c r="Q93" i="10" s="1"/>
  <c r="S93" i="10" a="1"/>
  <c r="S93" i="10" s="1"/>
  <c r="P93" i="10" a="1"/>
  <c r="P93" i="10" s="1"/>
  <c r="T93" i="10" a="1"/>
  <c r="T93" i="10" s="1"/>
  <c r="U93" i="10"/>
  <c r="O93" i="10" a="1"/>
  <c r="O93" i="10" s="1"/>
  <c r="V93" i="10" a="1"/>
  <c r="V93" i="10" s="1"/>
  <c r="R93" i="10" a="1"/>
  <c r="R93" i="10" s="1"/>
  <c r="P97" i="10" a="1"/>
  <c r="P97" i="10" s="1"/>
  <c r="O97" i="10" a="1"/>
  <c r="O97" i="10" s="1"/>
  <c r="T97" i="10" a="1"/>
  <c r="T97" i="10" s="1"/>
  <c r="R97" i="10" a="1"/>
  <c r="R97" i="10" s="1"/>
  <c r="V97" i="10" a="1"/>
  <c r="V97" i="10" s="1"/>
  <c r="S97" i="10" a="1"/>
  <c r="S97" i="10" s="1"/>
  <c r="U97" i="10"/>
  <c r="Q97" i="10" a="1"/>
  <c r="Q97" i="10" s="1"/>
  <c r="S101" i="10" a="1"/>
  <c r="S101" i="10" s="1"/>
  <c r="O101" i="10" a="1"/>
  <c r="O101" i="10" s="1"/>
  <c r="V101" i="10" a="1"/>
  <c r="V101" i="10" s="1"/>
  <c r="T101" i="10" a="1"/>
  <c r="T101" i="10" s="1"/>
  <c r="P101" i="10" a="1"/>
  <c r="P101" i="10" s="1"/>
  <c r="R101" i="10" a="1"/>
  <c r="R101" i="10" s="1"/>
  <c r="Q101" i="10" a="1"/>
  <c r="Q101" i="10" s="1"/>
  <c r="U101" i="10"/>
  <c r="Q105" i="10" a="1"/>
  <c r="Q105" i="10" s="1"/>
  <c r="R105" i="10" a="1"/>
  <c r="R105" i="10" s="1"/>
  <c r="V105" i="10" a="1"/>
  <c r="V105" i="10" s="1"/>
  <c r="T105" i="10" a="1"/>
  <c r="T105" i="10" s="1"/>
  <c r="U105" i="10"/>
  <c r="P105" i="10" a="1"/>
  <c r="P105" i="10" s="1"/>
  <c r="O105" i="10" a="1"/>
  <c r="O105" i="10" s="1"/>
  <c r="S105" i="10" a="1"/>
  <c r="S105" i="10" s="1"/>
  <c r="P109" i="10" a="1"/>
  <c r="P109" i="10" s="1"/>
  <c r="S109" i="10" a="1"/>
  <c r="S109" i="10" s="1"/>
  <c r="R109" i="10" a="1"/>
  <c r="R109" i="10" s="1"/>
  <c r="U109" i="10"/>
  <c r="V109" i="10" a="1"/>
  <c r="V109" i="10" s="1"/>
  <c r="O109" i="10" a="1"/>
  <c r="O109" i="10" s="1"/>
  <c r="T109" i="10" a="1"/>
  <c r="T109" i="10" s="1"/>
  <c r="Q109" i="10" a="1"/>
  <c r="Q109" i="10" s="1"/>
  <c r="P113" i="10" a="1"/>
  <c r="P113" i="10" s="1"/>
  <c r="U113" i="10"/>
  <c r="Q113" i="10" a="1"/>
  <c r="Q113" i="10" s="1"/>
  <c r="S113" i="10" a="1"/>
  <c r="S113" i="10" s="1"/>
  <c r="R113" i="10" a="1"/>
  <c r="R113" i="10" s="1"/>
  <c r="T113" i="10" a="1"/>
  <c r="T113" i="10" s="1"/>
  <c r="V113" i="10" a="1"/>
  <c r="V113" i="10" s="1"/>
  <c r="O113" i="10" a="1"/>
  <c r="O113" i="10" s="1"/>
  <c r="Q117" i="10" a="1"/>
  <c r="Q117" i="10" s="1"/>
  <c r="R117" i="10" a="1"/>
  <c r="R117" i="10" s="1"/>
  <c r="V117" i="10" a="1"/>
  <c r="V117" i="10" s="1"/>
  <c r="S117" i="10" a="1"/>
  <c r="S117" i="10" s="1"/>
  <c r="O117" i="10" a="1"/>
  <c r="O117" i="10" s="1"/>
  <c r="T117" i="10" a="1"/>
  <c r="T117" i="10" s="1"/>
  <c r="U117" i="10"/>
  <c r="P117" i="10" a="1"/>
  <c r="P117" i="10" s="1"/>
  <c r="V121" i="10" a="1"/>
  <c r="V121" i="10" s="1"/>
  <c r="O121" i="10" a="1"/>
  <c r="O121" i="10" s="1"/>
  <c r="U121" i="10"/>
  <c r="R121" i="10" a="1"/>
  <c r="R121" i="10" s="1"/>
  <c r="T121" i="10" a="1"/>
  <c r="T121" i="10" s="1"/>
  <c r="Q121" i="10" a="1"/>
  <c r="Q121" i="10" s="1"/>
  <c r="S121" i="10" a="1"/>
  <c r="S121" i="10" s="1"/>
  <c r="P121" i="10" a="1"/>
  <c r="P121" i="10" s="1"/>
  <c r="S125" i="10" a="1"/>
  <c r="S125" i="10" s="1"/>
  <c r="T125" i="10" a="1"/>
  <c r="T125" i="10" s="1"/>
  <c r="R125" i="10" a="1"/>
  <c r="R125" i="10" s="1"/>
  <c r="U125" i="10"/>
  <c r="O125" i="10" a="1"/>
  <c r="O125" i="10" s="1"/>
  <c r="V125" i="10" a="1"/>
  <c r="V125" i="10" s="1"/>
  <c r="Q125" i="10" a="1"/>
  <c r="Q125" i="10" s="1"/>
  <c r="P125" i="10" a="1"/>
  <c r="P125" i="10" s="1"/>
  <c r="R129" i="10" a="1"/>
  <c r="R129" i="10" s="1"/>
  <c r="T129" i="10" a="1"/>
  <c r="T129" i="10" s="1"/>
  <c r="S129" i="10" a="1"/>
  <c r="S129" i="10" s="1"/>
  <c r="O129" i="10" a="1"/>
  <c r="O129" i="10" s="1"/>
  <c r="U129" i="10"/>
  <c r="Q129" i="10" a="1"/>
  <c r="Q129" i="10" s="1"/>
  <c r="P129" i="10" a="1"/>
  <c r="P129" i="10" s="1"/>
  <c r="V129" i="10" a="1"/>
  <c r="V129" i="10" s="1"/>
  <c r="T133" i="10" a="1"/>
  <c r="T133" i="10" s="1"/>
  <c r="V133" i="10" a="1"/>
  <c r="V133" i="10" s="1"/>
  <c r="S133" i="10" a="1"/>
  <c r="S133" i="10" s="1"/>
  <c r="O133" i="10" a="1"/>
  <c r="O133" i="10" s="1"/>
  <c r="U133" i="10"/>
  <c r="P133" i="10" a="1"/>
  <c r="P133" i="10" s="1"/>
  <c r="R133" i="10" a="1"/>
  <c r="R133" i="10" s="1"/>
  <c r="Q133" i="10" a="1"/>
  <c r="Q133" i="10" s="1"/>
  <c r="R2" i="9" a="1"/>
  <c r="R2" i="9" s="1"/>
  <c r="Q2" i="9" a="1"/>
  <c r="Q2" i="9" s="1"/>
  <c r="S2" i="9" s="1" a="1"/>
  <c r="S2" i="9" s="1"/>
  <c r="T2" i="9" s="1" a="1"/>
  <c r="T2" i="9" s="1"/>
  <c r="U2" i="9" s="1" a="1"/>
  <c r="U2" i="9" s="1"/>
  <c r="S7" i="10" a="1"/>
  <c r="S7" i="10" s="1"/>
  <c r="R7" i="10" a="1"/>
  <c r="R7" i="10" s="1"/>
  <c r="U7" i="10" s="1"/>
  <c r="Q7" i="10" a="1"/>
  <c r="Q7" i="10" s="1"/>
  <c r="P7" i="10" a="1"/>
  <c r="P7" i="10" s="1"/>
  <c r="O7" i="10" a="1"/>
  <c r="O7" i="10" s="1"/>
  <c r="V7" i="10" a="1"/>
  <c r="V7" i="10" s="1"/>
  <c r="T7" i="10" a="1"/>
  <c r="T7" i="10" s="1"/>
  <c r="V88" i="10" a="1"/>
  <c r="V88" i="10" s="1"/>
  <c r="U88" i="10"/>
  <c r="O88" i="10" a="1"/>
  <c r="O88" i="10" s="1"/>
  <c r="R88" i="10" a="1"/>
  <c r="R88" i="10" s="1"/>
  <c r="P88" i="10" a="1"/>
  <c r="P88" i="10" s="1"/>
  <c r="T88" i="10" a="1"/>
  <c r="T88" i="10" s="1"/>
  <c r="S88" i="10" a="1"/>
  <c r="S88" i="10" s="1"/>
  <c r="Q88" i="10" a="1"/>
  <c r="Q88" i="10" s="1"/>
  <c r="S92" i="10" a="1"/>
  <c r="S92" i="10" s="1"/>
  <c r="U92" i="10"/>
  <c r="Q92" i="10" a="1"/>
  <c r="Q92" i="10" s="1"/>
  <c r="R92" i="10" a="1"/>
  <c r="R92" i="10" s="1"/>
  <c r="T92" i="10" a="1"/>
  <c r="T92" i="10" s="1"/>
  <c r="P92" i="10" a="1"/>
  <c r="P92" i="10" s="1"/>
  <c r="O92" i="10" a="1"/>
  <c r="O92" i="10" s="1"/>
  <c r="V92" i="10" a="1"/>
  <c r="V92" i="10" s="1"/>
  <c r="R96" i="10" a="1"/>
  <c r="R96" i="10" s="1"/>
  <c r="S96" i="10" a="1"/>
  <c r="S96" i="10" s="1"/>
  <c r="U96" i="10"/>
  <c r="V96" i="10" a="1"/>
  <c r="V96" i="10" s="1"/>
  <c r="Q96" i="10" a="1"/>
  <c r="Q96" i="10" s="1"/>
  <c r="T96" i="10" a="1"/>
  <c r="T96" i="10" s="1"/>
  <c r="O96" i="10" a="1"/>
  <c r="O96" i="10" s="1"/>
  <c r="P96" i="10" a="1"/>
  <c r="P96" i="10" s="1"/>
  <c r="R100" i="10" a="1"/>
  <c r="R100" i="10" s="1"/>
  <c r="P100" i="10" a="1"/>
  <c r="P100" i="10" s="1"/>
  <c r="U100" i="10"/>
  <c r="O100" i="10" a="1"/>
  <c r="O100" i="10" s="1"/>
  <c r="T100" i="10" a="1"/>
  <c r="T100" i="10" s="1"/>
  <c r="Q100" i="10" a="1"/>
  <c r="Q100" i="10" s="1"/>
  <c r="S100" i="10" a="1"/>
  <c r="S100" i="10" s="1"/>
  <c r="V100" i="10" a="1"/>
  <c r="V100" i="10" s="1"/>
  <c r="T104" i="10" a="1"/>
  <c r="T104" i="10" s="1"/>
  <c r="R104" i="10" a="1"/>
  <c r="R104" i="10" s="1"/>
  <c r="S104" i="10" a="1"/>
  <c r="S104" i="10" s="1"/>
  <c r="Q104" i="10" a="1"/>
  <c r="Q104" i="10" s="1"/>
  <c r="V104" i="10" a="1"/>
  <c r="V104" i="10" s="1"/>
  <c r="P104" i="10" a="1"/>
  <c r="P104" i="10" s="1"/>
  <c r="U104" i="10"/>
  <c r="O104" i="10" a="1"/>
  <c r="O104" i="10" s="1"/>
  <c r="U108" i="10"/>
  <c r="R108" i="10" a="1"/>
  <c r="R108" i="10" s="1"/>
  <c r="S108" i="10" a="1"/>
  <c r="S108" i="10" s="1"/>
  <c r="Q108" i="10" a="1"/>
  <c r="Q108" i="10" s="1"/>
  <c r="V108" i="10" a="1"/>
  <c r="V108" i="10" s="1"/>
  <c r="T108" i="10" a="1"/>
  <c r="T108" i="10" s="1"/>
  <c r="O108" i="10" a="1"/>
  <c r="O108" i="10" s="1"/>
  <c r="P108" i="10" a="1"/>
  <c r="P108" i="10" s="1"/>
  <c r="V112" i="10" a="1"/>
  <c r="V112" i="10" s="1"/>
  <c r="Q112" i="10" a="1"/>
  <c r="Q112" i="10" s="1"/>
  <c r="T112" i="10" a="1"/>
  <c r="T112" i="10" s="1"/>
  <c r="S112" i="10" a="1"/>
  <c r="S112" i="10" s="1"/>
  <c r="P112" i="10" a="1"/>
  <c r="P112" i="10" s="1"/>
  <c r="O112" i="10" a="1"/>
  <c r="O112" i="10" s="1"/>
  <c r="U112" i="10"/>
  <c r="R112" i="10" a="1"/>
  <c r="R112" i="10" s="1"/>
  <c r="R116" i="10" a="1"/>
  <c r="R116" i="10" s="1"/>
  <c r="S116" i="10" a="1"/>
  <c r="S116" i="10" s="1"/>
  <c r="U116" i="10"/>
  <c r="V116" i="10" a="1"/>
  <c r="V116" i="10" s="1"/>
  <c r="P116" i="10" a="1"/>
  <c r="P116" i="10" s="1"/>
  <c r="O116" i="10" a="1"/>
  <c r="O116" i="10" s="1"/>
  <c r="T116" i="10" a="1"/>
  <c r="T116" i="10" s="1"/>
  <c r="Q116" i="10" a="1"/>
  <c r="Q116" i="10" s="1"/>
  <c r="V120" i="10" a="1"/>
  <c r="V120" i="10" s="1"/>
  <c r="Q120" i="10" a="1"/>
  <c r="Q120" i="10" s="1"/>
  <c r="O120" i="10" a="1"/>
  <c r="O120" i="10" s="1"/>
  <c r="P120" i="10" a="1"/>
  <c r="P120" i="10" s="1"/>
  <c r="T120" i="10" a="1"/>
  <c r="T120" i="10" s="1"/>
  <c r="R120" i="10" a="1"/>
  <c r="R120" i="10" s="1"/>
  <c r="S120" i="10" a="1"/>
  <c r="S120" i="10" s="1"/>
  <c r="U120" i="10"/>
  <c r="P124" i="10" a="1"/>
  <c r="P124" i="10" s="1"/>
  <c r="Q124" i="10" a="1"/>
  <c r="Q124" i="10" s="1"/>
  <c r="R124" i="10" a="1"/>
  <c r="R124" i="10" s="1"/>
  <c r="U124" i="10"/>
  <c r="O124" i="10" a="1"/>
  <c r="O124" i="10" s="1"/>
  <c r="V124" i="10" a="1"/>
  <c r="V124" i="10" s="1"/>
  <c r="T124" i="10" a="1"/>
  <c r="T124" i="10" s="1"/>
  <c r="S124" i="10" a="1"/>
  <c r="S124" i="10" s="1"/>
  <c r="O128" i="10" a="1"/>
  <c r="O128" i="10" s="1"/>
  <c r="V128" i="10" a="1"/>
  <c r="V128" i="10" s="1"/>
  <c r="R128" i="10" a="1"/>
  <c r="R128" i="10" s="1"/>
  <c r="T128" i="10" a="1"/>
  <c r="T128" i="10" s="1"/>
  <c r="Q128" i="10" a="1"/>
  <c r="Q128" i="10" s="1"/>
  <c r="S128" i="10" a="1"/>
  <c r="S128" i="10" s="1"/>
  <c r="U128" i="10"/>
  <c r="P128" i="10" a="1"/>
  <c r="P128" i="10" s="1"/>
  <c r="U132" i="10"/>
  <c r="S132" i="10" a="1"/>
  <c r="S132" i="10" s="1"/>
  <c r="R132" i="10" a="1"/>
  <c r="R132" i="10" s="1"/>
  <c r="T132" i="10" a="1"/>
  <c r="T132" i="10" s="1"/>
  <c r="P132" i="10" a="1"/>
  <c r="P132" i="10" s="1"/>
  <c r="V132" i="10" a="1"/>
  <c r="V132" i="10" s="1"/>
  <c r="O132" i="10" a="1"/>
  <c r="O132" i="10" s="1"/>
  <c r="Q132" i="10" a="1"/>
  <c r="Q132" i="10" s="1"/>
  <c r="D7" i="9"/>
  <c r="Q8" i="10" a="1"/>
  <c r="Q8" i="10" s="1"/>
  <c r="T8" i="10" a="1"/>
  <c r="T8" i="10" s="1"/>
  <c r="R8" i="10" a="1"/>
  <c r="R8" i="10" s="1"/>
  <c r="O8" i="10" a="1"/>
  <c r="O8" i="10" s="1"/>
  <c r="S8" i="10" a="1"/>
  <c r="S8" i="10" s="1"/>
  <c r="V8" i="10" a="1"/>
  <c r="V8" i="10" s="1"/>
  <c r="P8" i="10" a="1"/>
  <c r="P8" i="10" s="1"/>
  <c r="Q9" i="10" a="1"/>
  <c r="Q9" i="10" s="1"/>
  <c r="P9" i="10" a="1"/>
  <c r="P9" i="10" s="1"/>
  <c r="R9" i="10" a="1"/>
  <c r="R9" i="10" s="1"/>
  <c r="V9" i="10" a="1"/>
  <c r="V9" i="10" s="1"/>
  <c r="T9" i="10" a="1"/>
  <c r="T9" i="10" s="1"/>
  <c r="S9" i="10" a="1"/>
  <c r="S9" i="10" s="1"/>
  <c r="O9" i="10" a="1"/>
  <c r="O9" i="10" s="1"/>
  <c r="Q10" i="10" a="1"/>
  <c r="Q10" i="10" s="1"/>
  <c r="P10" i="10" a="1"/>
  <c r="P10" i="10" s="1"/>
  <c r="V10" i="10" a="1"/>
  <c r="V10" i="10" s="1"/>
  <c r="T10" i="10" a="1"/>
  <c r="T10" i="10" s="1"/>
  <c r="R10" i="10" a="1"/>
  <c r="R10" i="10" s="1"/>
  <c r="S10" i="10" a="1"/>
  <c r="S10" i="10" s="1"/>
  <c r="O10" i="10" a="1"/>
  <c r="O10" i="10" s="1"/>
  <c r="S11" i="10" a="1"/>
  <c r="S11" i="10" s="1"/>
  <c r="R11" i="10" a="1"/>
  <c r="R11" i="10" s="1"/>
  <c r="U11" i="10" s="1"/>
  <c r="Q11" i="10" a="1"/>
  <c r="Q11" i="10" s="1"/>
  <c r="T11" i="10" a="1"/>
  <c r="T11" i="10" s="1"/>
  <c r="O11" i="10" a="1"/>
  <c r="O11" i="10" s="1"/>
  <c r="P11" i="10" a="1"/>
  <c r="P11" i="10" s="1"/>
  <c r="V11" i="10" a="1"/>
  <c r="V11" i="10" s="1"/>
  <c r="V12" i="10" a="1"/>
  <c r="V12" i="10" s="1"/>
  <c r="Q12" i="10" a="1"/>
  <c r="Q12" i="10" s="1"/>
  <c r="R12" i="10" a="1"/>
  <c r="R12" i="10" s="1"/>
  <c r="U12" i="10" s="1"/>
  <c r="O12" i="10" a="1"/>
  <c r="O12" i="10" s="1"/>
  <c r="P12" i="10" a="1"/>
  <c r="P12" i="10" s="1"/>
  <c r="S12" i="10" a="1"/>
  <c r="S12" i="10" s="1"/>
  <c r="T12" i="10" a="1"/>
  <c r="T12" i="10" s="1"/>
  <c r="P13" i="10" a="1"/>
  <c r="P13" i="10" s="1"/>
  <c r="O13" i="10" a="1"/>
  <c r="O13" i="10" s="1"/>
  <c r="R13" i="10" a="1"/>
  <c r="R13" i="10" s="1"/>
  <c r="S13" i="10" a="1"/>
  <c r="S13" i="10" s="1"/>
  <c r="T13" i="10" a="1"/>
  <c r="T13" i="10" s="1"/>
  <c r="V13" i="10" a="1"/>
  <c r="V13" i="10" s="1"/>
  <c r="Q13" i="10" a="1"/>
  <c r="Q13" i="10" s="1"/>
  <c r="S87" i="10" a="1"/>
  <c r="S87" i="10" s="1"/>
  <c r="Q87" i="10" a="1"/>
  <c r="Q87" i="10" s="1"/>
  <c r="O87" i="10" a="1"/>
  <c r="O87" i="10" s="1"/>
  <c r="T87" i="10" a="1"/>
  <c r="T87" i="10" s="1"/>
  <c r="U87" i="10"/>
  <c r="R87" i="10" a="1"/>
  <c r="R87" i="10" s="1"/>
  <c r="P87" i="10" a="1"/>
  <c r="P87" i="10" s="1"/>
  <c r="V87" i="10" a="1"/>
  <c r="V87" i="10" s="1"/>
  <c r="V91" i="10" a="1"/>
  <c r="V91" i="10" s="1"/>
  <c r="R91" i="10" a="1"/>
  <c r="R91" i="10" s="1"/>
  <c r="P91" i="10" a="1"/>
  <c r="P91" i="10" s="1"/>
  <c r="Q91" i="10" a="1"/>
  <c r="Q91" i="10" s="1"/>
  <c r="S91" i="10" a="1"/>
  <c r="S91" i="10" s="1"/>
  <c r="U91" i="10"/>
  <c r="O91" i="10" a="1"/>
  <c r="O91" i="10" s="1"/>
  <c r="T91" i="10" a="1"/>
  <c r="T91" i="10" s="1"/>
  <c r="U95" i="10"/>
  <c r="O95" i="10" a="1"/>
  <c r="O95" i="10" s="1"/>
  <c r="T95" i="10" a="1"/>
  <c r="T95" i="10" s="1"/>
  <c r="Q95" i="10" a="1"/>
  <c r="Q95" i="10" s="1"/>
  <c r="R95" i="10" a="1"/>
  <c r="R95" i="10" s="1"/>
  <c r="P95" i="10" a="1"/>
  <c r="P95" i="10" s="1"/>
  <c r="S95" i="10" a="1"/>
  <c r="S95" i="10" s="1"/>
  <c r="V95" i="10" a="1"/>
  <c r="V95" i="10" s="1"/>
  <c r="O99" i="10" a="1"/>
  <c r="O99" i="10" s="1"/>
  <c r="U99" i="10"/>
  <c r="V99" i="10" a="1"/>
  <c r="V99" i="10" s="1"/>
  <c r="T99" i="10" a="1"/>
  <c r="T99" i="10" s="1"/>
  <c r="R99" i="10" a="1"/>
  <c r="R99" i="10" s="1"/>
  <c r="S99" i="10" a="1"/>
  <c r="S99" i="10" s="1"/>
  <c r="Q99" i="10" a="1"/>
  <c r="Q99" i="10" s="1"/>
  <c r="P99" i="10" a="1"/>
  <c r="P99" i="10" s="1"/>
  <c r="V103" i="10" a="1"/>
  <c r="V103" i="10" s="1"/>
  <c r="T103" i="10" a="1"/>
  <c r="T103" i="10" s="1"/>
  <c r="R103" i="10" a="1"/>
  <c r="R103" i="10" s="1"/>
  <c r="O103" i="10" a="1"/>
  <c r="O103" i="10" s="1"/>
  <c r="S103" i="10" a="1"/>
  <c r="S103" i="10" s="1"/>
  <c r="U103" i="10"/>
  <c r="Q103" i="10" a="1"/>
  <c r="Q103" i="10" s="1"/>
  <c r="P103" i="10" a="1"/>
  <c r="P103" i="10" s="1"/>
  <c r="U107" i="10"/>
  <c r="O107" i="10" a="1"/>
  <c r="O107" i="10" s="1"/>
  <c r="P107" i="10" a="1"/>
  <c r="P107" i="10" s="1"/>
  <c r="V107" i="10" a="1"/>
  <c r="V107" i="10" s="1"/>
  <c r="T107" i="10" a="1"/>
  <c r="T107" i="10" s="1"/>
  <c r="Q107" i="10" a="1"/>
  <c r="Q107" i="10" s="1"/>
  <c r="R107" i="10" a="1"/>
  <c r="R107" i="10" s="1"/>
  <c r="S107" i="10" a="1"/>
  <c r="S107" i="10" s="1"/>
  <c r="O111" i="10" a="1"/>
  <c r="O111" i="10" s="1"/>
  <c r="R111" i="10" a="1"/>
  <c r="R111" i="10" s="1"/>
  <c r="P111" i="10" a="1"/>
  <c r="P111" i="10" s="1"/>
  <c r="T111" i="10" a="1"/>
  <c r="T111" i="10" s="1"/>
  <c r="Q111" i="10" a="1"/>
  <c r="Q111" i="10" s="1"/>
  <c r="S111" i="10" a="1"/>
  <c r="S111" i="10" s="1"/>
  <c r="U111" i="10"/>
  <c r="V111" i="10" a="1"/>
  <c r="V111" i="10" s="1"/>
  <c r="Q115" i="10" a="1"/>
  <c r="Q115" i="10" s="1"/>
  <c r="R115" i="10" a="1"/>
  <c r="R115" i="10" s="1"/>
  <c r="V115" i="10" a="1"/>
  <c r="V115" i="10" s="1"/>
  <c r="U115" i="10"/>
  <c r="P115" i="10" a="1"/>
  <c r="P115" i="10" s="1"/>
  <c r="S115" i="10" a="1"/>
  <c r="S115" i="10" s="1"/>
  <c r="O115" i="10" a="1"/>
  <c r="O115" i="10" s="1"/>
  <c r="T115" i="10" a="1"/>
  <c r="T115" i="10" s="1"/>
  <c r="S119" i="10" a="1"/>
  <c r="S119" i="10" s="1"/>
  <c r="R119" i="10" a="1"/>
  <c r="R119" i="10" s="1"/>
  <c r="U119" i="10"/>
  <c r="P119" i="10" a="1"/>
  <c r="P119" i="10" s="1"/>
  <c r="O119" i="10" a="1"/>
  <c r="O119" i="10" s="1"/>
  <c r="V119" i="10" a="1"/>
  <c r="V119" i="10" s="1"/>
  <c r="T119" i="10" a="1"/>
  <c r="T119" i="10" s="1"/>
  <c r="Q119" i="10" a="1"/>
  <c r="Q119" i="10" s="1"/>
  <c r="T123" i="10" a="1"/>
  <c r="T123" i="10" s="1"/>
  <c r="O123" i="10" a="1"/>
  <c r="O123" i="10" s="1"/>
  <c r="U123" i="10"/>
  <c r="R123" i="10" a="1"/>
  <c r="R123" i="10" s="1"/>
  <c r="S123" i="10" a="1"/>
  <c r="S123" i="10" s="1"/>
  <c r="V123" i="10" a="1"/>
  <c r="V123" i="10" s="1"/>
  <c r="P123" i="10" a="1"/>
  <c r="P123" i="10" s="1"/>
  <c r="Q123" i="10" a="1"/>
  <c r="Q123" i="10" s="1"/>
  <c r="T127" i="10" a="1"/>
  <c r="T127" i="10" s="1"/>
  <c r="P127" i="10" a="1"/>
  <c r="P127" i="10" s="1"/>
  <c r="O127" i="10" a="1"/>
  <c r="O127" i="10" s="1"/>
  <c r="R127" i="10" a="1"/>
  <c r="R127" i="10" s="1"/>
  <c r="S127" i="10" a="1"/>
  <c r="S127" i="10" s="1"/>
  <c r="Q127" i="10" a="1"/>
  <c r="Q127" i="10" s="1"/>
  <c r="U127" i="10"/>
  <c r="V127" i="10" a="1"/>
  <c r="V127" i="10" s="1"/>
  <c r="T131" i="10" a="1"/>
  <c r="T131" i="10" s="1"/>
  <c r="U131" i="10"/>
  <c r="O131" i="10" a="1"/>
  <c r="O131" i="10" s="1"/>
  <c r="Q131" i="10" a="1"/>
  <c r="Q131" i="10" s="1"/>
  <c r="S131" i="10" a="1"/>
  <c r="S131" i="10" s="1"/>
  <c r="P131" i="10" a="1"/>
  <c r="P131" i="10" s="1"/>
  <c r="R131" i="10" a="1"/>
  <c r="R131" i="10" s="1"/>
  <c r="V131" i="10" a="1"/>
  <c r="V131" i="10" s="1"/>
  <c r="Q135" i="10" a="1"/>
  <c r="Q135" i="10" s="1"/>
  <c r="O135" i="10" a="1"/>
  <c r="O135" i="10" s="1"/>
  <c r="P135" i="10" a="1"/>
  <c r="P135" i="10" s="1"/>
  <c r="T135" i="10" a="1"/>
  <c r="T135" i="10" s="1"/>
  <c r="R135" i="10" a="1"/>
  <c r="R135" i="10" s="1"/>
  <c r="V135" i="10" a="1"/>
  <c r="V135" i="10" s="1"/>
  <c r="U135" i="10"/>
  <c r="S135" i="10" a="1"/>
  <c r="S135" i="10" s="1"/>
  <c r="R15" i="10" a="1"/>
  <c r="R15" i="10" s="1"/>
  <c r="S15" i="10" a="1"/>
  <c r="S15" i="10" s="1"/>
  <c r="T15" i="10" a="1"/>
  <c r="T15" i="10" s="1"/>
  <c r="V15" i="10" a="1"/>
  <c r="V15" i="10" s="1"/>
  <c r="O15" i="10" a="1"/>
  <c r="O15" i="10" s="1"/>
  <c r="P15" i="10" a="1"/>
  <c r="P15" i="10" s="1"/>
  <c r="Q15" i="10" a="1"/>
  <c r="Q15" i="10" s="1"/>
  <c r="V16" i="10" a="1"/>
  <c r="V16" i="10" s="1"/>
  <c r="S16" i="10" a="1"/>
  <c r="S16" i="10" s="1"/>
  <c r="R16" i="10" a="1"/>
  <c r="R16" i="10" s="1"/>
  <c r="O16" i="10" a="1"/>
  <c r="O16" i="10" s="1"/>
  <c r="Q16" i="10" a="1"/>
  <c r="Q16" i="10" s="1"/>
  <c r="T16" i="10" a="1"/>
  <c r="T16" i="10" s="1"/>
  <c r="P16" i="10" a="1"/>
  <c r="P16" i="10" s="1"/>
  <c r="S17" i="10" a="1"/>
  <c r="S17" i="10" s="1"/>
  <c r="Q17" i="10" a="1"/>
  <c r="Q17" i="10" s="1"/>
  <c r="R17" i="10" a="1"/>
  <c r="R17" i="10" s="1"/>
  <c r="U17" i="10" s="1"/>
  <c r="V17" i="10" a="1"/>
  <c r="V17" i="10" s="1"/>
  <c r="P17" i="10" a="1"/>
  <c r="P17" i="10" s="1"/>
  <c r="O17" i="10" a="1"/>
  <c r="O17" i="10" s="1"/>
  <c r="T17" i="10" a="1"/>
  <c r="T17" i="10" s="1"/>
  <c r="S18" i="10" a="1"/>
  <c r="S18" i="10" s="1"/>
  <c r="P18" i="10" a="1"/>
  <c r="P18" i="10" s="1"/>
  <c r="O18" i="10" a="1"/>
  <c r="O18" i="10" s="1"/>
  <c r="R18" i="10" a="1"/>
  <c r="R18" i="10" s="1"/>
  <c r="T18" i="10" a="1"/>
  <c r="T18" i="10" s="1"/>
  <c r="V18" i="10" a="1"/>
  <c r="V18" i="10" s="1"/>
  <c r="Q18" i="10" a="1"/>
  <c r="Q18" i="10" s="1"/>
  <c r="R19" i="10" a="1"/>
  <c r="R19" i="10" s="1"/>
  <c r="Q19" i="10" a="1"/>
  <c r="Q19" i="10" s="1"/>
  <c r="O19" i="10" a="1"/>
  <c r="O19" i="10" s="1"/>
  <c r="P19" i="10" a="1"/>
  <c r="P19" i="10" s="1"/>
  <c r="S19" i="10" a="1"/>
  <c r="S19" i="10" s="1"/>
  <c r="T19" i="10" a="1"/>
  <c r="T19" i="10" s="1"/>
  <c r="V19" i="10" a="1"/>
  <c r="V19" i="10" s="1"/>
  <c r="P21" i="10" a="1"/>
  <c r="P21" i="10" s="1"/>
  <c r="R21" i="10" a="1"/>
  <c r="R21" i="10" s="1"/>
  <c r="O21" i="10" a="1"/>
  <c r="O21" i="10" s="1"/>
  <c r="T21" i="10" a="1"/>
  <c r="T21" i="10" s="1"/>
  <c r="V21" i="10" a="1"/>
  <c r="V21" i="10" s="1"/>
  <c r="S21" i="10" a="1"/>
  <c r="S21" i="10" s="1"/>
  <c r="Q21" i="10" a="1"/>
  <c r="Q21" i="10" s="1"/>
  <c r="Q22" i="10" a="1"/>
  <c r="Q22" i="10" s="1"/>
  <c r="R22" i="10" a="1"/>
  <c r="R22" i="10" s="1"/>
  <c r="S22" i="10" a="1"/>
  <c r="S22" i="10" s="1"/>
  <c r="P22" i="10" a="1"/>
  <c r="P22" i="10" s="1"/>
  <c r="T22" i="10" a="1"/>
  <c r="T22" i="10" s="1"/>
  <c r="V22" i="10" a="1"/>
  <c r="V22" i="10" s="1"/>
  <c r="O22" i="10" a="1"/>
  <c r="O22" i="10" s="1"/>
  <c r="P23" i="10" a="1"/>
  <c r="P23" i="10" s="1"/>
  <c r="Q23" i="10" a="1"/>
  <c r="Q23" i="10" s="1"/>
  <c r="S23" i="10" a="1"/>
  <c r="S23" i="10" s="1"/>
  <c r="T23" i="10" a="1"/>
  <c r="T23" i="10" s="1"/>
  <c r="O23" i="10" a="1"/>
  <c r="O23" i="10" s="1"/>
  <c r="V23" i="10" a="1"/>
  <c r="V23" i="10" s="1"/>
  <c r="R23" i="10" a="1"/>
  <c r="R23" i="10" s="1"/>
  <c r="P24" i="10" a="1"/>
  <c r="P24" i="10" s="1"/>
  <c r="V24" i="10" a="1"/>
  <c r="V24" i="10" s="1"/>
  <c r="O24" i="10" a="1"/>
  <c r="O24" i="10" s="1"/>
  <c r="T24" i="10" a="1"/>
  <c r="T24" i="10" s="1"/>
  <c r="S24" i="10" a="1"/>
  <c r="S24" i="10" s="1"/>
  <c r="Q24" i="10" a="1"/>
  <c r="Q24" i="10" s="1"/>
  <c r="R24" i="10" a="1"/>
  <c r="R24" i="10" s="1"/>
  <c r="U24" i="10"/>
  <c r="U42" i="10" s="1"/>
  <c r="U36" i="10" s="1"/>
  <c r="O25" i="10" a="1"/>
  <c r="O25" i="10" s="1"/>
  <c r="R25" i="10" a="1"/>
  <c r="R25" i="10" s="1"/>
  <c r="V25" i="10" a="1"/>
  <c r="V25" i="10" s="1"/>
  <c r="P25" i="10" a="1"/>
  <c r="P25" i="10" s="1"/>
  <c r="T25" i="10" a="1"/>
  <c r="T25" i="10" s="1"/>
  <c r="S25" i="10" a="1"/>
  <c r="S25" i="10" s="1"/>
  <c r="Q25" i="10" a="1"/>
  <c r="Q25" i="10" s="1"/>
  <c r="U25" i="10"/>
  <c r="U26" i="10"/>
  <c r="P26" i="10" a="1"/>
  <c r="P26" i="10" s="1"/>
  <c r="O26" i="10" a="1"/>
  <c r="O26" i="10" s="1"/>
  <c r="V26" i="10" a="1"/>
  <c r="V26" i="10" s="1"/>
  <c r="S26" i="10" a="1"/>
  <c r="S26" i="10" s="1"/>
  <c r="Q26" i="10" a="1"/>
  <c r="Q26" i="10" s="1"/>
  <c r="T26" i="10" a="1"/>
  <c r="T26" i="10" s="1"/>
  <c r="R26" i="10" a="1"/>
  <c r="R26" i="10" s="1"/>
  <c r="V27" i="10" a="1"/>
  <c r="V27" i="10" s="1"/>
  <c r="O27" i="10" a="1"/>
  <c r="O27" i="10" s="1"/>
  <c r="T27" i="10" a="1"/>
  <c r="T27" i="10" s="1"/>
  <c r="U27" i="10"/>
  <c r="S27" i="10" a="1"/>
  <c r="S27" i="10" s="1"/>
  <c r="P27" i="10" a="1"/>
  <c r="P27" i="10" s="1"/>
  <c r="Q27" i="10" a="1"/>
  <c r="Q27" i="10" s="1"/>
  <c r="R27" i="10" a="1"/>
  <c r="R27" i="10" s="1"/>
  <c r="Q28" i="10" a="1"/>
  <c r="Q28" i="10" s="1"/>
  <c r="P28" i="10" a="1"/>
  <c r="P28" i="10" s="1"/>
  <c r="V28" i="10" a="1"/>
  <c r="V28" i="10" s="1"/>
  <c r="U28" i="10"/>
  <c r="T28" i="10" a="1"/>
  <c r="T28" i="10" s="1"/>
  <c r="S28" i="10" a="1"/>
  <c r="S28" i="10" s="1"/>
  <c r="O28" i="10" a="1"/>
  <c r="O28" i="10" s="1"/>
  <c r="R28" i="10" a="1"/>
  <c r="R28" i="10" s="1"/>
  <c r="T29" i="10" a="1"/>
  <c r="T29" i="10" s="1"/>
  <c r="Q29" i="10" a="1"/>
  <c r="Q29" i="10" s="1"/>
  <c r="P29" i="10" a="1"/>
  <c r="P29" i="10" s="1"/>
  <c r="R29" i="10" a="1"/>
  <c r="R29" i="10" s="1"/>
  <c r="V29" i="10" a="1"/>
  <c r="V29" i="10" s="1"/>
  <c r="O29" i="10" a="1"/>
  <c r="O29" i="10" s="1"/>
  <c r="S29" i="10" a="1"/>
  <c r="S29" i="10" s="1"/>
  <c r="Q30" i="10" a="1"/>
  <c r="Q30" i="10" s="1"/>
  <c r="R30" i="10" a="1"/>
  <c r="R30" i="10" s="1"/>
  <c r="O30" i="10" a="1"/>
  <c r="O30" i="10" s="1"/>
  <c r="U30" i="10"/>
  <c r="P30" i="10" a="1"/>
  <c r="P30" i="10" s="1"/>
  <c r="S30" i="10" a="1"/>
  <c r="S30" i="10" s="1"/>
  <c r="T30" i="10" a="1"/>
  <c r="T30" i="10" s="1"/>
  <c r="V30" i="10" a="1"/>
  <c r="V30" i="10" s="1"/>
  <c r="R31" i="10" a="1"/>
  <c r="R31" i="10" s="1"/>
  <c r="S31" i="10" a="1"/>
  <c r="S31" i="10" s="1"/>
  <c r="T31" i="10" a="1"/>
  <c r="T31" i="10" s="1"/>
  <c r="P31" i="10" a="1"/>
  <c r="P31" i="10" s="1"/>
  <c r="V31" i="10" a="1"/>
  <c r="V31" i="10" s="1"/>
  <c r="O31" i="10" a="1"/>
  <c r="O31" i="10" s="1"/>
  <c r="Q31" i="10" a="1"/>
  <c r="Q31" i="10" s="1"/>
  <c r="T32" i="10" a="1"/>
  <c r="T32" i="10" s="1"/>
  <c r="Q32" i="10" a="1"/>
  <c r="Q32" i="10" s="1"/>
  <c r="V32" i="10" a="1"/>
  <c r="V32" i="10" s="1"/>
  <c r="O32" i="10" a="1"/>
  <c r="O32" i="10" s="1"/>
  <c r="S32" i="10" a="1"/>
  <c r="S32" i="10" s="1"/>
  <c r="R32" i="10" a="1"/>
  <c r="R32" i="10" s="1"/>
  <c r="P32" i="10" a="1"/>
  <c r="P32" i="10" s="1"/>
  <c r="O33" i="10" a="1"/>
  <c r="O33" i="10" s="1"/>
  <c r="T33" i="10" a="1"/>
  <c r="T33" i="10" s="1"/>
  <c r="S33" i="10" a="1"/>
  <c r="S33" i="10" s="1"/>
  <c r="R33" i="10" a="1"/>
  <c r="R33" i="10" s="1"/>
  <c r="P33" i="10" a="1"/>
  <c r="P33" i="10" s="1"/>
  <c r="Q33" i="10" a="1"/>
  <c r="Q33" i="10" s="1"/>
  <c r="V33" i="10" a="1"/>
  <c r="V33" i="10" s="1"/>
  <c r="U34" i="10"/>
  <c r="P34" i="10" a="1"/>
  <c r="P34" i="10" s="1"/>
  <c r="R34" i="10" a="1"/>
  <c r="R34" i="10" s="1"/>
  <c r="O34" i="10" a="1"/>
  <c r="O34" i="10" s="1"/>
  <c r="T34" i="10" a="1"/>
  <c r="T34" i="10" s="1"/>
  <c r="Q34" i="10" a="1"/>
  <c r="Q34" i="10" s="1"/>
  <c r="V34" i="10" a="1"/>
  <c r="V34" i="10" s="1"/>
  <c r="S34" i="10" a="1"/>
  <c r="S34" i="10" s="1"/>
  <c r="U35" i="10"/>
  <c r="T35" i="10" a="1"/>
  <c r="T35" i="10" s="1"/>
  <c r="V35" i="10" a="1"/>
  <c r="V35" i="10" s="1"/>
  <c r="P35" i="10" a="1"/>
  <c r="P35" i="10" s="1"/>
  <c r="O35" i="10" a="1"/>
  <c r="O35" i="10" s="1"/>
  <c r="R35" i="10" a="1"/>
  <c r="R35" i="10" s="1"/>
  <c r="Q35" i="10" a="1"/>
  <c r="Q35" i="10" s="1"/>
  <c r="S35" i="10" a="1"/>
  <c r="S35" i="10" s="1"/>
  <c r="S36" i="10" a="1"/>
  <c r="S36" i="10" s="1"/>
  <c r="T36" i="10" a="1"/>
  <c r="T36" i="10" s="1"/>
  <c r="R36" i="10" a="1"/>
  <c r="R36" i="10" s="1"/>
  <c r="Q36" i="10" a="1"/>
  <c r="Q36" i="10" s="1"/>
  <c r="P36" i="10" a="1"/>
  <c r="P36" i="10" s="1"/>
  <c r="O36" i="10" a="1"/>
  <c r="O36" i="10" s="1"/>
  <c r="V36" i="10" a="1"/>
  <c r="V36" i="10" s="1"/>
  <c r="S37" i="10" a="1"/>
  <c r="S37" i="10" s="1"/>
  <c r="O37" i="10" a="1"/>
  <c r="O37" i="10" s="1"/>
  <c r="P37" i="10" a="1"/>
  <c r="P37" i="10" s="1"/>
  <c r="V37" i="10" a="1"/>
  <c r="V37" i="10" s="1"/>
  <c r="R37" i="10" a="1"/>
  <c r="R37" i="10" s="1"/>
  <c r="Q37" i="10" a="1"/>
  <c r="Q37" i="10" s="1"/>
  <c r="T37" i="10" a="1"/>
  <c r="T37" i="10" s="1"/>
  <c r="Q38" i="10" a="1"/>
  <c r="Q38" i="10" s="1"/>
  <c r="V38" i="10" a="1"/>
  <c r="V38" i="10" s="1"/>
  <c r="P38" i="10" a="1"/>
  <c r="P38" i="10" s="1"/>
  <c r="O38" i="10" a="1"/>
  <c r="O38" i="10" s="1"/>
  <c r="S38" i="10" a="1"/>
  <c r="S38" i="10" s="1"/>
  <c r="R38" i="10" a="1"/>
  <c r="R38" i="10" s="1"/>
  <c r="T38" i="10" a="1"/>
  <c r="T38" i="10" s="1"/>
  <c r="R40" i="10" a="1"/>
  <c r="R40" i="10" s="1"/>
  <c r="P40" i="10" a="1"/>
  <c r="P40" i="10" s="1"/>
  <c r="Q40" i="10" a="1"/>
  <c r="Q40" i="10" s="1"/>
  <c r="O40" i="10" a="1"/>
  <c r="O40" i="10" s="1"/>
  <c r="S40" i="10" a="1"/>
  <c r="S40" i="10" s="1"/>
  <c r="V40" i="10" a="1"/>
  <c r="V40" i="10" s="1"/>
  <c r="T40" i="10" a="1"/>
  <c r="T40" i="10" s="1"/>
  <c r="U40" i="10"/>
  <c r="U32" i="10" s="1"/>
  <c r="V41" i="10" a="1"/>
  <c r="V41" i="10" s="1"/>
  <c r="S41" i="10" a="1"/>
  <c r="S41" i="10" s="1"/>
  <c r="O41" i="10" a="1"/>
  <c r="O41" i="10" s="1"/>
  <c r="P41" i="10" a="1"/>
  <c r="P41" i="10" s="1"/>
  <c r="T41" i="10" a="1"/>
  <c r="T41" i="10" s="1"/>
  <c r="R41" i="10" a="1"/>
  <c r="R41" i="10" s="1"/>
  <c r="Q41" i="10" a="1"/>
  <c r="Q41" i="10" s="1"/>
  <c r="S42" i="10" a="1"/>
  <c r="S42" i="10" s="1"/>
  <c r="R42" i="10" a="1"/>
  <c r="R42" i="10" s="1"/>
  <c r="Q42" i="10" a="1"/>
  <c r="Q42" i="10" s="1"/>
  <c r="P42" i="10" a="1"/>
  <c r="P42" i="10" s="1"/>
  <c r="O42" i="10" a="1"/>
  <c r="O42" i="10" s="1"/>
  <c r="V42" i="10" a="1"/>
  <c r="V42" i="10" s="1"/>
  <c r="T42" i="10" a="1"/>
  <c r="T42" i="10" s="1"/>
  <c r="V43" i="10" a="1"/>
  <c r="V43" i="10" s="1"/>
  <c r="Q43" i="10" a="1"/>
  <c r="Q43" i="10" s="1"/>
  <c r="O43" i="10" a="1"/>
  <c r="O43" i="10" s="1"/>
  <c r="R43" i="10" a="1"/>
  <c r="R43" i="10" s="1"/>
  <c r="S43" i="10" a="1"/>
  <c r="S43" i="10" s="1"/>
  <c r="T43" i="10" a="1"/>
  <c r="T43" i="10" s="1"/>
  <c r="P43" i="10" a="1"/>
  <c r="P43" i="10" s="1"/>
  <c r="P44" i="10" a="1"/>
  <c r="P44" i="10" s="1"/>
  <c r="S44" i="10" a="1"/>
  <c r="S44" i="10" s="1"/>
  <c r="R44" i="10" a="1"/>
  <c r="R44" i="10" s="1"/>
  <c r="Q44" i="10" a="1"/>
  <c r="Q44" i="10" s="1"/>
  <c r="T44" i="10" a="1"/>
  <c r="T44" i="10" s="1"/>
  <c r="V44" i="10" a="1"/>
  <c r="V44" i="10" s="1"/>
  <c r="O44" i="10" a="1"/>
  <c r="O44" i="10" s="1"/>
  <c r="R45" i="10" a="1"/>
  <c r="R45" i="10" s="1"/>
  <c r="P45" i="10" a="1"/>
  <c r="P45" i="10" s="1"/>
  <c r="T45" i="10" a="1"/>
  <c r="T45" i="10" s="1"/>
  <c r="S45" i="10" a="1"/>
  <c r="S45" i="10" s="1"/>
  <c r="Q45" i="10" a="1"/>
  <c r="Q45" i="10" s="1"/>
  <c r="O45" i="10" a="1"/>
  <c r="O45" i="10" s="1"/>
  <c r="U45" i="10"/>
  <c r="U43" i="10" s="1"/>
  <c r="V45" i="10" a="1"/>
  <c r="V45" i="10" s="1"/>
  <c r="R46" i="10" a="1"/>
  <c r="R46" i="10" s="1"/>
  <c r="S46" i="10" a="1"/>
  <c r="S46" i="10" s="1"/>
  <c r="U46" i="10"/>
  <c r="V46" i="10" a="1"/>
  <c r="V46" i="10" s="1"/>
  <c r="O46" i="10" a="1"/>
  <c r="O46" i="10" s="1"/>
  <c r="T46" i="10" a="1"/>
  <c r="T46" i="10" s="1"/>
  <c r="Q46" i="10" a="1"/>
  <c r="Q46" i="10" s="1"/>
  <c r="P46" i="10" a="1"/>
  <c r="P46" i="10" s="1"/>
  <c r="T47" i="10" a="1"/>
  <c r="T47" i="10" s="1"/>
  <c r="P47" i="10" a="1"/>
  <c r="P47" i="10" s="1"/>
  <c r="Q47" i="10" a="1"/>
  <c r="Q47" i="10" s="1"/>
  <c r="O47" i="10" a="1"/>
  <c r="O47" i="10" s="1"/>
  <c r="V47" i="10" a="1"/>
  <c r="V47" i="10" s="1"/>
  <c r="R47" i="10" a="1"/>
  <c r="R47" i="10" s="1"/>
  <c r="S47" i="10" a="1"/>
  <c r="S47" i="10" s="1"/>
  <c r="U47" i="10"/>
  <c r="O48" i="10" a="1"/>
  <c r="O48" i="10" s="1"/>
  <c r="V48" i="10" a="1"/>
  <c r="V48" i="10" s="1"/>
  <c r="U48" i="10"/>
  <c r="P48" i="10" a="1"/>
  <c r="P48" i="10" s="1"/>
  <c r="R48" i="10" a="1"/>
  <c r="R48" i="10" s="1"/>
  <c r="T48" i="10" a="1"/>
  <c r="T48" i="10" s="1"/>
  <c r="S48" i="10" a="1"/>
  <c r="S48" i="10" s="1"/>
  <c r="Q48" i="10" a="1"/>
  <c r="Q48" i="10" s="1"/>
  <c r="R49" i="10" a="1"/>
  <c r="R49" i="10" s="1"/>
  <c r="T49" i="10" a="1"/>
  <c r="T49" i="10" s="1"/>
  <c r="O49" i="10" a="1"/>
  <c r="O49" i="10" s="1"/>
  <c r="P49" i="10" a="1"/>
  <c r="P49" i="10" s="1"/>
  <c r="Q49" i="10" a="1"/>
  <c r="Q49" i="10" s="1"/>
  <c r="S49" i="10" a="1"/>
  <c r="S49" i="10" s="1"/>
  <c r="U49" i="10"/>
  <c r="V49" i="10" a="1"/>
  <c r="V49" i="10" s="1"/>
  <c r="T50" i="10" a="1"/>
  <c r="T50" i="10" s="1"/>
  <c r="V50" i="10" a="1"/>
  <c r="V50" i="10" s="1"/>
  <c r="U50" i="10"/>
  <c r="R50" i="10" a="1"/>
  <c r="R50" i="10" s="1"/>
  <c r="S50" i="10" a="1"/>
  <c r="S50" i="10" s="1"/>
  <c r="P50" i="10" a="1"/>
  <c r="P50" i="10" s="1"/>
  <c r="O50" i="10" a="1"/>
  <c r="O50" i="10" s="1"/>
  <c r="Q50" i="10" a="1"/>
  <c r="Q50" i="10" s="1"/>
  <c r="S51" i="10" a="1"/>
  <c r="S51" i="10" s="1"/>
  <c r="R51" i="10" a="1"/>
  <c r="R51" i="10" s="1"/>
  <c r="V51" i="10" a="1"/>
  <c r="V51" i="10" s="1"/>
  <c r="P51" i="10" a="1"/>
  <c r="P51" i="10" s="1"/>
  <c r="T51" i="10" a="1"/>
  <c r="T51" i="10" s="1"/>
  <c r="U51" i="10"/>
  <c r="O51" i="10" a="1"/>
  <c r="O51" i="10" s="1"/>
  <c r="Q51" i="10" a="1"/>
  <c r="Q51" i="10" s="1"/>
  <c r="Q52" i="10" a="1"/>
  <c r="Q52" i="10" s="1"/>
  <c r="O52" i="10" a="1"/>
  <c r="O52" i="10" s="1"/>
  <c r="P52" i="10" a="1"/>
  <c r="P52" i="10" s="1"/>
  <c r="R52" i="10" a="1"/>
  <c r="R52" i="10" s="1"/>
  <c r="S52" i="10" a="1"/>
  <c r="S52" i="10" s="1"/>
  <c r="U52" i="10"/>
  <c r="V52" i="10" a="1"/>
  <c r="V52" i="10" s="1"/>
  <c r="T52" i="10" a="1"/>
  <c r="T52" i="10" s="1"/>
  <c r="S53" i="10" a="1"/>
  <c r="S53" i="10" s="1"/>
  <c r="R53" i="10" a="1"/>
  <c r="R53" i="10" s="1"/>
  <c r="P53" i="10" a="1"/>
  <c r="P53" i="10" s="1"/>
  <c r="T53" i="10" a="1"/>
  <c r="T53" i="10" s="1"/>
  <c r="Q53" i="10" a="1"/>
  <c r="Q53" i="10" s="1"/>
  <c r="V53" i="10" a="1"/>
  <c r="V53" i="10" s="1"/>
  <c r="U53" i="10"/>
  <c r="O53" i="10" a="1"/>
  <c r="O53" i="10" s="1"/>
  <c r="S54" i="10" a="1"/>
  <c r="S54" i="10" s="1"/>
  <c r="V54" i="10" a="1"/>
  <c r="V54" i="10" s="1"/>
  <c r="U54" i="10"/>
  <c r="Q54" i="10" a="1"/>
  <c r="Q54" i="10" s="1"/>
  <c r="T54" i="10" a="1"/>
  <c r="T54" i="10" s="1"/>
  <c r="O54" i="10" a="1"/>
  <c r="O54" i="10" s="1"/>
  <c r="P54" i="10" a="1"/>
  <c r="P54" i="10" s="1"/>
  <c r="R54" i="10" a="1"/>
  <c r="R54" i="10" s="1"/>
  <c r="P55" i="10" a="1"/>
  <c r="P55" i="10" s="1"/>
  <c r="V55" i="10" a="1"/>
  <c r="V55" i="10" s="1"/>
  <c r="R55" i="10" a="1"/>
  <c r="R55" i="10" s="1"/>
  <c r="Q55" i="10" a="1"/>
  <c r="Q55" i="10" s="1"/>
  <c r="S55" i="10" a="1"/>
  <c r="S55" i="10" s="1"/>
  <c r="T55" i="10" a="1"/>
  <c r="T55" i="10" s="1"/>
  <c r="O55" i="10" a="1"/>
  <c r="O55" i="10" s="1"/>
  <c r="U55" i="10"/>
  <c r="S56" i="10" a="1"/>
  <c r="S56" i="10" s="1"/>
  <c r="T56" i="10" a="1"/>
  <c r="T56" i="10" s="1"/>
  <c r="U56" i="10"/>
  <c r="V56" i="10" a="1"/>
  <c r="V56" i="10" s="1"/>
  <c r="Q56" i="10" a="1"/>
  <c r="Q56" i="10" s="1"/>
  <c r="O56" i="10" a="1"/>
  <c r="O56" i="10" s="1"/>
  <c r="P56" i="10" a="1"/>
  <c r="P56" i="10" s="1"/>
  <c r="R56" i="10" a="1"/>
  <c r="R56" i="10" s="1"/>
  <c r="S57" i="10" a="1"/>
  <c r="S57" i="10" s="1"/>
  <c r="T57" i="10" a="1"/>
  <c r="T57" i="10" s="1"/>
  <c r="V57" i="10" a="1"/>
  <c r="V57" i="10" s="1"/>
  <c r="P57" i="10" a="1"/>
  <c r="P57" i="10" s="1"/>
  <c r="R57" i="10" a="1"/>
  <c r="R57" i="10" s="1"/>
  <c r="Q57" i="10" a="1"/>
  <c r="Q57" i="10" s="1"/>
  <c r="U57" i="10"/>
  <c r="O57" i="10" a="1"/>
  <c r="O57" i="10" s="1"/>
  <c r="U58" i="10"/>
  <c r="O58" i="10" a="1"/>
  <c r="O58" i="10" s="1"/>
  <c r="R58" i="10" a="1"/>
  <c r="R58" i="10" s="1"/>
  <c r="S58" i="10" a="1"/>
  <c r="S58" i="10" s="1"/>
  <c r="P58" i="10" a="1"/>
  <c r="P58" i="10" s="1"/>
  <c r="T58" i="10" a="1"/>
  <c r="T58" i="10" s="1"/>
  <c r="V58" i="10" a="1"/>
  <c r="V58" i="10" s="1"/>
  <c r="Q58" i="10" a="1"/>
  <c r="Q58" i="10" s="1"/>
  <c r="R59" i="10" a="1"/>
  <c r="R59" i="10" s="1"/>
  <c r="S59" i="10" a="1"/>
  <c r="S59" i="10" s="1"/>
  <c r="T59" i="10" a="1"/>
  <c r="T59" i="10" s="1"/>
  <c r="O59" i="10" a="1"/>
  <c r="O59" i="10" s="1"/>
  <c r="P59" i="10" a="1"/>
  <c r="P59" i="10" s="1"/>
  <c r="V59" i="10" a="1"/>
  <c r="V59" i="10" s="1"/>
  <c r="U59" i="10"/>
  <c r="Q59" i="10" a="1"/>
  <c r="Q59" i="10" s="1"/>
  <c r="R60" i="10" a="1"/>
  <c r="R60" i="10" s="1"/>
  <c r="P60" i="10" a="1"/>
  <c r="P60" i="10" s="1"/>
  <c r="U60" i="10"/>
  <c r="O60" i="10" a="1"/>
  <c r="O60" i="10" s="1"/>
  <c r="T60" i="10" a="1"/>
  <c r="T60" i="10" s="1"/>
  <c r="Q60" i="10" a="1"/>
  <c r="Q60" i="10" s="1"/>
  <c r="V60" i="10" a="1"/>
  <c r="V60" i="10" s="1"/>
  <c r="S60" i="10" a="1"/>
  <c r="S60" i="10" s="1"/>
  <c r="Q61" i="10" a="1"/>
  <c r="Q61" i="10" s="1"/>
  <c r="R61" i="10" a="1"/>
  <c r="R61" i="10" s="1"/>
  <c r="O61" i="10" a="1"/>
  <c r="O61" i="10" s="1"/>
  <c r="T61" i="10" a="1"/>
  <c r="T61" i="10" s="1"/>
  <c r="P61" i="10" a="1"/>
  <c r="P61" i="10" s="1"/>
  <c r="S61" i="10" a="1"/>
  <c r="S61" i="10" s="1"/>
  <c r="U61" i="10"/>
  <c r="V61" i="10" a="1"/>
  <c r="V61" i="10" s="1"/>
  <c r="P62" i="10" a="1"/>
  <c r="P62" i="10" s="1"/>
  <c r="T62" i="10" a="1"/>
  <c r="T62" i="10" s="1"/>
  <c r="V62" i="10" a="1"/>
  <c r="V62" i="10" s="1"/>
  <c r="Q62" i="10" a="1"/>
  <c r="Q62" i="10" s="1"/>
  <c r="S62" i="10" a="1"/>
  <c r="S62" i="10" s="1"/>
  <c r="O62" i="10" a="1"/>
  <c r="O62" i="10" s="1"/>
  <c r="U62" i="10"/>
  <c r="R62" i="10" a="1"/>
  <c r="R62" i="10" s="1"/>
  <c r="O63" i="10" a="1"/>
  <c r="O63" i="10" s="1"/>
  <c r="V63" i="10" a="1"/>
  <c r="V63" i="10" s="1"/>
  <c r="P63" i="10" a="1"/>
  <c r="P63" i="10" s="1"/>
  <c r="S63" i="10" a="1"/>
  <c r="S63" i="10" s="1"/>
  <c r="Q63" i="10" a="1"/>
  <c r="Q63" i="10" s="1"/>
  <c r="R63" i="10" a="1"/>
  <c r="R63" i="10" s="1"/>
  <c r="T63" i="10" a="1"/>
  <c r="T63" i="10" s="1"/>
  <c r="U63" i="10"/>
  <c r="O64" i="10" a="1"/>
  <c r="O64" i="10" s="1"/>
  <c r="T64" i="10" a="1"/>
  <c r="T64" i="10" s="1"/>
  <c r="V64" i="10" a="1"/>
  <c r="V64" i="10" s="1"/>
  <c r="Q64" i="10" a="1"/>
  <c r="Q64" i="10" s="1"/>
  <c r="P64" i="10" a="1"/>
  <c r="P64" i="10" s="1"/>
  <c r="R64" i="10" a="1"/>
  <c r="R64" i="10" s="1"/>
  <c r="S64" i="10" a="1"/>
  <c r="S64" i="10" s="1"/>
  <c r="U64" i="10"/>
  <c r="U65" i="10"/>
  <c r="P65" i="10" a="1"/>
  <c r="P65" i="10" s="1"/>
  <c r="T65" i="10" a="1"/>
  <c r="T65" i="10" s="1"/>
  <c r="O65" i="10" a="1"/>
  <c r="O65" i="10" s="1"/>
  <c r="S65" i="10" a="1"/>
  <c r="S65" i="10" s="1"/>
  <c r="Q65" i="10" a="1"/>
  <c r="Q65" i="10" s="1"/>
  <c r="V65" i="10" a="1"/>
  <c r="V65" i="10" s="1"/>
  <c r="R65" i="10" a="1"/>
  <c r="R65" i="10" s="1"/>
  <c r="P66" i="10" a="1"/>
  <c r="P66" i="10" s="1"/>
  <c r="S66" i="10" a="1"/>
  <c r="S66" i="10" s="1"/>
  <c r="O66" i="10" a="1"/>
  <c r="O66" i="10" s="1"/>
  <c r="R66" i="10" a="1"/>
  <c r="R66" i="10" s="1"/>
  <c r="U66" i="10"/>
  <c r="T66" i="10" a="1"/>
  <c r="T66" i="10" s="1"/>
  <c r="V66" i="10" a="1"/>
  <c r="V66" i="10" s="1"/>
  <c r="Q66" i="10" a="1"/>
  <c r="Q66" i="10" s="1"/>
  <c r="T67" i="10" a="1"/>
  <c r="T67" i="10" s="1"/>
  <c r="U67" i="10"/>
  <c r="S67" i="10" a="1"/>
  <c r="S67" i="10" s="1"/>
  <c r="O67" i="10" a="1"/>
  <c r="O67" i="10" s="1"/>
  <c r="P67" i="10" a="1"/>
  <c r="P67" i="10" s="1"/>
  <c r="V67" i="10" a="1"/>
  <c r="V67" i="10" s="1"/>
  <c r="Q67" i="10" a="1"/>
  <c r="Q67" i="10" s="1"/>
  <c r="R67" i="10" a="1"/>
  <c r="R67" i="10" s="1"/>
  <c r="O68" i="10" a="1"/>
  <c r="O68" i="10" s="1"/>
  <c r="Q68" i="10" a="1"/>
  <c r="Q68" i="10" s="1"/>
  <c r="U68" i="10"/>
  <c r="S68" i="10" a="1"/>
  <c r="S68" i="10" s="1"/>
  <c r="T68" i="10" a="1"/>
  <c r="T68" i="10" s="1"/>
  <c r="V68" i="10" a="1"/>
  <c r="V68" i="10" s="1"/>
  <c r="R68" i="10" a="1"/>
  <c r="R68" i="10" s="1"/>
  <c r="P68" i="10" a="1"/>
  <c r="P68" i="10" s="1"/>
  <c r="T69" i="10" a="1"/>
  <c r="T69" i="10" s="1"/>
  <c r="P69" i="10" a="1"/>
  <c r="P69" i="10" s="1"/>
  <c r="V69" i="10" a="1"/>
  <c r="V69" i="10" s="1"/>
  <c r="Q69" i="10" a="1"/>
  <c r="Q69" i="10" s="1"/>
  <c r="S69" i="10" a="1"/>
  <c r="S69" i="10" s="1"/>
  <c r="O69" i="10" a="1"/>
  <c r="O69" i="10" s="1"/>
  <c r="U69" i="10"/>
  <c r="R69" i="10" a="1"/>
  <c r="R69" i="10" s="1"/>
  <c r="T70" i="10" a="1"/>
  <c r="T70" i="10" s="1"/>
  <c r="P70" i="10" a="1"/>
  <c r="P70" i="10" s="1"/>
  <c r="S70" i="10" a="1"/>
  <c r="S70" i="10" s="1"/>
  <c r="U70" i="10"/>
  <c r="R70" i="10" a="1"/>
  <c r="R70" i="10" s="1"/>
  <c r="V70" i="10" a="1"/>
  <c r="V70" i="10" s="1"/>
  <c r="Q70" i="10" a="1"/>
  <c r="Q70" i="10" s="1"/>
  <c r="O70" i="10" a="1"/>
  <c r="O70" i="10" s="1"/>
  <c r="V71" i="10" a="1"/>
  <c r="V71" i="10" s="1"/>
  <c r="U71" i="10"/>
  <c r="S71" i="10" a="1"/>
  <c r="S71" i="10" s="1"/>
  <c r="P71" i="10" a="1"/>
  <c r="P71" i="10" s="1"/>
  <c r="O71" i="10" a="1"/>
  <c r="O71" i="10" s="1"/>
  <c r="T71" i="10" a="1"/>
  <c r="T71" i="10" s="1"/>
  <c r="R71" i="10" a="1"/>
  <c r="R71" i="10" s="1"/>
  <c r="Q71" i="10" a="1"/>
  <c r="Q71" i="10" s="1"/>
  <c r="O72" i="10" a="1"/>
  <c r="O72" i="10" s="1"/>
  <c r="S72" i="10" a="1"/>
  <c r="S72" i="10" s="1"/>
  <c r="U72" i="10"/>
  <c r="P72" i="10" a="1"/>
  <c r="P72" i="10" s="1"/>
  <c r="V72" i="10" a="1"/>
  <c r="V72" i="10" s="1"/>
  <c r="R72" i="10" a="1"/>
  <c r="R72" i="10" s="1"/>
  <c r="Q72" i="10" a="1"/>
  <c r="Q72" i="10" s="1"/>
  <c r="T72" i="10" a="1"/>
  <c r="T72" i="10" s="1"/>
  <c r="P73" i="10" a="1"/>
  <c r="P73" i="10" s="1"/>
  <c r="R73" i="10" a="1"/>
  <c r="R73" i="10" s="1"/>
  <c r="Q73" i="10" a="1"/>
  <c r="Q73" i="10" s="1"/>
  <c r="S73" i="10" a="1"/>
  <c r="S73" i="10" s="1"/>
  <c r="V73" i="10" a="1"/>
  <c r="V73" i="10" s="1"/>
  <c r="T73" i="10" a="1"/>
  <c r="T73" i="10" s="1"/>
  <c r="O73" i="10" a="1"/>
  <c r="O73" i="10" s="1"/>
  <c r="U73" i="10"/>
  <c r="V74" i="10" a="1"/>
  <c r="V74" i="10" s="1"/>
  <c r="R74" i="10" a="1"/>
  <c r="R74" i="10" s="1"/>
  <c r="P74" i="10" a="1"/>
  <c r="P74" i="10" s="1"/>
  <c r="U74" i="10"/>
  <c r="T74" i="10" a="1"/>
  <c r="T74" i="10" s="1"/>
  <c r="O74" i="10" a="1"/>
  <c r="O74" i="10" s="1"/>
  <c r="Q74" i="10" a="1"/>
  <c r="Q74" i="10" s="1"/>
  <c r="S74" i="10" a="1"/>
  <c r="S74" i="10" s="1"/>
  <c r="R75" i="10" a="1"/>
  <c r="R75" i="10" s="1"/>
  <c r="S75" i="10" a="1"/>
  <c r="S75" i="10" s="1"/>
  <c r="T75" i="10" a="1"/>
  <c r="T75" i="10" s="1"/>
  <c r="Q75" i="10" a="1"/>
  <c r="Q75" i="10" s="1"/>
  <c r="P75" i="10" a="1"/>
  <c r="P75" i="10" s="1"/>
  <c r="O75" i="10" a="1"/>
  <c r="O75" i="10" s="1"/>
  <c r="U75" i="10"/>
  <c r="V75" i="10" a="1"/>
  <c r="V75" i="10" s="1"/>
  <c r="U76" i="10"/>
  <c r="S76" i="10" a="1"/>
  <c r="S76" i="10" s="1"/>
  <c r="O76" i="10" a="1"/>
  <c r="O76" i="10" s="1"/>
  <c r="R76" i="10" a="1"/>
  <c r="R76" i="10" s="1"/>
  <c r="P76" i="10" a="1"/>
  <c r="P76" i="10" s="1"/>
  <c r="V76" i="10" a="1"/>
  <c r="V76" i="10" s="1"/>
  <c r="Q76" i="10" a="1"/>
  <c r="Q76" i="10" s="1"/>
  <c r="T76" i="10" a="1"/>
  <c r="T76" i="10" s="1"/>
  <c r="T77" i="10" a="1"/>
  <c r="T77" i="10" s="1"/>
  <c r="S77" i="10" a="1"/>
  <c r="S77" i="10" s="1"/>
  <c r="P77" i="10" a="1"/>
  <c r="P77" i="10" s="1"/>
  <c r="R77" i="10" a="1"/>
  <c r="R77" i="10" s="1"/>
  <c r="U77" i="10"/>
  <c r="V77" i="10" a="1"/>
  <c r="V77" i="10" s="1"/>
  <c r="Q77" i="10" a="1"/>
  <c r="Q77" i="10" s="1"/>
  <c r="O77" i="10" a="1"/>
  <c r="O77" i="10" s="1"/>
  <c r="O78" i="10" a="1"/>
  <c r="O78" i="10" s="1"/>
  <c r="T78" i="10" a="1"/>
  <c r="T78" i="10" s="1"/>
  <c r="P78" i="10" a="1"/>
  <c r="P78" i="10" s="1"/>
  <c r="U78" i="10"/>
  <c r="V78" i="10" a="1"/>
  <c r="V78" i="10" s="1"/>
  <c r="R78" i="10" a="1"/>
  <c r="R78" i="10" s="1"/>
  <c r="Q78" i="10" a="1"/>
  <c r="Q78" i="10" s="1"/>
  <c r="S78" i="10" a="1"/>
  <c r="S78" i="10" s="1"/>
  <c r="O79" i="10" a="1"/>
  <c r="O79" i="10" s="1"/>
  <c r="V79" i="10" a="1"/>
  <c r="V79" i="10" s="1"/>
  <c r="P79" i="10" a="1"/>
  <c r="P79" i="10" s="1"/>
  <c r="R79" i="10" a="1"/>
  <c r="R79" i="10" s="1"/>
  <c r="T79" i="10" a="1"/>
  <c r="T79" i="10" s="1"/>
  <c r="S79" i="10" a="1"/>
  <c r="S79" i="10" s="1"/>
  <c r="U79" i="10"/>
  <c r="Q79" i="10" a="1"/>
  <c r="Q79" i="10" s="1"/>
  <c r="S80" i="10" a="1"/>
  <c r="S80" i="10" s="1"/>
  <c r="P80" i="10" a="1"/>
  <c r="P80" i="10" s="1"/>
  <c r="U80" i="10"/>
  <c r="Q80" i="10" a="1"/>
  <c r="Q80" i="10" s="1"/>
  <c r="O80" i="10" a="1"/>
  <c r="O80" i="10" s="1"/>
  <c r="V80" i="10" a="1"/>
  <c r="V80" i="10" s="1"/>
  <c r="R80" i="10" a="1"/>
  <c r="R80" i="10" s="1"/>
  <c r="T80" i="10" a="1"/>
  <c r="T80" i="10" s="1"/>
  <c r="U81" i="10"/>
  <c r="O81" i="10" a="1"/>
  <c r="O81" i="10" s="1"/>
  <c r="T81" i="10" a="1"/>
  <c r="T81" i="10" s="1"/>
  <c r="S81" i="10" a="1"/>
  <c r="S81" i="10" s="1"/>
  <c r="R81" i="10" a="1"/>
  <c r="R81" i="10" s="1"/>
  <c r="Q81" i="10" a="1"/>
  <c r="Q81" i="10" s="1"/>
  <c r="V81" i="10" a="1"/>
  <c r="V81" i="10" s="1"/>
  <c r="P81" i="10" a="1"/>
  <c r="P81" i="10" s="1"/>
  <c r="Q82" i="10" a="1"/>
  <c r="Q82" i="10" s="1"/>
  <c r="R82" i="10" a="1"/>
  <c r="R82" i="10" s="1"/>
  <c r="S82" i="10" a="1"/>
  <c r="S82" i="10" s="1"/>
  <c r="V82" i="10" a="1"/>
  <c r="V82" i="10" s="1"/>
  <c r="U82" i="10"/>
  <c r="T82" i="10" a="1"/>
  <c r="T82" i="10" s="1"/>
  <c r="O82" i="10" a="1"/>
  <c r="O82" i="10" s="1"/>
  <c r="P82" i="10" a="1"/>
  <c r="P82" i="10" s="1"/>
  <c r="S83" i="10" a="1"/>
  <c r="S83" i="10" s="1"/>
  <c r="P83" i="10" a="1"/>
  <c r="P83" i="10" s="1"/>
  <c r="T83" i="10" a="1"/>
  <c r="T83" i="10" s="1"/>
  <c r="R83" i="10" a="1"/>
  <c r="R83" i="10" s="1"/>
  <c r="Q83" i="10" a="1"/>
  <c r="Q83" i="10" s="1"/>
  <c r="V83" i="10" a="1"/>
  <c r="V83" i="10" s="1"/>
  <c r="U83" i="10"/>
  <c r="O83" i="10" a="1"/>
  <c r="O83" i="10" s="1"/>
  <c r="V84" i="10" a="1"/>
  <c r="V84" i="10" s="1"/>
  <c r="Q84" i="10" a="1"/>
  <c r="Q84" i="10" s="1"/>
  <c r="S84" i="10" a="1"/>
  <c r="S84" i="10" s="1"/>
  <c r="R84" i="10" a="1"/>
  <c r="R84" i="10" s="1"/>
  <c r="O84" i="10" a="1"/>
  <c r="O84" i="10" s="1"/>
  <c r="T84" i="10" a="1"/>
  <c r="T84" i="10" s="1"/>
  <c r="P84" i="10" a="1"/>
  <c r="P84" i="10" s="1"/>
  <c r="U84" i="10"/>
  <c r="O85" i="10" a="1"/>
  <c r="O85" i="10" s="1"/>
  <c r="U85" i="10"/>
  <c r="V85" i="10" a="1"/>
  <c r="V85" i="10" s="1"/>
  <c r="P85" i="10" a="1"/>
  <c r="P85" i="10" s="1"/>
  <c r="R85" i="10" a="1"/>
  <c r="R85" i="10" s="1"/>
  <c r="S85" i="10" a="1"/>
  <c r="S85" i="10" s="1"/>
  <c r="Q85" i="10" a="1"/>
  <c r="Q85" i="10" s="1"/>
  <c r="T85" i="10" a="1"/>
  <c r="T85" i="10" s="1"/>
  <c r="Q86" i="10" a="1"/>
  <c r="Q86" i="10" s="1"/>
  <c r="V86" i="10" a="1"/>
  <c r="V86" i="10" s="1"/>
  <c r="S86" i="10" a="1"/>
  <c r="S86" i="10" s="1"/>
  <c r="R86" i="10" a="1"/>
  <c r="R86" i="10" s="1"/>
  <c r="O86" i="10" a="1"/>
  <c r="O86" i="10" s="1"/>
  <c r="U86" i="10"/>
  <c r="T86" i="10" a="1"/>
  <c r="T86" i="10" s="1"/>
  <c r="P86" i="10" a="1"/>
  <c r="P86" i="10" s="1"/>
  <c r="O6" i="10" a="1"/>
  <c r="O6" i="10" s="1"/>
  <c r="R6" i="10" a="1"/>
  <c r="R6" i="10" s="1"/>
  <c r="P6" i="10" a="1"/>
  <c r="P6" i="10" s="1"/>
  <c r="V6" i="10" a="1"/>
  <c r="V6" i="10" s="1"/>
  <c r="Q6" i="10" a="1"/>
  <c r="Q6" i="10" s="1"/>
  <c r="S6" i="10" a="1"/>
  <c r="S6" i="10" s="1"/>
  <c r="T6" i="10" a="1"/>
  <c r="T6" i="10" s="1"/>
  <c r="K2" i="9" a="1"/>
  <c r="K2" i="9" s="1"/>
  <c r="L2" i="9" a="1"/>
  <c r="M9" i="9" s="1"/>
  <c r="Q14" i="10" a="1"/>
  <c r="Q14" i="10" s="1"/>
  <c r="S14" i="10" a="1"/>
  <c r="S14" i="10" s="1"/>
  <c r="T14" i="10" a="1"/>
  <c r="T14" i="10" s="1"/>
  <c r="P14" i="10" a="1"/>
  <c r="P14" i="10" s="1"/>
  <c r="R14" i="10" a="1"/>
  <c r="R14" i="10" s="1"/>
  <c r="O14" i="10" a="1"/>
  <c r="O14" i="10" s="1"/>
  <c r="V14" i="10" a="1"/>
  <c r="V14" i="10" s="1"/>
  <c r="Q20" i="10" a="1"/>
  <c r="Q20" i="10" s="1"/>
  <c r="V20" i="10" a="1"/>
  <c r="V20" i="10" s="1"/>
  <c r="O20" i="10" a="1"/>
  <c r="O20" i="10" s="1"/>
  <c r="T20" i="10" a="1"/>
  <c r="T20" i="10" s="1"/>
  <c r="P20" i="10" a="1"/>
  <c r="P20" i="10" s="1"/>
  <c r="R20" i="10" a="1"/>
  <c r="R20" i="10" s="1"/>
  <c r="S20" i="10" a="1"/>
  <c r="S20" i="10" s="1"/>
  <c r="P39" i="10" a="1"/>
  <c r="P39" i="10" s="1"/>
  <c r="T39" i="10" a="1"/>
  <c r="T39" i="10" s="1"/>
  <c r="O39" i="10" a="1"/>
  <c r="O39" i="10" s="1"/>
  <c r="V39" i="10" a="1"/>
  <c r="V39" i="10" s="1"/>
  <c r="R39" i="10" a="1"/>
  <c r="R39" i="10" s="1"/>
  <c r="Q39" i="10" a="1"/>
  <c r="Q39" i="10" s="1"/>
  <c r="S39" i="10" a="1"/>
  <c r="S39" i="10" s="1"/>
  <c r="D5" i="9"/>
  <c r="R90" i="10" a="1"/>
  <c r="R90" i="10" s="1"/>
  <c r="T90" i="10" a="1"/>
  <c r="T90" i="10" s="1"/>
  <c r="P90" i="10" a="1"/>
  <c r="P90" i="10" s="1"/>
  <c r="Q90" i="10" a="1"/>
  <c r="Q90" i="10" s="1"/>
  <c r="U90" i="10"/>
  <c r="S90" i="10" a="1"/>
  <c r="S90" i="10" s="1"/>
  <c r="V90" i="10" a="1"/>
  <c r="V90" i="10" s="1"/>
  <c r="O90" i="10" a="1"/>
  <c r="O90" i="10" s="1"/>
  <c r="P94" i="10" a="1"/>
  <c r="P94" i="10" s="1"/>
  <c r="S94" i="10" a="1"/>
  <c r="S94" i="10" s="1"/>
  <c r="O94" i="10" a="1"/>
  <c r="O94" i="10" s="1"/>
  <c r="V94" i="10" a="1"/>
  <c r="V94" i="10" s="1"/>
  <c r="T94" i="10" a="1"/>
  <c r="T94" i="10" s="1"/>
  <c r="U94" i="10"/>
  <c r="Q94" i="10" a="1"/>
  <c r="Q94" i="10" s="1"/>
  <c r="R94" i="10" a="1"/>
  <c r="R94" i="10" s="1"/>
  <c r="V98" i="10" a="1"/>
  <c r="V98" i="10" s="1"/>
  <c r="T98" i="10" a="1"/>
  <c r="T98" i="10" s="1"/>
  <c r="S98" i="10" a="1"/>
  <c r="S98" i="10" s="1"/>
  <c r="Q98" i="10" a="1"/>
  <c r="Q98" i="10" s="1"/>
  <c r="U98" i="10"/>
  <c r="O98" i="10" a="1"/>
  <c r="O98" i="10" s="1"/>
  <c r="R98" i="10" a="1"/>
  <c r="R98" i="10" s="1"/>
  <c r="P98" i="10" a="1"/>
  <c r="P98" i="10" s="1"/>
  <c r="Q102" i="10" a="1"/>
  <c r="Q102" i="10" s="1"/>
  <c r="R102" i="10" a="1"/>
  <c r="R102" i="10" s="1"/>
  <c r="U102" i="10"/>
  <c r="P102" i="10" a="1"/>
  <c r="P102" i="10" s="1"/>
  <c r="V102" i="10" a="1"/>
  <c r="V102" i="10" s="1"/>
  <c r="O102" i="10" a="1"/>
  <c r="O102" i="10" s="1"/>
  <c r="S102" i="10" a="1"/>
  <c r="S102" i="10" s="1"/>
  <c r="T102" i="10" a="1"/>
  <c r="T102" i="10" s="1"/>
  <c r="V106" i="10" a="1"/>
  <c r="V106" i="10" s="1"/>
  <c r="U106" i="10"/>
  <c r="S106" i="10" a="1"/>
  <c r="S106" i="10" s="1"/>
  <c r="Q106" i="10" a="1"/>
  <c r="Q106" i="10" s="1"/>
  <c r="O106" i="10" a="1"/>
  <c r="O106" i="10" s="1"/>
  <c r="R106" i="10" a="1"/>
  <c r="R106" i="10" s="1"/>
  <c r="T106" i="10" a="1"/>
  <c r="T106" i="10" s="1"/>
  <c r="P106" i="10" a="1"/>
  <c r="P106" i="10" s="1"/>
  <c r="Q110" i="10" a="1"/>
  <c r="Q110" i="10" s="1"/>
  <c r="P110" i="10" a="1"/>
  <c r="P110" i="10" s="1"/>
  <c r="U110" i="10"/>
  <c r="O110" i="10" a="1"/>
  <c r="O110" i="10" s="1"/>
  <c r="R110" i="10" a="1"/>
  <c r="R110" i="10" s="1"/>
  <c r="V110" i="10" a="1"/>
  <c r="V110" i="10" s="1"/>
  <c r="S110" i="10" a="1"/>
  <c r="S110" i="10" s="1"/>
  <c r="T110" i="10" a="1"/>
  <c r="T110" i="10" s="1"/>
  <c r="V114" i="10" a="1"/>
  <c r="V114" i="10" s="1"/>
  <c r="O114" i="10" a="1"/>
  <c r="O114" i="10" s="1"/>
  <c r="T114" i="10" a="1"/>
  <c r="T114" i="10" s="1"/>
  <c r="P114" i="10" a="1"/>
  <c r="P114" i="10" s="1"/>
  <c r="Q114" i="10" a="1"/>
  <c r="Q114" i="10" s="1"/>
  <c r="U114" i="10"/>
  <c r="S114" i="10" a="1"/>
  <c r="S114" i="10" s="1"/>
  <c r="R114" i="10" a="1"/>
  <c r="R114" i="10" s="1"/>
  <c r="O118" i="10" a="1"/>
  <c r="O118" i="10" s="1"/>
  <c r="S118" i="10" a="1"/>
  <c r="S118" i="10" s="1"/>
  <c r="P118" i="10" a="1"/>
  <c r="P118" i="10" s="1"/>
  <c r="U118" i="10"/>
  <c r="T118" i="10" a="1"/>
  <c r="T118" i="10" s="1"/>
  <c r="V118" i="10" a="1"/>
  <c r="V118" i="10" s="1"/>
  <c r="Q118" i="10" a="1"/>
  <c r="Q118" i="10" s="1"/>
  <c r="R118" i="10" a="1"/>
  <c r="R118" i="10" s="1"/>
  <c r="T122" i="10" a="1"/>
  <c r="T122" i="10" s="1"/>
  <c r="V122" i="10" a="1"/>
  <c r="V122" i="10" s="1"/>
  <c r="R122" i="10" a="1"/>
  <c r="R122" i="10" s="1"/>
  <c r="Q122" i="10" a="1"/>
  <c r="Q122" i="10" s="1"/>
  <c r="O122" i="10" a="1"/>
  <c r="O122" i="10" s="1"/>
  <c r="P122" i="10" a="1"/>
  <c r="P122" i="10" s="1"/>
  <c r="U122" i="10"/>
  <c r="S122" i="10" a="1"/>
  <c r="S122" i="10" s="1"/>
  <c r="U126" i="10"/>
  <c r="O126" i="10" a="1"/>
  <c r="O126" i="10" s="1"/>
  <c r="S126" i="10" a="1"/>
  <c r="S126" i="10" s="1"/>
  <c r="Q126" i="10" a="1"/>
  <c r="Q126" i="10" s="1"/>
  <c r="V126" i="10" a="1"/>
  <c r="V126" i="10" s="1"/>
  <c r="R126" i="10" a="1"/>
  <c r="R126" i="10" s="1"/>
  <c r="P126" i="10" a="1"/>
  <c r="P126" i="10" s="1"/>
  <c r="T126" i="10" a="1"/>
  <c r="T126" i="10" s="1"/>
  <c r="Q130" i="10" a="1"/>
  <c r="Q130" i="10" s="1"/>
  <c r="T130" i="10" a="1"/>
  <c r="T130" i="10" s="1"/>
  <c r="S130" i="10" a="1"/>
  <c r="S130" i="10" s="1"/>
  <c r="U130" i="10"/>
  <c r="V130" i="10" a="1"/>
  <c r="V130" i="10" s="1"/>
  <c r="P130" i="10" a="1"/>
  <c r="P130" i="10" s="1"/>
  <c r="O130" i="10" a="1"/>
  <c r="O130" i="10" s="1"/>
  <c r="R130" i="10" a="1"/>
  <c r="R130" i="10" s="1"/>
  <c r="R134" i="10" a="1"/>
  <c r="R134" i="10" s="1"/>
  <c r="V134" i="10" a="1"/>
  <c r="V134" i="10" s="1"/>
  <c r="S134" i="10" a="1"/>
  <c r="S134" i="10" s="1"/>
  <c r="P134" i="10" a="1"/>
  <c r="P134" i="10" s="1"/>
  <c r="T134" i="10" a="1"/>
  <c r="T134" i="10" s="1"/>
  <c r="U134" i="10"/>
  <c r="Q134" i="10" a="1"/>
  <c r="Q134" i="10" s="1"/>
  <c r="O134" i="10" a="1"/>
  <c r="O134" i="10" s="1"/>
  <c r="T136" i="10" a="1"/>
  <c r="T136" i="10" s="1"/>
  <c r="S136" i="10" a="1"/>
  <c r="S136" i="10" s="1"/>
  <c r="P136" i="10" a="1"/>
  <c r="P136" i="10" s="1"/>
  <c r="V136" i="10" a="1"/>
  <c r="V136" i="10" s="1"/>
  <c r="Q136" i="10" a="1"/>
  <c r="Q136" i="10" s="1"/>
  <c r="O136" i="10" a="1"/>
  <c r="O136" i="10" s="1"/>
  <c r="U136" i="10"/>
  <c r="R136" i="10" a="1"/>
  <c r="R136" i="10" s="1"/>
  <c r="Q137" i="10" a="1"/>
  <c r="Q137" i="10" s="1"/>
  <c r="V137" i="10" a="1"/>
  <c r="V137" i="10" s="1"/>
  <c r="U137" i="10"/>
  <c r="S137" i="10" a="1"/>
  <c r="S137" i="10" s="1"/>
  <c r="R137" i="10" a="1"/>
  <c r="R137" i="10" s="1"/>
  <c r="P137" i="10" a="1"/>
  <c r="P137" i="10" s="1"/>
  <c r="O137" i="10" a="1"/>
  <c r="O137" i="10" s="1"/>
  <c r="T137" i="10" a="1"/>
  <c r="T137" i="10" s="1"/>
  <c r="R138" i="10" a="1"/>
  <c r="R138" i="10" s="1"/>
  <c r="S138" i="10" a="1"/>
  <c r="S138" i="10" s="1"/>
  <c r="P138" i="10" a="1"/>
  <c r="P138" i="10" s="1"/>
  <c r="U138" i="10"/>
  <c r="Q138" i="10" a="1"/>
  <c r="Q138" i="10" s="1"/>
  <c r="O138" i="10" a="1"/>
  <c r="O138" i="10" s="1"/>
  <c r="T138" i="10" a="1"/>
  <c r="T138" i="10" s="1"/>
  <c r="V138" i="10" a="1"/>
  <c r="V138" i="10" s="1"/>
  <c r="Q139" i="10" a="1"/>
  <c r="Q139" i="10" s="1"/>
  <c r="T139" i="10" a="1"/>
  <c r="T139" i="10" s="1"/>
  <c r="U139" i="10"/>
  <c r="V139" i="10" a="1"/>
  <c r="V139" i="10" s="1"/>
  <c r="S139" i="10" a="1"/>
  <c r="S139" i="10" s="1"/>
  <c r="R139" i="10" a="1"/>
  <c r="R139" i="10" s="1"/>
  <c r="P139" i="10" a="1"/>
  <c r="P139" i="10" s="1"/>
  <c r="O139" i="10" a="1"/>
  <c r="O139" i="10" s="1"/>
  <c r="S140" i="10" a="1"/>
  <c r="S140" i="10" s="1"/>
  <c r="P140" i="10" a="1"/>
  <c r="P140" i="10" s="1"/>
  <c r="O140" i="10" a="1"/>
  <c r="O140" i="10" s="1"/>
  <c r="V140" i="10" a="1"/>
  <c r="V140" i="10" s="1"/>
  <c r="Q140" i="10" a="1"/>
  <c r="Q140" i="10" s="1"/>
  <c r="T140" i="10" a="1"/>
  <c r="T140" i="10" s="1"/>
  <c r="U140" i="10"/>
  <c r="R140" i="10" a="1"/>
  <c r="R140" i="10" s="1"/>
  <c r="R141" i="10" a="1"/>
  <c r="R141" i="10" s="1"/>
  <c r="S141" i="10" a="1"/>
  <c r="S141" i="10" s="1"/>
  <c r="Q141" i="10" a="1"/>
  <c r="Q141" i="10" s="1"/>
  <c r="V141" i="10" a="1"/>
  <c r="V141" i="10" s="1"/>
  <c r="P141" i="10" a="1"/>
  <c r="P141" i="10" s="1"/>
  <c r="O141" i="10" a="1"/>
  <c r="O141" i="10" s="1"/>
  <c r="U141" i="10"/>
  <c r="T141" i="10" a="1"/>
  <c r="T141" i="10" s="1"/>
  <c r="Q142" i="10" a="1"/>
  <c r="Q142" i="10" s="1"/>
  <c r="R142" i="10" a="1"/>
  <c r="R142" i="10" s="1"/>
  <c r="U142" i="10"/>
  <c r="V142" i="10" a="1"/>
  <c r="V142" i="10" s="1"/>
  <c r="T142" i="10" a="1"/>
  <c r="T142" i="10" s="1"/>
  <c r="O142" i="10" a="1"/>
  <c r="O142" i="10" s="1"/>
  <c r="P142" i="10" a="1"/>
  <c r="P142" i="10" s="1"/>
  <c r="S142" i="10" a="1"/>
  <c r="S142" i="10" s="1"/>
  <c r="U143" i="10"/>
  <c r="Q143" i="10" a="1"/>
  <c r="Q143" i="10" s="1"/>
  <c r="R143" i="10" a="1"/>
  <c r="R143" i="10" s="1"/>
  <c r="P143" i="10" a="1"/>
  <c r="P143" i="10" s="1"/>
  <c r="S143" i="10" a="1"/>
  <c r="S143" i="10" s="1"/>
  <c r="V143" i="10" a="1"/>
  <c r="V143" i="10" s="1"/>
  <c r="T143" i="10" a="1"/>
  <c r="T143" i="10" s="1"/>
  <c r="O143" i="10" a="1"/>
  <c r="O143" i="10" s="1"/>
  <c r="S144" i="10" a="1"/>
  <c r="S144" i="10" s="1"/>
  <c r="P144" i="10" a="1"/>
  <c r="P144" i="10" s="1"/>
  <c r="Q144" i="10" a="1"/>
  <c r="Q144" i="10" s="1"/>
  <c r="T144" i="10" a="1"/>
  <c r="T144" i="10" s="1"/>
  <c r="O144" i="10" a="1"/>
  <c r="O144" i="10" s="1"/>
  <c r="R144" i="10" a="1"/>
  <c r="R144" i="10" s="1"/>
  <c r="U144" i="10"/>
  <c r="V144" i="10" a="1"/>
  <c r="V144" i="10" s="1"/>
  <c r="O145" i="10" a="1"/>
  <c r="O145" i="10" s="1"/>
  <c r="R145" i="10" a="1"/>
  <c r="R145" i="10" s="1"/>
  <c r="U145" i="10"/>
  <c r="P145" i="10" a="1"/>
  <c r="P145" i="10" s="1"/>
  <c r="V145" i="10" a="1"/>
  <c r="V145" i="10" s="1"/>
  <c r="S145" i="10" a="1"/>
  <c r="S145" i="10" s="1"/>
  <c r="T145" i="10" a="1"/>
  <c r="T145" i="10" s="1"/>
  <c r="Q145" i="10" a="1"/>
  <c r="Q145" i="10" s="1"/>
  <c r="U146" i="10"/>
  <c r="S146" i="10" a="1"/>
  <c r="S146" i="10" s="1"/>
  <c r="P146" i="10" a="1"/>
  <c r="P146" i="10" s="1"/>
  <c r="V146" i="10" a="1"/>
  <c r="V146" i="10" s="1"/>
  <c r="R146" i="10" a="1"/>
  <c r="R146" i="10" s="1"/>
  <c r="O146" i="10" a="1"/>
  <c r="O146" i="10" s="1"/>
  <c r="T146" i="10" a="1"/>
  <c r="T146" i="10" s="1"/>
  <c r="Q146" i="10" a="1"/>
  <c r="Q146" i="10" s="1"/>
  <c r="U147" i="10"/>
  <c r="Q147" i="10" a="1"/>
  <c r="Q147" i="10" s="1"/>
  <c r="T147" i="10" a="1"/>
  <c r="T147" i="10" s="1"/>
  <c r="O147" i="10" a="1"/>
  <c r="O147" i="10" s="1"/>
  <c r="R147" i="10" a="1"/>
  <c r="R147" i="10" s="1"/>
  <c r="S147" i="10" a="1"/>
  <c r="S147" i="10" s="1"/>
  <c r="V147" i="10" a="1"/>
  <c r="V147" i="10" s="1"/>
  <c r="P147" i="10" a="1"/>
  <c r="P147" i="10" s="1"/>
  <c r="O148" i="10" a="1"/>
  <c r="O148" i="10" s="1"/>
  <c r="Q148" i="10" a="1"/>
  <c r="Q148" i="10" s="1"/>
  <c r="V148" i="10" a="1"/>
  <c r="V148" i="10" s="1"/>
  <c r="R148" i="10" a="1"/>
  <c r="R148" i="10" s="1"/>
  <c r="P148" i="10" a="1"/>
  <c r="P148" i="10" s="1"/>
  <c r="U148" i="10"/>
  <c r="T148" i="10" a="1"/>
  <c r="T148" i="10" s="1"/>
  <c r="S148" i="10" a="1"/>
  <c r="S148" i="10" s="1"/>
  <c r="Q149" i="10" a="1"/>
  <c r="Q149" i="10" s="1"/>
  <c r="T149" i="10" a="1"/>
  <c r="T149" i="10" s="1"/>
  <c r="P149" i="10" a="1"/>
  <c r="P149" i="10" s="1"/>
  <c r="V149" i="10" a="1"/>
  <c r="V149" i="10" s="1"/>
  <c r="S149" i="10" a="1"/>
  <c r="S149" i="10" s="1"/>
  <c r="O149" i="10" a="1"/>
  <c r="O149" i="10" s="1"/>
  <c r="R149" i="10" a="1"/>
  <c r="R149" i="10" s="1"/>
  <c r="U149" i="10"/>
  <c r="T150" i="10" a="1"/>
  <c r="T150" i="10" s="1"/>
  <c r="P150" i="10" a="1"/>
  <c r="P150" i="10" s="1"/>
  <c r="O150" i="10" a="1"/>
  <c r="O150" i="10" s="1"/>
  <c r="Q150" i="10" a="1"/>
  <c r="Q150" i="10" s="1"/>
  <c r="U150" i="10"/>
  <c r="S150" i="10" a="1"/>
  <c r="S150" i="10" s="1"/>
  <c r="V150" i="10" a="1"/>
  <c r="V150" i="10" s="1"/>
  <c r="R150" i="10" a="1"/>
  <c r="R150" i="10" s="1"/>
  <c r="S151" i="10" a="1"/>
  <c r="S151" i="10" s="1"/>
  <c r="U151" i="10"/>
  <c r="V151" i="10" a="1"/>
  <c r="V151" i="10" s="1"/>
  <c r="O151" i="10" a="1"/>
  <c r="O151" i="10" s="1"/>
  <c r="R151" i="10" a="1"/>
  <c r="R151" i="10" s="1"/>
  <c r="T151" i="10" a="1"/>
  <c r="T151" i="10" s="1"/>
  <c r="P151" i="10" a="1"/>
  <c r="P151" i="10" s="1"/>
  <c r="Q151" i="10" a="1"/>
  <c r="Q151" i="10" s="1"/>
  <c r="V152" i="10" a="1"/>
  <c r="V152" i="10" s="1"/>
  <c r="U152" i="10"/>
  <c r="S152" i="10" a="1"/>
  <c r="S152" i="10" s="1"/>
  <c r="O152" i="10" a="1"/>
  <c r="O152" i="10" s="1"/>
  <c r="T152" i="10" a="1"/>
  <c r="T152" i="10" s="1"/>
  <c r="Q152" i="10" a="1"/>
  <c r="Q152" i="10" s="1"/>
  <c r="R152" i="10" a="1"/>
  <c r="R152" i="10" s="1"/>
  <c r="P152" i="10" a="1"/>
  <c r="P152" i="10" s="1"/>
  <c r="U153" i="10"/>
  <c r="V153" i="10" a="1"/>
  <c r="V153" i="10" s="1"/>
  <c r="Q153" i="10" a="1"/>
  <c r="Q153" i="10" s="1"/>
  <c r="O153" i="10" a="1"/>
  <c r="O153" i="10" s="1"/>
  <c r="S153" i="10" a="1"/>
  <c r="S153" i="10" s="1"/>
  <c r="T153" i="10" a="1"/>
  <c r="T153" i="10" s="1"/>
  <c r="R153" i="10" a="1"/>
  <c r="R153" i="10" s="1"/>
  <c r="P153" i="10" a="1"/>
  <c r="P153" i="10" s="1"/>
  <c r="T154" i="10" a="1"/>
  <c r="T154" i="10" s="1"/>
  <c r="P154" i="10" a="1"/>
  <c r="P154" i="10" s="1"/>
  <c r="U154" i="10"/>
  <c r="O154" i="10" a="1"/>
  <c r="O154" i="10" s="1"/>
  <c r="Q154" i="10" a="1"/>
  <c r="Q154" i="10" s="1"/>
  <c r="S154" i="10" a="1"/>
  <c r="S154" i="10" s="1"/>
  <c r="R154" i="10" a="1"/>
  <c r="R154" i="10" s="1"/>
  <c r="V154" i="10" a="1"/>
  <c r="V154" i="10" s="1"/>
  <c r="V155" i="10" a="1"/>
  <c r="V155" i="10" s="1"/>
  <c r="Q155" i="10" a="1"/>
  <c r="Q155" i="10" s="1"/>
  <c r="O155" i="10" a="1"/>
  <c r="O155" i="10" s="1"/>
  <c r="S155" i="10" a="1"/>
  <c r="S155" i="10" s="1"/>
  <c r="R155" i="10" a="1"/>
  <c r="R155" i="10" s="1"/>
  <c r="U155" i="10"/>
  <c r="T155" i="10" a="1"/>
  <c r="T155" i="10" s="1"/>
  <c r="P155" i="10" a="1"/>
  <c r="P155" i="10" s="1"/>
  <c r="O156" i="10" a="1"/>
  <c r="O156" i="10" s="1"/>
  <c r="S156" i="10" a="1"/>
  <c r="S156" i="10" s="1"/>
  <c r="R156" i="10" a="1"/>
  <c r="R156" i="10" s="1"/>
  <c r="U156" i="10"/>
  <c r="V156" i="10" a="1"/>
  <c r="V156" i="10" s="1"/>
  <c r="T156" i="10" a="1"/>
  <c r="T156" i="10" s="1"/>
  <c r="Q156" i="10" a="1"/>
  <c r="Q156" i="10" s="1"/>
  <c r="P156" i="10" a="1"/>
  <c r="P156" i="10" s="1"/>
  <c r="P157" i="10" a="1"/>
  <c r="P157" i="10" s="1"/>
  <c r="Q157" i="10" a="1"/>
  <c r="Q157" i="10" s="1"/>
  <c r="U157" i="10"/>
  <c r="R157" i="10" a="1"/>
  <c r="R157" i="10" s="1"/>
  <c r="V157" i="10" a="1"/>
  <c r="V157" i="10" s="1"/>
  <c r="T157" i="10" a="1"/>
  <c r="T157" i="10" s="1"/>
  <c r="S157" i="10" a="1"/>
  <c r="S157" i="10" s="1"/>
  <c r="O157" i="10" a="1"/>
  <c r="O157" i="10" s="1"/>
  <c r="T158" i="10" a="1"/>
  <c r="T158" i="10" s="1"/>
  <c r="U158" i="10"/>
  <c r="S158" i="10" a="1"/>
  <c r="S158" i="10" s="1"/>
  <c r="R158" i="10" a="1"/>
  <c r="R158" i="10" s="1"/>
  <c r="P158" i="10" a="1"/>
  <c r="P158" i="10" s="1"/>
  <c r="V158" i="10" a="1"/>
  <c r="V158" i="10" s="1"/>
  <c r="O158" i="10" a="1"/>
  <c r="O158" i="10" s="1"/>
  <c r="Q158" i="10" a="1"/>
  <c r="Q158" i="10" s="1"/>
  <c r="O159" i="10" a="1"/>
  <c r="O159" i="10" s="1"/>
  <c r="U159" i="10"/>
  <c r="S159" i="10" a="1"/>
  <c r="S159" i="10" s="1"/>
  <c r="V159" i="10" a="1"/>
  <c r="V159" i="10" s="1"/>
  <c r="R159" i="10" a="1"/>
  <c r="R159" i="10" s="1"/>
  <c r="T159" i="10" a="1"/>
  <c r="T159" i="10" s="1"/>
  <c r="Q159" i="10" a="1"/>
  <c r="Q159" i="10" s="1"/>
  <c r="P159" i="10" a="1"/>
  <c r="P159" i="10" s="1"/>
  <c r="Q160" i="10" a="1"/>
  <c r="Q160" i="10" s="1"/>
  <c r="O160" i="10" a="1"/>
  <c r="O160" i="10" s="1"/>
  <c r="R160" i="10" a="1"/>
  <c r="R160" i="10" s="1"/>
  <c r="V160" i="10" a="1"/>
  <c r="V160" i="10" s="1"/>
  <c r="U160" i="10"/>
  <c r="P160" i="10" a="1"/>
  <c r="P160" i="10" s="1"/>
  <c r="T160" i="10" a="1"/>
  <c r="T160" i="10" s="1"/>
  <c r="S160" i="10" a="1"/>
  <c r="S160" i="10" s="1"/>
  <c r="T161" i="10" a="1"/>
  <c r="T161" i="10" s="1"/>
  <c r="O161" i="10" a="1"/>
  <c r="O161" i="10" s="1"/>
  <c r="P161" i="10" a="1"/>
  <c r="P161" i="10" s="1"/>
  <c r="Q161" i="10" a="1"/>
  <c r="Q161" i="10" s="1"/>
  <c r="U161" i="10"/>
  <c r="R161" i="10" a="1"/>
  <c r="R161" i="10" s="1"/>
  <c r="S161" i="10" a="1"/>
  <c r="S161" i="10" s="1"/>
  <c r="V161" i="10" a="1"/>
  <c r="V161" i="10" s="1"/>
  <c r="S162" i="10" a="1"/>
  <c r="S162" i="10" s="1"/>
  <c r="R162" i="10" a="1"/>
  <c r="R162" i="10" s="1"/>
  <c r="V162" i="10" a="1"/>
  <c r="V162" i="10" s="1"/>
  <c r="U162" i="10"/>
  <c r="P162" i="10" a="1"/>
  <c r="P162" i="10" s="1"/>
  <c r="Q162" i="10" a="1"/>
  <c r="Q162" i="10" s="1"/>
  <c r="T162" i="10" a="1"/>
  <c r="T162" i="10" s="1"/>
  <c r="O162" i="10" a="1"/>
  <c r="O162" i="10" s="1"/>
  <c r="V163" i="10" a="1"/>
  <c r="V163" i="10" s="1"/>
  <c r="U163" i="10"/>
  <c r="S163" i="10" a="1"/>
  <c r="S163" i="10" s="1"/>
  <c r="O163" i="10" a="1"/>
  <c r="O163" i="10" s="1"/>
  <c r="R163" i="10" a="1"/>
  <c r="R163" i="10" s="1"/>
  <c r="T163" i="10" a="1"/>
  <c r="T163" i="10" s="1"/>
  <c r="P163" i="10" a="1"/>
  <c r="P163" i="10" s="1"/>
  <c r="Q163" i="10" a="1"/>
  <c r="Q163" i="10" s="1"/>
  <c r="R164" i="10" a="1"/>
  <c r="R164" i="10" s="1"/>
  <c r="S164" i="10" a="1"/>
  <c r="S164" i="10" s="1"/>
  <c r="U164" i="10"/>
  <c r="P164" i="10" a="1"/>
  <c r="P164" i="10" s="1"/>
  <c r="Q164" i="10" a="1"/>
  <c r="Q164" i="10" s="1"/>
  <c r="O164" i="10" a="1"/>
  <c r="O164" i="10" s="1"/>
  <c r="T164" i="10" a="1"/>
  <c r="T164" i="10" s="1"/>
  <c r="V164" i="10" a="1"/>
  <c r="V164" i="10" s="1"/>
  <c r="Q165" i="10" a="1"/>
  <c r="Q165" i="10" s="1"/>
  <c r="V165" i="10" a="1"/>
  <c r="V165" i="10" s="1"/>
  <c r="P165" i="10" a="1"/>
  <c r="P165" i="10" s="1"/>
  <c r="S165" i="10" a="1"/>
  <c r="S165" i="10" s="1"/>
  <c r="U165" i="10"/>
  <c r="T165" i="10" a="1"/>
  <c r="T165" i="10" s="1"/>
  <c r="R165" i="10" a="1"/>
  <c r="R165" i="10" s="1"/>
  <c r="O165" i="10" a="1"/>
  <c r="O165" i="10" s="1"/>
  <c r="P166" i="10" a="1"/>
  <c r="P166" i="10" s="1"/>
  <c r="R166" i="10" a="1"/>
  <c r="R166" i="10" s="1"/>
  <c r="V166" i="10" a="1"/>
  <c r="V166" i="10" s="1"/>
  <c r="S166" i="10" a="1"/>
  <c r="S166" i="10" s="1"/>
  <c r="U166" i="10"/>
  <c r="Q166" i="10" a="1"/>
  <c r="Q166" i="10" s="1"/>
  <c r="O166" i="10" a="1"/>
  <c r="O166" i="10" s="1"/>
  <c r="T166" i="10" a="1"/>
  <c r="T166" i="10" s="1"/>
  <c r="R167" i="10" a="1"/>
  <c r="R167" i="10" s="1"/>
  <c r="T167" i="10" a="1"/>
  <c r="T167" i="10" s="1"/>
  <c r="O167" i="10" a="1"/>
  <c r="O167" i="10" s="1"/>
  <c r="V167" i="10" a="1"/>
  <c r="V167" i="10" s="1"/>
  <c r="P167" i="10" a="1"/>
  <c r="P167" i="10" s="1"/>
  <c r="U167" i="10"/>
  <c r="S167" i="10" a="1"/>
  <c r="S167" i="10" s="1"/>
  <c r="Q167" i="10" a="1"/>
  <c r="Q167" i="10" s="1"/>
  <c r="U168" i="10"/>
  <c r="O168" i="10" a="1"/>
  <c r="O168" i="10" s="1"/>
  <c r="P168" i="10" a="1"/>
  <c r="P168" i="10" s="1"/>
  <c r="R168" i="10" a="1"/>
  <c r="R168" i="10" s="1"/>
  <c r="Q168" i="10" a="1"/>
  <c r="Q168" i="10" s="1"/>
  <c r="S168" i="10" a="1"/>
  <c r="S168" i="10" s="1"/>
  <c r="V168" i="10" a="1"/>
  <c r="V168" i="10" s="1"/>
  <c r="T168" i="10" a="1"/>
  <c r="T168" i="10" s="1"/>
  <c r="P169" i="10" a="1"/>
  <c r="P169" i="10" s="1"/>
  <c r="V169" i="10" a="1"/>
  <c r="V169" i="10" s="1"/>
  <c r="S169" i="10" a="1"/>
  <c r="S169" i="10" s="1"/>
  <c r="O169" i="10" a="1"/>
  <c r="O169" i="10" s="1"/>
  <c r="U169" i="10"/>
  <c r="Q169" i="10" a="1"/>
  <c r="Q169" i="10" s="1"/>
  <c r="R169" i="10" a="1"/>
  <c r="R169" i="10" s="1"/>
  <c r="T169" i="10" a="1"/>
  <c r="T169" i="10" s="1"/>
  <c r="P170" i="10" a="1"/>
  <c r="P170" i="10" s="1"/>
  <c r="R170" i="10" a="1"/>
  <c r="R170" i="10" s="1"/>
  <c r="T170" i="10" a="1"/>
  <c r="T170" i="10" s="1"/>
  <c r="S170" i="10" a="1"/>
  <c r="S170" i="10" s="1"/>
  <c r="Q170" i="10" a="1"/>
  <c r="Q170" i="10" s="1"/>
  <c r="V170" i="10" a="1"/>
  <c r="V170" i="10" s="1"/>
  <c r="O170" i="10" a="1"/>
  <c r="O170" i="10" s="1"/>
  <c r="U170" i="10"/>
  <c r="V171" i="10" a="1"/>
  <c r="V171" i="10" s="1"/>
  <c r="R171" i="10" a="1"/>
  <c r="R171" i="10" s="1"/>
  <c r="Q171" i="10" a="1"/>
  <c r="Q171" i="10" s="1"/>
  <c r="T171" i="10" a="1"/>
  <c r="T171" i="10" s="1"/>
  <c r="U171" i="10"/>
  <c r="O171" i="10" a="1"/>
  <c r="O171" i="10" s="1"/>
  <c r="P171" i="10" a="1"/>
  <c r="P171" i="10" s="1"/>
  <c r="S171" i="10" a="1"/>
  <c r="S171" i="10" s="1"/>
  <c r="O172" i="10" a="1"/>
  <c r="O172" i="10" s="1"/>
  <c r="S172" i="10" a="1"/>
  <c r="S172" i="10" s="1"/>
  <c r="P172" i="10" a="1"/>
  <c r="P172" i="10" s="1"/>
  <c r="R172" i="10" a="1"/>
  <c r="R172" i="10" s="1"/>
  <c r="U172" i="10"/>
  <c r="Q172" i="10" a="1"/>
  <c r="Q172" i="10" s="1"/>
  <c r="T172" i="10" a="1"/>
  <c r="T172" i="10" s="1"/>
  <c r="V172" i="10" a="1"/>
  <c r="V172" i="10" s="1"/>
  <c r="S173" i="10" a="1"/>
  <c r="S173" i="10" s="1"/>
  <c r="U173" i="10"/>
  <c r="P173" i="10" a="1"/>
  <c r="P173" i="10" s="1"/>
  <c r="Q173" i="10" a="1"/>
  <c r="Q173" i="10" s="1"/>
  <c r="T173" i="10" a="1"/>
  <c r="T173" i="10" s="1"/>
  <c r="R173" i="10" a="1"/>
  <c r="R173" i="10" s="1"/>
  <c r="O173" i="10" a="1"/>
  <c r="O173" i="10" s="1"/>
  <c r="V173" i="10" a="1"/>
  <c r="V173" i="10" s="1"/>
  <c r="V174" i="10" a="1"/>
  <c r="V174" i="10" s="1"/>
  <c r="O174" i="10" a="1"/>
  <c r="O174" i="10" s="1"/>
  <c r="P174" i="10" a="1"/>
  <c r="P174" i="10" s="1"/>
  <c r="T174" i="10" a="1"/>
  <c r="T174" i="10" s="1"/>
  <c r="U174" i="10"/>
  <c r="S174" i="10" a="1"/>
  <c r="S174" i="10" s="1"/>
  <c r="R174" i="10" a="1"/>
  <c r="R174" i="10" s="1"/>
  <c r="Q174" i="10" a="1"/>
  <c r="Q174" i="10" s="1"/>
  <c r="P175" i="10" a="1"/>
  <c r="P175" i="10" s="1"/>
  <c r="T175" i="10" a="1"/>
  <c r="T175" i="10" s="1"/>
  <c r="U175" i="10"/>
  <c r="V175" i="10" a="1"/>
  <c r="V175" i="10" s="1"/>
  <c r="O175" i="10" a="1"/>
  <c r="O175" i="10" s="1"/>
  <c r="S175" i="10" a="1"/>
  <c r="S175" i="10" s="1"/>
  <c r="Q175" i="10" a="1"/>
  <c r="Q175" i="10" s="1"/>
  <c r="R175" i="10" a="1"/>
  <c r="R175" i="10" s="1"/>
  <c r="U176" i="10"/>
  <c r="P176" i="10" a="1"/>
  <c r="P176" i="10" s="1"/>
  <c r="T176" i="10" a="1"/>
  <c r="T176" i="10" s="1"/>
  <c r="Q176" i="10" a="1"/>
  <c r="Q176" i="10" s="1"/>
  <c r="R176" i="10" a="1"/>
  <c r="R176" i="10" s="1"/>
  <c r="O176" i="10" a="1"/>
  <c r="O176" i="10" s="1"/>
  <c r="V176" i="10" a="1"/>
  <c r="V176" i="10" s="1"/>
  <c r="S176" i="10" a="1"/>
  <c r="S176" i="10" s="1"/>
  <c r="R177" i="10" a="1"/>
  <c r="R177" i="10" s="1"/>
  <c r="V177" i="10" a="1"/>
  <c r="V177" i="10" s="1"/>
  <c r="Q177" i="10" a="1"/>
  <c r="Q177" i="10" s="1"/>
  <c r="O177" i="10" a="1"/>
  <c r="O177" i="10" s="1"/>
  <c r="S177" i="10" a="1"/>
  <c r="S177" i="10" s="1"/>
  <c r="T177" i="10" a="1"/>
  <c r="T177" i="10" s="1"/>
  <c r="P177" i="10" a="1"/>
  <c r="P177" i="10" s="1"/>
  <c r="U177" i="10"/>
  <c r="V178" i="10" a="1"/>
  <c r="V178" i="10" s="1"/>
  <c r="Q178" i="10" a="1"/>
  <c r="Q178" i="10" s="1"/>
  <c r="R178" i="10" a="1"/>
  <c r="R178" i="10" s="1"/>
  <c r="T178" i="10" a="1"/>
  <c r="T178" i="10" s="1"/>
  <c r="P178" i="10" a="1"/>
  <c r="P178" i="10" s="1"/>
  <c r="O178" i="10" a="1"/>
  <c r="O178" i="10" s="1"/>
  <c r="S178" i="10" a="1"/>
  <c r="S178" i="10" s="1"/>
  <c r="U178" i="10"/>
  <c r="R179" i="10" a="1"/>
  <c r="R179" i="10" s="1"/>
  <c r="Q179" i="10" a="1"/>
  <c r="Q179" i="10" s="1"/>
  <c r="V179" i="10" a="1"/>
  <c r="V179" i="10" s="1"/>
  <c r="P179" i="10" a="1"/>
  <c r="P179" i="10" s="1"/>
  <c r="S179" i="10" a="1"/>
  <c r="S179" i="10" s="1"/>
  <c r="T179" i="10" a="1"/>
  <c r="T179" i="10" s="1"/>
  <c r="O179" i="10" a="1"/>
  <c r="O179" i="10" s="1"/>
  <c r="U179" i="10"/>
  <c r="P180" i="10" a="1"/>
  <c r="P180" i="10" s="1"/>
  <c r="T180" i="10" a="1"/>
  <c r="T180" i="10" s="1"/>
  <c r="Q180" i="10" a="1"/>
  <c r="Q180" i="10" s="1"/>
  <c r="R180" i="10" a="1"/>
  <c r="R180" i="10" s="1"/>
  <c r="U180" i="10"/>
  <c r="S180" i="10" a="1"/>
  <c r="S180" i="10" s="1"/>
  <c r="O180" i="10" a="1"/>
  <c r="O180" i="10" s="1"/>
  <c r="V180" i="10" a="1"/>
  <c r="V180" i="10" s="1"/>
  <c r="Q181" i="10" a="1"/>
  <c r="Q181" i="10" s="1"/>
  <c r="S181" i="10" a="1"/>
  <c r="S181" i="10" s="1"/>
  <c r="T181" i="10" a="1"/>
  <c r="T181" i="10" s="1"/>
  <c r="O181" i="10" a="1"/>
  <c r="O181" i="10" s="1"/>
  <c r="P181" i="10" a="1"/>
  <c r="P181" i="10" s="1"/>
  <c r="U181" i="10"/>
  <c r="R181" i="10" a="1"/>
  <c r="R181" i="10" s="1"/>
  <c r="V181" i="10" a="1"/>
  <c r="V181" i="10" s="1"/>
  <c r="T182" i="10" a="1"/>
  <c r="T182" i="10" s="1"/>
  <c r="V182" i="10" a="1"/>
  <c r="V182" i="10" s="1"/>
  <c r="O182" i="10" a="1"/>
  <c r="O182" i="10" s="1"/>
  <c r="U182" i="10"/>
  <c r="R182" i="10" a="1"/>
  <c r="R182" i="10" s="1"/>
  <c r="S182" i="10" a="1"/>
  <c r="S182" i="10" s="1"/>
  <c r="Q182" i="10" a="1"/>
  <c r="Q182" i="10" s="1"/>
  <c r="P182" i="10" a="1"/>
  <c r="P182" i="10" s="1"/>
  <c r="S183" i="10" a="1"/>
  <c r="S183" i="10" s="1"/>
  <c r="T183" i="10" a="1"/>
  <c r="T183" i="10" s="1"/>
  <c r="U183" i="10"/>
  <c r="O183" i="10" a="1"/>
  <c r="O183" i="10" s="1"/>
  <c r="V183" i="10" a="1"/>
  <c r="V183" i="10" s="1"/>
  <c r="Q183" i="10" a="1"/>
  <c r="Q183" i="10" s="1"/>
  <c r="R183" i="10" a="1"/>
  <c r="R183" i="10" s="1"/>
  <c r="P183" i="10" a="1"/>
  <c r="P183" i="10" s="1"/>
  <c r="Q184" i="10" a="1"/>
  <c r="Q184" i="10" s="1"/>
  <c r="T184" i="10" a="1"/>
  <c r="T184" i="10" s="1"/>
  <c r="S184" i="10" a="1"/>
  <c r="S184" i="10" s="1"/>
  <c r="O184" i="10" a="1"/>
  <c r="O184" i="10" s="1"/>
  <c r="R184" i="10" a="1"/>
  <c r="R184" i="10" s="1"/>
  <c r="V184" i="10" a="1"/>
  <c r="V184" i="10" s="1"/>
  <c r="P184" i="10" a="1"/>
  <c r="P184" i="10" s="1"/>
  <c r="U184" i="10"/>
  <c r="O185" i="10" a="1"/>
  <c r="O185" i="10" s="1"/>
  <c r="Q185" i="10" a="1"/>
  <c r="Q185" i="10" s="1"/>
  <c r="P185" i="10" a="1"/>
  <c r="P185" i="10" s="1"/>
  <c r="S185" i="10" a="1"/>
  <c r="S185" i="10" s="1"/>
  <c r="R185" i="10" a="1"/>
  <c r="R185" i="10" s="1"/>
  <c r="U185" i="10"/>
  <c r="V185" i="10" a="1"/>
  <c r="V185" i="10" s="1"/>
  <c r="T185" i="10" a="1"/>
  <c r="T185" i="10" s="1"/>
  <c r="U186" i="10"/>
  <c r="Q186" i="10" a="1"/>
  <c r="Q186" i="10" s="1"/>
  <c r="P186" i="10" a="1"/>
  <c r="P186" i="10" s="1"/>
  <c r="R186" i="10" a="1"/>
  <c r="R186" i="10" s="1"/>
  <c r="O186" i="10" a="1"/>
  <c r="O186" i="10" s="1"/>
  <c r="T186" i="10" a="1"/>
  <c r="T186" i="10" s="1"/>
  <c r="V186" i="10" a="1"/>
  <c r="V186" i="10" s="1"/>
  <c r="S186" i="10" a="1"/>
  <c r="S186" i="10" s="1"/>
  <c r="P187" i="10" a="1"/>
  <c r="P187" i="10" s="1"/>
  <c r="V187" i="10" a="1"/>
  <c r="V187" i="10" s="1"/>
  <c r="O187" i="10" a="1"/>
  <c r="O187" i="10" s="1"/>
  <c r="Q187" i="10" a="1"/>
  <c r="Q187" i="10" s="1"/>
  <c r="U187" i="10"/>
  <c r="R187" i="10" a="1"/>
  <c r="R187" i="10" s="1"/>
  <c r="S187" i="10" a="1"/>
  <c r="S187" i="10" s="1"/>
  <c r="T187" i="10" a="1"/>
  <c r="T187" i="10" s="1"/>
  <c r="P188" i="10" a="1"/>
  <c r="P188" i="10" s="1"/>
  <c r="T188" i="10" a="1"/>
  <c r="T188" i="10" s="1"/>
  <c r="U188" i="10"/>
  <c r="O188" i="10" a="1"/>
  <c r="O188" i="10" s="1"/>
  <c r="Q188" i="10" a="1"/>
  <c r="Q188" i="10" s="1"/>
  <c r="S188" i="10" a="1"/>
  <c r="S188" i="10" s="1"/>
  <c r="R188" i="10" a="1"/>
  <c r="R188" i="10" s="1"/>
  <c r="V188" i="10" a="1"/>
  <c r="V188" i="10" s="1"/>
  <c r="V189" i="10" a="1"/>
  <c r="V189" i="10" s="1"/>
  <c r="Q189" i="10" a="1"/>
  <c r="Q189" i="10" s="1"/>
  <c r="R189" i="10" a="1"/>
  <c r="R189" i="10" s="1"/>
  <c r="S189" i="10" a="1"/>
  <c r="S189" i="10" s="1"/>
  <c r="U189" i="10"/>
  <c r="T189" i="10" a="1"/>
  <c r="T189" i="10" s="1"/>
  <c r="P189" i="10" a="1"/>
  <c r="P189" i="10" s="1"/>
  <c r="O189" i="10" a="1"/>
  <c r="O189" i="10" s="1"/>
  <c r="S190" i="10" a="1"/>
  <c r="S190" i="10" s="1"/>
  <c r="V190" i="10" a="1"/>
  <c r="V190" i="10" s="1"/>
  <c r="U190" i="10"/>
  <c r="Q190" i="10" a="1"/>
  <c r="Q190" i="10" s="1"/>
  <c r="R190" i="10" a="1"/>
  <c r="R190" i="10" s="1"/>
  <c r="T190" i="10" a="1"/>
  <c r="T190" i="10" s="1"/>
  <c r="O190" i="10" a="1"/>
  <c r="O190" i="10" s="1"/>
  <c r="P190" i="10" a="1"/>
  <c r="P190" i="10" s="1"/>
  <c r="U191" i="10"/>
  <c r="P191" i="10" a="1"/>
  <c r="P191" i="10" s="1"/>
  <c r="S191" i="10" a="1"/>
  <c r="S191" i="10" s="1"/>
  <c r="T191" i="10" a="1"/>
  <c r="T191" i="10" s="1"/>
  <c r="R191" i="10" a="1"/>
  <c r="R191" i="10" s="1"/>
  <c r="O191" i="10" a="1"/>
  <c r="O191" i="10" s="1"/>
  <c r="Q191" i="10" a="1"/>
  <c r="Q191" i="10" s="1"/>
  <c r="V191" i="10" a="1"/>
  <c r="V191" i="10" s="1"/>
  <c r="V192" i="10" a="1"/>
  <c r="V192" i="10" s="1"/>
  <c r="P192" i="10" a="1"/>
  <c r="P192" i="10" s="1"/>
  <c r="U192" i="10"/>
  <c r="Q192" i="10" a="1"/>
  <c r="Q192" i="10" s="1"/>
  <c r="O192" i="10" a="1"/>
  <c r="O192" i="10" s="1"/>
  <c r="R192" i="10" a="1"/>
  <c r="R192" i="10" s="1"/>
  <c r="T192" i="10" a="1"/>
  <c r="T192" i="10" s="1"/>
  <c r="S192" i="10" a="1"/>
  <c r="S192" i="10" s="1"/>
  <c r="O193" i="10" a="1"/>
  <c r="O193" i="10" s="1"/>
  <c r="U193" i="10"/>
  <c r="Q193" i="10" a="1"/>
  <c r="Q193" i="10" s="1"/>
  <c r="R193" i="10" a="1"/>
  <c r="R193" i="10" s="1"/>
  <c r="T193" i="10" a="1"/>
  <c r="T193" i="10" s="1"/>
  <c r="V193" i="10" a="1"/>
  <c r="V193" i="10" s="1"/>
  <c r="P193" i="10" a="1"/>
  <c r="P193" i="10" s="1"/>
  <c r="S193" i="10" a="1"/>
  <c r="S193" i="10" s="1"/>
  <c r="R194" i="10" a="1"/>
  <c r="R194" i="10" s="1"/>
  <c r="V194" i="10" a="1"/>
  <c r="V194" i="10" s="1"/>
  <c r="O194" i="10" a="1"/>
  <c r="O194" i="10" s="1"/>
  <c r="P194" i="10" a="1"/>
  <c r="P194" i="10" s="1"/>
  <c r="Q194" i="10" a="1"/>
  <c r="Q194" i="10" s="1"/>
  <c r="T194" i="10" a="1"/>
  <c r="T194" i="10" s="1"/>
  <c r="S194" i="10" a="1"/>
  <c r="S194" i="10" s="1"/>
  <c r="U194" i="10"/>
  <c r="O195" i="10" a="1"/>
  <c r="O195" i="10" s="1"/>
  <c r="T195" i="10" a="1"/>
  <c r="T195" i="10" s="1"/>
  <c r="P195" i="10" a="1"/>
  <c r="P195" i="10" s="1"/>
  <c r="U195" i="10"/>
  <c r="S195" i="10" a="1"/>
  <c r="S195" i="10" s="1"/>
  <c r="Q195" i="10" a="1"/>
  <c r="Q195" i="10" s="1"/>
  <c r="R195" i="10" a="1"/>
  <c r="R195" i="10" s="1"/>
  <c r="V195" i="10" a="1"/>
  <c r="V195" i="10" s="1"/>
  <c r="P196" i="10" a="1"/>
  <c r="P196" i="10" s="1"/>
  <c r="U196" i="10"/>
  <c r="T196" i="10" a="1"/>
  <c r="T196" i="10" s="1"/>
  <c r="R196" i="10" a="1"/>
  <c r="R196" i="10" s="1"/>
  <c r="S196" i="10" a="1"/>
  <c r="S196" i="10" s="1"/>
  <c r="Q196" i="10" a="1"/>
  <c r="Q196" i="10" s="1"/>
  <c r="O196" i="10" a="1"/>
  <c r="O196" i="10" s="1"/>
  <c r="V196" i="10" a="1"/>
  <c r="V196" i="10" s="1"/>
  <c r="T197" i="10" a="1"/>
  <c r="T197" i="10" s="1"/>
  <c r="R197" i="10" a="1"/>
  <c r="R197" i="10" s="1"/>
  <c r="P197" i="10" a="1"/>
  <c r="P197" i="10" s="1"/>
  <c r="V197" i="10" a="1"/>
  <c r="V197" i="10" s="1"/>
  <c r="Q197" i="10" a="1"/>
  <c r="Q197" i="10" s="1"/>
  <c r="O197" i="10" a="1"/>
  <c r="O197" i="10" s="1"/>
  <c r="S197" i="10" a="1"/>
  <c r="S197" i="10" s="1"/>
  <c r="U197" i="10"/>
  <c r="U198" i="10"/>
  <c r="O198" i="10" a="1"/>
  <c r="O198" i="10" s="1"/>
  <c r="R198" i="10" a="1"/>
  <c r="R198" i="10" s="1"/>
  <c r="V198" i="10" a="1"/>
  <c r="V198" i="10" s="1"/>
  <c r="S198" i="10" a="1"/>
  <c r="S198" i="10" s="1"/>
  <c r="P198" i="10" a="1"/>
  <c r="P198" i="10" s="1"/>
  <c r="Q198" i="10" a="1"/>
  <c r="Q198" i="10" s="1"/>
  <c r="T198" i="10" a="1"/>
  <c r="T198" i="10" s="1"/>
  <c r="V199" i="10" a="1"/>
  <c r="V199" i="10" s="1"/>
  <c r="T199" i="10" a="1"/>
  <c r="T199" i="10" s="1"/>
  <c r="P199" i="10" a="1"/>
  <c r="P199" i="10" s="1"/>
  <c r="Q199" i="10" a="1"/>
  <c r="Q199" i="10" s="1"/>
  <c r="S199" i="10" a="1"/>
  <c r="S199" i="10" s="1"/>
  <c r="R199" i="10" a="1"/>
  <c r="R199" i="10" s="1"/>
  <c r="U199" i="10"/>
  <c r="O199" i="10" a="1"/>
  <c r="O199" i="10" s="1"/>
  <c r="P200" i="10" a="1"/>
  <c r="P200" i="10" s="1"/>
  <c r="V200" i="10" a="1"/>
  <c r="V200" i="10" s="1"/>
  <c r="S200" i="10" a="1"/>
  <c r="S200" i="10" s="1"/>
  <c r="T200" i="10" a="1"/>
  <c r="T200" i="10" s="1"/>
  <c r="R200" i="10" a="1"/>
  <c r="R200" i="10" s="1"/>
  <c r="Q200" i="10" a="1"/>
  <c r="Q200" i="10" s="1"/>
  <c r="O200" i="10" a="1"/>
  <c r="O200" i="10" s="1"/>
  <c r="U200" i="10"/>
  <c r="R201" i="10" a="1"/>
  <c r="R201" i="10" s="1"/>
  <c r="S201" i="10" a="1"/>
  <c r="S201" i="10" s="1"/>
  <c r="Q201" i="10" a="1"/>
  <c r="Q201" i="10" s="1"/>
  <c r="P201" i="10" a="1"/>
  <c r="P201" i="10" s="1"/>
  <c r="V201" i="10" a="1"/>
  <c r="V201" i="10" s="1"/>
  <c r="U201" i="10"/>
  <c r="O201" i="10" a="1"/>
  <c r="O201" i="10" s="1"/>
  <c r="T201" i="10" a="1"/>
  <c r="T201" i="10" s="1"/>
  <c r="S202" i="10" a="1"/>
  <c r="S202" i="10" s="1"/>
  <c r="T202" i="10" a="1"/>
  <c r="T202" i="10" s="1"/>
  <c r="V202" i="10" a="1"/>
  <c r="V202" i="10" s="1"/>
  <c r="P202" i="10" a="1"/>
  <c r="P202" i="10" s="1"/>
  <c r="U202" i="10"/>
  <c r="Q202" i="10" a="1"/>
  <c r="Q202" i="10" s="1"/>
  <c r="R202" i="10" a="1"/>
  <c r="R202" i="10" s="1"/>
  <c r="O202" i="10" a="1"/>
  <c r="O202" i="10" s="1"/>
  <c r="P203" i="10" a="1"/>
  <c r="P203" i="10" s="1"/>
  <c r="Q203" i="10" a="1"/>
  <c r="Q203" i="10" s="1"/>
  <c r="U203" i="10"/>
  <c r="S203" i="10" a="1"/>
  <c r="S203" i="10" s="1"/>
  <c r="O203" i="10" a="1"/>
  <c r="O203" i="10" s="1"/>
  <c r="T203" i="10" a="1"/>
  <c r="T203" i="10" s="1"/>
  <c r="V203" i="10" a="1"/>
  <c r="V203" i="10" s="1"/>
  <c r="R203" i="10" a="1"/>
  <c r="R203" i="10" s="1"/>
  <c r="S204" i="10" a="1"/>
  <c r="S204" i="10" s="1"/>
  <c r="O204" i="10" a="1"/>
  <c r="O204" i="10" s="1"/>
  <c r="V204" i="10" a="1"/>
  <c r="V204" i="10" s="1"/>
  <c r="P204" i="10" a="1"/>
  <c r="P204" i="10" s="1"/>
  <c r="T204" i="10" a="1"/>
  <c r="T204" i="10" s="1"/>
  <c r="R204" i="10" a="1"/>
  <c r="R204" i="10" s="1"/>
  <c r="U204" i="10"/>
  <c r="Q204" i="10" a="1"/>
  <c r="Q204" i="10" s="1"/>
  <c r="V205" i="10" a="1"/>
  <c r="V205" i="10" s="1"/>
  <c r="U205" i="10"/>
  <c r="S205" i="10" a="1"/>
  <c r="S205" i="10" s="1"/>
  <c r="Q205" i="10" a="1"/>
  <c r="Q205" i="10" s="1"/>
  <c r="T205" i="10" a="1"/>
  <c r="T205" i="10" s="1"/>
  <c r="R205" i="10" a="1"/>
  <c r="R205" i="10" s="1"/>
  <c r="O205" i="10" a="1"/>
  <c r="O205" i="10" s="1"/>
  <c r="P205" i="10" a="1"/>
  <c r="P205" i="10" s="1"/>
  <c r="P206" i="10" a="1"/>
  <c r="P206" i="10" s="1"/>
  <c r="Q206" i="10" a="1"/>
  <c r="Q206" i="10" s="1"/>
  <c r="T206" i="10" a="1"/>
  <c r="T206" i="10" s="1"/>
  <c r="U206" i="10"/>
  <c r="S206" i="10" a="1"/>
  <c r="S206" i="10" s="1"/>
  <c r="O206" i="10" a="1"/>
  <c r="O206" i="10" s="1"/>
  <c r="V206" i="10" a="1"/>
  <c r="V206" i="10" s="1"/>
  <c r="R206" i="10" a="1"/>
  <c r="R206" i="10" s="1"/>
  <c r="P207" i="10" a="1"/>
  <c r="P207" i="10" s="1"/>
  <c r="U207" i="10"/>
  <c r="T207" i="10" a="1"/>
  <c r="T207" i="10" s="1"/>
  <c r="S207" i="10" a="1"/>
  <c r="S207" i="10" s="1"/>
  <c r="O207" i="10" a="1"/>
  <c r="O207" i="10" s="1"/>
  <c r="R207" i="10" a="1"/>
  <c r="R207" i="10" s="1"/>
  <c r="Q207" i="10" a="1"/>
  <c r="Q207" i="10" s="1"/>
  <c r="V207" i="10" a="1"/>
  <c r="V207" i="10" s="1"/>
  <c r="P208" i="10" a="1"/>
  <c r="P208" i="10" s="1"/>
  <c r="O208" i="10" a="1"/>
  <c r="O208" i="10" s="1"/>
  <c r="T208" i="10" a="1"/>
  <c r="T208" i="10" s="1"/>
  <c r="V208" i="10" a="1"/>
  <c r="V208" i="10" s="1"/>
  <c r="U208" i="10"/>
  <c r="Q208" i="10" a="1"/>
  <c r="Q208" i="10" s="1"/>
  <c r="R208" i="10" a="1"/>
  <c r="R208" i="10" s="1"/>
  <c r="S208" i="10" a="1"/>
  <c r="S208" i="10" s="1"/>
  <c r="S209" i="10" a="1"/>
  <c r="S209" i="10" s="1"/>
  <c r="R209" i="10" a="1"/>
  <c r="R209" i="10" s="1"/>
  <c r="V209" i="10" a="1"/>
  <c r="V209" i="10" s="1"/>
  <c r="P209" i="10" a="1"/>
  <c r="P209" i="10" s="1"/>
  <c r="T209" i="10" a="1"/>
  <c r="T209" i="10" s="1"/>
  <c r="U209" i="10"/>
  <c r="O209" i="10" a="1"/>
  <c r="O209" i="10" s="1"/>
  <c r="Q209" i="10" a="1"/>
  <c r="Q209" i="10" s="1"/>
  <c r="U210" i="10"/>
  <c r="P210" i="10" a="1"/>
  <c r="P210" i="10" s="1"/>
  <c r="O210" i="10" a="1"/>
  <c r="O210" i="10" s="1"/>
  <c r="R210" i="10" a="1"/>
  <c r="R210" i="10" s="1"/>
  <c r="T210" i="10" a="1"/>
  <c r="T210" i="10" s="1"/>
  <c r="V210" i="10" a="1"/>
  <c r="V210" i="10" s="1"/>
  <c r="S210" i="10" a="1"/>
  <c r="S210" i="10" s="1"/>
  <c r="Q210" i="10" a="1"/>
  <c r="Q210" i="10" s="1"/>
  <c r="O211" i="10" a="1"/>
  <c r="O211" i="10" s="1"/>
  <c r="Q211" i="10" a="1"/>
  <c r="Q211" i="10" s="1"/>
  <c r="R211" i="10" a="1"/>
  <c r="R211" i="10" s="1"/>
  <c r="S211" i="10" a="1"/>
  <c r="S211" i="10" s="1"/>
  <c r="U211" i="10"/>
  <c r="P211" i="10" a="1"/>
  <c r="P211" i="10" s="1"/>
  <c r="T211" i="10" a="1"/>
  <c r="T211" i="10" s="1"/>
  <c r="V211" i="10" a="1"/>
  <c r="V211" i="10" s="1"/>
  <c r="Q212" i="10" a="1"/>
  <c r="Q212" i="10" s="1"/>
  <c r="U212" i="10"/>
  <c r="S212" i="10" a="1"/>
  <c r="S212" i="10" s="1"/>
  <c r="T212" i="10" a="1"/>
  <c r="T212" i="10" s="1"/>
  <c r="P212" i="10" a="1"/>
  <c r="P212" i="10" s="1"/>
  <c r="V212" i="10" a="1"/>
  <c r="V212" i="10" s="1"/>
  <c r="O212" i="10" a="1"/>
  <c r="O212" i="10" s="1"/>
  <c r="R212" i="10" a="1"/>
  <c r="R212" i="10" s="1"/>
  <c r="P213" i="10" a="1"/>
  <c r="P213" i="10" s="1"/>
  <c r="O213" i="10" a="1"/>
  <c r="O213" i="10" s="1"/>
  <c r="U213" i="10"/>
  <c r="R213" i="10" a="1"/>
  <c r="R213" i="10" s="1"/>
  <c r="Q213" i="10" a="1"/>
  <c r="Q213" i="10" s="1"/>
  <c r="T213" i="10" a="1"/>
  <c r="T213" i="10" s="1"/>
  <c r="S213" i="10" a="1"/>
  <c r="S213" i="10" s="1"/>
  <c r="V213" i="10" a="1"/>
  <c r="V213" i="10" s="1"/>
  <c r="V214" i="10" a="1"/>
  <c r="V214" i="10" s="1"/>
  <c r="T214" i="10" a="1"/>
  <c r="T214" i="10" s="1"/>
  <c r="R214" i="10" a="1"/>
  <c r="R214" i="10" s="1"/>
  <c r="Q214" i="10" a="1"/>
  <c r="Q214" i="10" s="1"/>
  <c r="U214" i="10"/>
  <c r="O214" i="10" a="1"/>
  <c r="O214" i="10" s="1"/>
  <c r="P214" i="10" a="1"/>
  <c r="P214" i="10" s="1"/>
  <c r="S214" i="10" a="1"/>
  <c r="S214" i="10" s="1"/>
  <c r="P215" i="10" a="1"/>
  <c r="P215" i="10" s="1"/>
  <c r="Q215" i="10" a="1"/>
  <c r="Q215" i="10" s="1"/>
  <c r="O215" i="10" a="1"/>
  <c r="O215" i="10" s="1"/>
  <c r="T215" i="10" a="1"/>
  <c r="T215" i="10" s="1"/>
  <c r="V215" i="10" a="1"/>
  <c r="V215" i="10" s="1"/>
  <c r="U215" i="10"/>
  <c r="S215" i="10" a="1"/>
  <c r="S215" i="10" s="1"/>
  <c r="R215" i="10" a="1"/>
  <c r="R215" i="10" s="1"/>
  <c r="V216" i="10" a="1"/>
  <c r="V216" i="10" s="1"/>
  <c r="Q216" i="10" a="1"/>
  <c r="Q216" i="10" s="1"/>
  <c r="R216" i="10" a="1"/>
  <c r="R216" i="10" s="1"/>
  <c r="O216" i="10" a="1"/>
  <c r="O216" i="10" s="1"/>
  <c r="T216" i="10" a="1"/>
  <c r="T216" i="10" s="1"/>
  <c r="S216" i="10" a="1"/>
  <c r="S216" i="10" s="1"/>
  <c r="P216" i="10" a="1"/>
  <c r="P216" i="10" s="1"/>
  <c r="U216" i="10"/>
  <c r="S217" i="10" a="1"/>
  <c r="S217" i="10" s="1"/>
  <c r="Q217" i="10" a="1"/>
  <c r="Q217" i="10" s="1"/>
  <c r="O217" i="10" a="1"/>
  <c r="O217" i="10" s="1"/>
  <c r="T217" i="10" a="1"/>
  <c r="T217" i="10" s="1"/>
  <c r="U217" i="10"/>
  <c r="P217" i="10" a="1"/>
  <c r="P217" i="10" s="1"/>
  <c r="V217" i="10" a="1"/>
  <c r="V217" i="10" s="1"/>
  <c r="R217" i="10" a="1"/>
  <c r="R217" i="10" s="1"/>
  <c r="R218" i="10" a="1"/>
  <c r="R218" i="10" s="1"/>
  <c r="Q218" i="10" a="1"/>
  <c r="Q218" i="10" s="1"/>
  <c r="V218" i="10" a="1"/>
  <c r="V218" i="10" s="1"/>
  <c r="T218" i="10" a="1"/>
  <c r="T218" i="10" s="1"/>
  <c r="P218" i="10" a="1"/>
  <c r="P218" i="10" s="1"/>
  <c r="U218" i="10"/>
  <c r="O218" i="10" a="1"/>
  <c r="O218" i="10" s="1"/>
  <c r="S218" i="10" a="1"/>
  <c r="S218" i="10" s="1"/>
  <c r="V219" i="10" a="1"/>
  <c r="V219" i="10" s="1"/>
  <c r="O219" i="10" a="1"/>
  <c r="O219" i="10" s="1"/>
  <c r="Q219" i="10" a="1"/>
  <c r="Q219" i="10" s="1"/>
  <c r="R219" i="10" a="1"/>
  <c r="R219" i="10" s="1"/>
  <c r="T219" i="10" a="1"/>
  <c r="T219" i="10" s="1"/>
  <c r="P219" i="10" a="1"/>
  <c r="P219" i="10" s="1"/>
  <c r="S219" i="10" a="1"/>
  <c r="S219" i="10" s="1"/>
  <c r="U219" i="10"/>
  <c r="T220" i="10" a="1"/>
  <c r="T220" i="10" s="1"/>
  <c r="Q220" i="10" a="1"/>
  <c r="Q220" i="10" s="1"/>
  <c r="V220" i="10" a="1"/>
  <c r="V220" i="10" s="1"/>
  <c r="S220" i="10" a="1"/>
  <c r="S220" i="10" s="1"/>
  <c r="R220" i="10" a="1"/>
  <c r="R220" i="10" s="1"/>
  <c r="O220" i="10" a="1"/>
  <c r="O220" i="10" s="1"/>
  <c r="U220" i="10"/>
  <c r="P220" i="10" a="1"/>
  <c r="P220" i="10" s="1"/>
  <c r="S221" i="10" a="1"/>
  <c r="S221" i="10" s="1"/>
  <c r="O221" i="10" a="1"/>
  <c r="O221" i="10" s="1"/>
  <c r="U221" i="10"/>
  <c r="R221" i="10" a="1"/>
  <c r="R221" i="10" s="1"/>
  <c r="V221" i="10" a="1"/>
  <c r="V221" i="10" s="1"/>
  <c r="Q221" i="10" a="1"/>
  <c r="Q221" i="10" s="1"/>
  <c r="P221" i="10" a="1"/>
  <c r="P221" i="10" s="1"/>
  <c r="T221" i="10" a="1"/>
  <c r="T221" i="10" s="1"/>
  <c r="R222" i="10" a="1"/>
  <c r="R222" i="10" s="1"/>
  <c r="Q222" i="10" a="1"/>
  <c r="Q222" i="10" s="1"/>
  <c r="P222" i="10" a="1"/>
  <c r="P222" i="10" s="1"/>
  <c r="O222" i="10" a="1"/>
  <c r="O222" i="10" s="1"/>
  <c r="S222" i="10" a="1"/>
  <c r="S222" i="10" s="1"/>
  <c r="T222" i="10" a="1"/>
  <c r="T222" i="10" s="1"/>
  <c r="U222" i="10"/>
  <c r="V222" i="10" a="1"/>
  <c r="V222" i="10" s="1"/>
  <c r="Q223" i="10" a="1"/>
  <c r="Q223" i="10" s="1"/>
  <c r="R223" i="10" a="1"/>
  <c r="R223" i="10" s="1"/>
  <c r="O223" i="10" a="1"/>
  <c r="O223" i="10" s="1"/>
  <c r="S223" i="10" a="1"/>
  <c r="S223" i="10" s="1"/>
  <c r="V223" i="10" a="1"/>
  <c r="V223" i="10" s="1"/>
  <c r="T223" i="10" a="1"/>
  <c r="T223" i="10" s="1"/>
  <c r="P223" i="10" a="1"/>
  <c r="P223" i="10" s="1"/>
  <c r="U223" i="10"/>
  <c r="V224" i="10" a="1"/>
  <c r="V224" i="10" s="1"/>
  <c r="T224" i="10" a="1"/>
  <c r="T224" i="10" s="1"/>
  <c r="O224" i="10" a="1"/>
  <c r="O224" i="10" s="1"/>
  <c r="R224" i="10" a="1"/>
  <c r="R224" i="10" s="1"/>
  <c r="Q224" i="10" a="1"/>
  <c r="Q224" i="10" s="1"/>
  <c r="P224" i="10" a="1"/>
  <c r="P224" i="10" s="1"/>
  <c r="U224" i="10"/>
  <c r="S224" i="10" a="1"/>
  <c r="S224" i="10" s="1"/>
  <c r="O225" i="10" a="1"/>
  <c r="O225" i="10" s="1"/>
  <c r="T225" i="10" a="1"/>
  <c r="T225" i="10" s="1"/>
  <c r="P225" i="10" a="1"/>
  <c r="P225" i="10" s="1"/>
  <c r="V225" i="10" a="1"/>
  <c r="V225" i="10" s="1"/>
  <c r="Q225" i="10" a="1"/>
  <c r="Q225" i="10" s="1"/>
  <c r="U225" i="10"/>
  <c r="R225" i="10" a="1"/>
  <c r="R225" i="10" s="1"/>
  <c r="S225" i="10" a="1"/>
  <c r="S225" i="10" s="1"/>
  <c r="T226" i="10" a="1"/>
  <c r="T226" i="10" s="1"/>
  <c r="Q226" i="10" a="1"/>
  <c r="Q226" i="10" s="1"/>
  <c r="O226" i="10" a="1"/>
  <c r="O226" i="10" s="1"/>
  <c r="V226" i="10" a="1"/>
  <c r="V226" i="10" s="1"/>
  <c r="U226" i="10"/>
  <c r="R226" i="10" a="1"/>
  <c r="R226" i="10" s="1"/>
  <c r="S226" i="10" a="1"/>
  <c r="S226" i="10" s="1"/>
  <c r="P226" i="10" a="1"/>
  <c r="P226" i="10" s="1"/>
  <c r="S227" i="10" a="1"/>
  <c r="S227" i="10" s="1"/>
  <c r="T227" i="10" a="1"/>
  <c r="T227" i="10" s="1"/>
  <c r="Q227" i="10" a="1"/>
  <c r="Q227" i="10" s="1"/>
  <c r="V227" i="10" a="1"/>
  <c r="V227" i="10" s="1"/>
  <c r="O227" i="10" a="1"/>
  <c r="O227" i="10" s="1"/>
  <c r="R227" i="10" a="1"/>
  <c r="R227" i="10" s="1"/>
  <c r="P227" i="10" a="1"/>
  <c r="P227" i="10" s="1"/>
  <c r="U227" i="10"/>
  <c r="S228" i="10" a="1"/>
  <c r="S228" i="10" s="1"/>
  <c r="Q228" i="10" a="1"/>
  <c r="Q228" i="10" s="1"/>
  <c r="T228" i="10" a="1"/>
  <c r="T228" i="10" s="1"/>
  <c r="V228" i="10" a="1"/>
  <c r="V228" i="10" s="1"/>
  <c r="O228" i="10" a="1"/>
  <c r="O228" i="10" s="1"/>
  <c r="P228" i="10" a="1"/>
  <c r="P228" i="10" s="1"/>
  <c r="U228" i="10"/>
  <c r="R228" i="10" a="1"/>
  <c r="R228" i="10" s="1"/>
  <c r="O229" i="10" a="1"/>
  <c r="O229" i="10" s="1"/>
  <c r="U229" i="10"/>
  <c r="V229" i="10" a="1"/>
  <c r="V229" i="10" s="1"/>
  <c r="P229" i="10" a="1"/>
  <c r="P229" i="10" s="1"/>
  <c r="Q229" i="10" a="1"/>
  <c r="Q229" i="10" s="1"/>
  <c r="T229" i="10" a="1"/>
  <c r="T229" i="10" s="1"/>
  <c r="S229" i="10" a="1"/>
  <c r="S229" i="10" s="1"/>
  <c r="R229" i="10" a="1"/>
  <c r="R229" i="10" s="1"/>
  <c r="O230" i="10" a="1"/>
  <c r="O230" i="10" s="1"/>
  <c r="U230" i="10"/>
  <c r="Q230" i="10" a="1"/>
  <c r="Q230" i="10" s="1"/>
  <c r="R230" i="10" a="1"/>
  <c r="R230" i="10" s="1"/>
  <c r="P230" i="10" a="1"/>
  <c r="P230" i="10" s="1"/>
  <c r="V230" i="10" a="1"/>
  <c r="V230" i="10" s="1"/>
  <c r="T230" i="10" a="1"/>
  <c r="T230" i="10" s="1"/>
  <c r="S230" i="10" a="1"/>
  <c r="S230" i="10" s="1"/>
  <c r="P231" i="10" a="1"/>
  <c r="P231" i="10" s="1"/>
  <c r="Q231" i="10" a="1"/>
  <c r="Q231" i="10" s="1"/>
  <c r="R231" i="10" a="1"/>
  <c r="R231" i="10" s="1"/>
  <c r="V231" i="10" a="1"/>
  <c r="V231" i="10" s="1"/>
  <c r="U231" i="10"/>
  <c r="O231" i="10" a="1"/>
  <c r="O231" i="10" s="1"/>
  <c r="T231" i="10" a="1"/>
  <c r="T231" i="10" s="1"/>
  <c r="S231" i="10" a="1"/>
  <c r="S231" i="10" s="1"/>
  <c r="T232" i="10" a="1"/>
  <c r="T232" i="10" s="1"/>
  <c r="Q232" i="10" a="1"/>
  <c r="Q232" i="10" s="1"/>
  <c r="S232" i="10" a="1"/>
  <c r="S232" i="10" s="1"/>
  <c r="U232" i="10"/>
  <c r="P232" i="10" a="1"/>
  <c r="P232" i="10" s="1"/>
  <c r="R232" i="10" a="1"/>
  <c r="R232" i="10" s="1"/>
  <c r="V232" i="10" a="1"/>
  <c r="V232" i="10" s="1"/>
  <c r="O232" i="10" a="1"/>
  <c r="O232" i="10" s="1"/>
  <c r="O233" i="10" a="1"/>
  <c r="O233" i="10" s="1"/>
  <c r="S233" i="10" a="1"/>
  <c r="S233" i="10" s="1"/>
  <c r="Q233" i="10" a="1"/>
  <c r="Q233" i="10" s="1"/>
  <c r="P233" i="10" a="1"/>
  <c r="P233" i="10" s="1"/>
  <c r="T233" i="10" a="1"/>
  <c r="T233" i="10" s="1"/>
  <c r="R233" i="10" a="1"/>
  <c r="R233" i="10" s="1"/>
  <c r="U233" i="10"/>
  <c r="V233" i="10" a="1"/>
  <c r="V233" i="10" s="1"/>
  <c r="P234" i="10" a="1"/>
  <c r="P234" i="10" s="1"/>
  <c r="U234" i="10"/>
  <c r="R234" i="10" a="1"/>
  <c r="R234" i="10" s="1"/>
  <c r="T234" i="10" a="1"/>
  <c r="T234" i="10" s="1"/>
  <c r="S234" i="10" a="1"/>
  <c r="S234" i="10" s="1"/>
  <c r="O234" i="10" a="1"/>
  <c r="O234" i="10" s="1"/>
  <c r="Q234" i="10" a="1"/>
  <c r="Q234" i="10" s="1"/>
  <c r="V234" i="10" a="1"/>
  <c r="V234" i="10" s="1"/>
  <c r="Q235" i="10" a="1"/>
  <c r="Q235" i="10" s="1"/>
  <c r="T235" i="10" a="1"/>
  <c r="T235" i="10" s="1"/>
  <c r="P235" i="10" a="1"/>
  <c r="P235" i="10" s="1"/>
  <c r="U235" i="10"/>
  <c r="V235" i="10" a="1"/>
  <c r="V235" i="10" s="1"/>
  <c r="S235" i="10" a="1"/>
  <c r="S235" i="10" s="1"/>
  <c r="R235" i="10" a="1"/>
  <c r="R235" i="10" s="1"/>
  <c r="O235" i="10" a="1"/>
  <c r="O235" i="10" s="1"/>
  <c r="V236" i="10" a="1"/>
  <c r="V236" i="10" s="1"/>
  <c r="T236" i="10" a="1"/>
  <c r="T236" i="10" s="1"/>
  <c r="P236" i="10" a="1"/>
  <c r="P236" i="10" s="1"/>
  <c r="O236" i="10" a="1"/>
  <c r="O236" i="10" s="1"/>
  <c r="S236" i="10" a="1"/>
  <c r="S236" i="10" s="1"/>
  <c r="R236" i="10" a="1"/>
  <c r="R236" i="10" s="1"/>
  <c r="U236" i="10"/>
  <c r="Q236" i="10" a="1"/>
  <c r="Q236" i="10" s="1"/>
  <c r="S237" i="10" a="1"/>
  <c r="S237" i="10" s="1"/>
  <c r="T237" i="10" a="1"/>
  <c r="T237" i="10" s="1"/>
  <c r="P237" i="10" a="1"/>
  <c r="P237" i="10" s="1"/>
  <c r="V237" i="10" a="1"/>
  <c r="V237" i="10" s="1"/>
  <c r="U237" i="10"/>
  <c r="Q237" i="10" a="1"/>
  <c r="Q237" i="10" s="1"/>
  <c r="R237" i="10" a="1"/>
  <c r="R237" i="10" s="1"/>
  <c r="O237" i="10" a="1"/>
  <c r="O237" i="10" s="1"/>
  <c r="P238" i="10" a="1"/>
  <c r="P238" i="10" s="1"/>
  <c r="U238" i="10"/>
  <c r="Q238" i="10" a="1"/>
  <c r="Q238" i="10" s="1"/>
  <c r="O238" i="10" a="1"/>
  <c r="O238" i="10" s="1"/>
  <c r="T238" i="10" a="1"/>
  <c r="T238" i="10" s="1"/>
  <c r="R238" i="10" a="1"/>
  <c r="R238" i="10" s="1"/>
  <c r="V238" i="10" a="1"/>
  <c r="V238" i="10" s="1"/>
  <c r="S238" i="10" a="1"/>
  <c r="S238" i="10" s="1"/>
  <c r="T239" i="10" a="1"/>
  <c r="T239" i="10" s="1"/>
  <c r="U239" i="10"/>
  <c r="P239" i="10" a="1"/>
  <c r="P239" i="10" s="1"/>
  <c r="R239" i="10" a="1"/>
  <c r="R239" i="10" s="1"/>
  <c r="V239" i="10" a="1"/>
  <c r="V239" i="10" s="1"/>
  <c r="Q239" i="10" a="1"/>
  <c r="Q239" i="10" s="1"/>
  <c r="O239" i="10" a="1"/>
  <c r="O239" i="10" s="1"/>
  <c r="S239" i="10" a="1"/>
  <c r="S239" i="10" s="1"/>
  <c r="Q240" i="10" a="1"/>
  <c r="Q240" i="10" s="1"/>
  <c r="O240" i="10" a="1"/>
  <c r="O240" i="10" s="1"/>
  <c r="V240" i="10" a="1"/>
  <c r="V240" i="10" s="1"/>
  <c r="T240" i="10" a="1"/>
  <c r="T240" i="10" s="1"/>
  <c r="S240" i="10" a="1"/>
  <c r="S240" i="10" s="1"/>
  <c r="P240" i="10" a="1"/>
  <c r="P240" i="10" s="1"/>
  <c r="R240" i="10" a="1"/>
  <c r="R240" i="10" s="1"/>
  <c r="U240" i="10"/>
  <c r="U241" i="10"/>
  <c r="S241" i="10" a="1"/>
  <c r="S241" i="10" s="1"/>
  <c r="Q241" i="10" a="1"/>
  <c r="Q241" i="10" s="1"/>
  <c r="T241" i="10" a="1"/>
  <c r="T241" i="10" s="1"/>
  <c r="O241" i="10" a="1"/>
  <c r="O241" i="10" s="1"/>
  <c r="P241" i="10" a="1"/>
  <c r="P241" i="10" s="1"/>
  <c r="R241" i="10" a="1"/>
  <c r="R241" i="10" s="1"/>
  <c r="V241" i="10" a="1"/>
  <c r="V241" i="10" s="1"/>
  <c r="T242" i="10" a="1"/>
  <c r="T242" i="10" s="1"/>
  <c r="Q242" i="10" a="1"/>
  <c r="Q242" i="10" s="1"/>
  <c r="S242" i="10" a="1"/>
  <c r="S242" i="10" s="1"/>
  <c r="R242" i="10" a="1"/>
  <c r="R242" i="10" s="1"/>
  <c r="U242" i="10"/>
  <c r="P242" i="10" a="1"/>
  <c r="P242" i="10" s="1"/>
  <c r="O242" i="10" a="1"/>
  <c r="O242" i="10" s="1"/>
  <c r="V242" i="10" a="1"/>
  <c r="V242" i="10" s="1"/>
  <c r="O243" i="10" a="1"/>
  <c r="O243" i="10" s="1"/>
  <c r="T243" i="10" a="1"/>
  <c r="T243" i="10" s="1"/>
  <c r="Q243" i="10" a="1"/>
  <c r="Q243" i="10" s="1"/>
  <c r="V243" i="10" a="1"/>
  <c r="V243" i="10" s="1"/>
  <c r="P243" i="10" a="1"/>
  <c r="P243" i="10" s="1"/>
  <c r="R243" i="10" a="1"/>
  <c r="R243" i="10" s="1"/>
  <c r="U243" i="10"/>
  <c r="S243" i="10" a="1"/>
  <c r="S243" i="10" s="1"/>
  <c r="V244" i="10" a="1"/>
  <c r="V244" i="10" s="1"/>
  <c r="U244" i="10"/>
  <c r="R244" i="10" a="1"/>
  <c r="R244" i="10" s="1"/>
  <c r="S244" i="10" a="1"/>
  <c r="S244" i="10" s="1"/>
  <c r="O244" i="10" a="1"/>
  <c r="O244" i="10" s="1"/>
  <c r="P244" i="10" a="1"/>
  <c r="P244" i="10" s="1"/>
  <c r="Q244" i="10" a="1"/>
  <c r="Q244" i="10" s="1"/>
  <c r="T244" i="10" a="1"/>
  <c r="T244" i="10" s="1"/>
  <c r="S245" i="10" a="1"/>
  <c r="S245" i="10" s="1"/>
  <c r="V245" i="10" a="1"/>
  <c r="V245" i="10" s="1"/>
  <c r="T245" i="10" a="1"/>
  <c r="T245" i="10" s="1"/>
  <c r="P245" i="10" a="1"/>
  <c r="P245" i="10" s="1"/>
  <c r="U245" i="10"/>
  <c r="R245" i="10" a="1"/>
  <c r="R245" i="10" s="1"/>
  <c r="Q245" i="10" a="1"/>
  <c r="Q245" i="10" s="1"/>
  <c r="O245" i="10" a="1"/>
  <c r="O245" i="10" s="1"/>
  <c r="U246" i="10"/>
  <c r="Q246" i="10" a="1"/>
  <c r="Q246" i="10" s="1"/>
  <c r="R246" i="10" a="1"/>
  <c r="R246" i="10" s="1"/>
  <c r="P246" i="10" a="1"/>
  <c r="P246" i="10" s="1"/>
  <c r="S246" i="10" a="1"/>
  <c r="S246" i="10" s="1"/>
  <c r="V246" i="10" a="1"/>
  <c r="V246" i="10" s="1"/>
  <c r="T246" i="10" a="1"/>
  <c r="T246" i="10" s="1"/>
  <c r="O246" i="10" a="1"/>
  <c r="O246" i="10" s="1"/>
  <c r="S247" i="10" a="1"/>
  <c r="S247" i="10" s="1"/>
  <c r="T247" i="10" a="1"/>
  <c r="T247" i="10" s="1"/>
  <c r="O247" i="10" a="1"/>
  <c r="O247" i="10" s="1"/>
  <c r="V247" i="10" a="1"/>
  <c r="V247" i="10" s="1"/>
  <c r="P247" i="10" a="1"/>
  <c r="P247" i="10" s="1"/>
  <c r="Q247" i="10" a="1"/>
  <c r="Q247" i="10" s="1"/>
  <c r="U247" i="10"/>
  <c r="R247" i="10" a="1"/>
  <c r="R247" i="10" s="1"/>
  <c r="P248" i="10" a="1"/>
  <c r="P248" i="10" s="1"/>
  <c r="U248" i="10"/>
  <c r="O248" i="10" a="1"/>
  <c r="O248" i="10" s="1"/>
  <c r="S248" i="10" a="1"/>
  <c r="S248" i="10" s="1"/>
  <c r="V248" i="10" a="1"/>
  <c r="V248" i="10" s="1"/>
  <c r="T248" i="10" a="1"/>
  <c r="T248" i="10" s="1"/>
  <c r="R248" i="10" a="1"/>
  <c r="R248" i="10" s="1"/>
  <c r="Q248" i="10" a="1"/>
  <c r="Q248" i="10" s="1"/>
  <c r="S249" i="10" a="1"/>
  <c r="S249" i="10" s="1"/>
  <c r="Q249" i="10" a="1"/>
  <c r="Q249" i="10" s="1"/>
  <c r="V249" i="10" a="1"/>
  <c r="V249" i="10" s="1"/>
  <c r="T249" i="10" a="1"/>
  <c r="T249" i="10" s="1"/>
  <c r="P249" i="10" a="1"/>
  <c r="P249" i="10" s="1"/>
  <c r="U249" i="10"/>
  <c r="O249" i="10" a="1"/>
  <c r="O249" i="10" s="1"/>
  <c r="R249" i="10" a="1"/>
  <c r="R249" i="10" s="1"/>
  <c r="O250" i="10" a="1"/>
  <c r="O250" i="10" s="1"/>
  <c r="R250" i="10" a="1"/>
  <c r="R250" i="10" s="1"/>
  <c r="V250" i="10" a="1"/>
  <c r="V250" i="10" s="1"/>
  <c r="Q250" i="10" a="1"/>
  <c r="Q250" i="10" s="1"/>
  <c r="T250" i="10" a="1"/>
  <c r="T250" i="10" s="1"/>
  <c r="P250" i="10" a="1"/>
  <c r="P250" i="10" s="1"/>
  <c r="U250" i="10"/>
  <c r="S250" i="10" a="1"/>
  <c r="S250" i="10" s="1"/>
  <c r="O251" i="10" a="1"/>
  <c r="O251" i="10" s="1"/>
  <c r="V251" i="10" a="1"/>
  <c r="V251" i="10" s="1"/>
  <c r="S251" i="10" a="1"/>
  <c r="S251" i="10" s="1"/>
  <c r="U251" i="10"/>
  <c r="Q251" i="10" a="1"/>
  <c r="Q251" i="10" s="1"/>
  <c r="T251" i="10" a="1"/>
  <c r="T251" i="10" s="1"/>
  <c r="P251" i="10" a="1"/>
  <c r="P251" i="10" s="1"/>
  <c r="R251" i="10" a="1"/>
  <c r="R251" i="10" s="1"/>
  <c r="P252" i="10" a="1"/>
  <c r="P252" i="10" s="1"/>
  <c r="S252" i="10" a="1"/>
  <c r="S252" i="10" s="1"/>
  <c r="T252" i="10" a="1"/>
  <c r="T252" i="10" s="1"/>
  <c r="O252" i="10" a="1"/>
  <c r="O252" i="10" s="1"/>
  <c r="Q252" i="10" a="1"/>
  <c r="Q252" i="10" s="1"/>
  <c r="U252" i="10"/>
  <c r="R252" i="10" a="1"/>
  <c r="R252" i="10" s="1"/>
  <c r="V252" i="10" a="1"/>
  <c r="V252" i="10" s="1"/>
  <c r="O253" i="10" a="1"/>
  <c r="O253" i="10" s="1"/>
  <c r="S253" i="10" a="1"/>
  <c r="S253" i="10" s="1"/>
  <c r="T253" i="10" a="1"/>
  <c r="T253" i="10" s="1"/>
  <c r="V253" i="10" a="1"/>
  <c r="V253" i="10" s="1"/>
  <c r="R253" i="10" a="1"/>
  <c r="R253" i="10" s="1"/>
  <c r="Q253" i="10" a="1"/>
  <c r="Q253" i="10" s="1"/>
  <c r="P253" i="10" a="1"/>
  <c r="P253" i="10" s="1"/>
  <c r="U253" i="10"/>
  <c r="O254" i="10" a="1"/>
  <c r="O254" i="10" s="1"/>
  <c r="P254" i="10" a="1"/>
  <c r="P254" i="10" s="1"/>
  <c r="R254" i="10" a="1"/>
  <c r="R254" i="10" s="1"/>
  <c r="T254" i="10" a="1"/>
  <c r="T254" i="10" s="1"/>
  <c r="Q254" i="10" a="1"/>
  <c r="Q254" i="10" s="1"/>
  <c r="V254" i="10" a="1"/>
  <c r="V254" i="10" s="1"/>
  <c r="U254" i="10"/>
  <c r="S254" i="10" a="1"/>
  <c r="S254" i="10" s="1"/>
  <c r="V255" i="10" a="1"/>
  <c r="V255" i="10" s="1"/>
  <c r="P255" i="10" a="1"/>
  <c r="P255" i="10" s="1"/>
  <c r="T255" i="10" a="1"/>
  <c r="T255" i="10" s="1"/>
  <c r="O255" i="10" a="1"/>
  <c r="O255" i="10" s="1"/>
  <c r="U255" i="10"/>
  <c r="S255" i="10" a="1"/>
  <c r="S255" i="10" s="1"/>
  <c r="R255" i="10" a="1"/>
  <c r="R255" i="10" s="1"/>
  <c r="Q255" i="10" a="1"/>
  <c r="Q255" i="10" s="1"/>
  <c r="U256" i="10"/>
  <c r="R256" i="10" a="1"/>
  <c r="R256" i="10" s="1"/>
  <c r="S256" i="10" a="1"/>
  <c r="S256" i="10" s="1"/>
  <c r="O256" i="10" a="1"/>
  <c r="O256" i="10" s="1"/>
  <c r="P256" i="10" a="1"/>
  <c r="P256" i="10" s="1"/>
  <c r="Q256" i="10" a="1"/>
  <c r="Q256" i="10" s="1"/>
  <c r="T256" i="10" a="1"/>
  <c r="T256" i="10" s="1"/>
  <c r="V256" i="10" a="1"/>
  <c r="V256" i="10" s="1"/>
  <c r="S257" i="10" a="1"/>
  <c r="S257" i="10" s="1"/>
  <c r="P257" i="10" a="1"/>
  <c r="P257" i="10" s="1"/>
  <c r="V257" i="10" a="1"/>
  <c r="V257" i="10" s="1"/>
  <c r="Q257" i="10" a="1"/>
  <c r="Q257" i="10" s="1"/>
  <c r="O257" i="10" a="1"/>
  <c r="O257" i="10" s="1"/>
  <c r="R257" i="10" a="1"/>
  <c r="R257" i="10" s="1"/>
  <c r="T257" i="10" a="1"/>
  <c r="T257" i="10" s="1"/>
  <c r="U257" i="10"/>
  <c r="Q258" i="10" a="1"/>
  <c r="Q258" i="10" s="1"/>
  <c r="P258" i="10" a="1"/>
  <c r="P258" i="10" s="1"/>
  <c r="S258" i="10" a="1"/>
  <c r="S258" i="10" s="1"/>
  <c r="U258" i="10"/>
  <c r="R258" i="10" a="1"/>
  <c r="R258" i="10" s="1"/>
  <c r="O258" i="10" a="1"/>
  <c r="O258" i="10" s="1"/>
  <c r="V258" i="10" a="1"/>
  <c r="V258" i="10" s="1"/>
  <c r="T258" i="10" a="1"/>
  <c r="T258" i="10" s="1"/>
  <c r="V259" i="10" a="1"/>
  <c r="V259" i="10" s="1"/>
  <c r="R259" i="10" a="1"/>
  <c r="R259" i="10" s="1"/>
  <c r="U259" i="10"/>
  <c r="T259" i="10" a="1"/>
  <c r="T259" i="10" s="1"/>
  <c r="Q259" i="10" a="1"/>
  <c r="Q259" i="10" s="1"/>
  <c r="S259" i="10" a="1"/>
  <c r="S259" i="10" s="1"/>
  <c r="P259" i="10" a="1"/>
  <c r="P259" i="10" s="1"/>
  <c r="O259" i="10" a="1"/>
  <c r="O259" i="10" s="1"/>
  <c r="P260" i="10" a="1"/>
  <c r="P260" i="10" s="1"/>
  <c r="T260" i="10" a="1"/>
  <c r="T260" i="10" s="1"/>
  <c r="U260" i="10"/>
  <c r="S260" i="10" a="1"/>
  <c r="S260" i="10" s="1"/>
  <c r="Q260" i="10" a="1"/>
  <c r="Q260" i="10" s="1"/>
  <c r="V260" i="10" a="1"/>
  <c r="V260" i="10" s="1"/>
  <c r="O260" i="10" a="1"/>
  <c r="O260" i="10" s="1"/>
  <c r="R260" i="10" a="1"/>
  <c r="R260" i="10" s="1"/>
  <c r="T261" i="10" a="1"/>
  <c r="T261" i="10" s="1"/>
  <c r="O261" i="10" a="1"/>
  <c r="O261" i="10" s="1"/>
  <c r="U261" i="10"/>
  <c r="Q261" i="10" a="1"/>
  <c r="Q261" i="10" s="1"/>
  <c r="S261" i="10" a="1"/>
  <c r="S261" i="10" s="1"/>
  <c r="P261" i="10" a="1"/>
  <c r="P261" i="10" s="1"/>
  <c r="V261" i="10" a="1"/>
  <c r="V261" i="10" s="1"/>
  <c r="R261" i="10" a="1"/>
  <c r="R261" i="10" s="1"/>
  <c r="U262" i="10"/>
  <c r="V262" i="10" a="1"/>
  <c r="V262" i="10" s="1"/>
  <c r="P262" i="10" a="1"/>
  <c r="P262" i="10" s="1"/>
  <c r="Q262" i="10" a="1"/>
  <c r="Q262" i="10" s="1"/>
  <c r="T262" i="10" a="1"/>
  <c r="T262" i="10" s="1"/>
  <c r="R262" i="10" a="1"/>
  <c r="R262" i="10" s="1"/>
  <c r="S262" i="10" a="1"/>
  <c r="S262" i="10" s="1"/>
  <c r="O262" i="10" a="1"/>
  <c r="O262" i="10" s="1"/>
  <c r="S263" i="10" a="1"/>
  <c r="S263" i="10" s="1"/>
  <c r="U263" i="10"/>
  <c r="P263" i="10" a="1"/>
  <c r="P263" i="10" s="1"/>
  <c r="O263" i="10" a="1"/>
  <c r="O263" i="10" s="1"/>
  <c r="R263" i="10" a="1"/>
  <c r="R263" i="10" s="1"/>
  <c r="V263" i="10" a="1"/>
  <c r="V263" i="10" s="1"/>
  <c r="Q263" i="10" a="1"/>
  <c r="Q263" i="10" s="1"/>
  <c r="V264" i="10" a="1"/>
  <c r="V264" i="10" s="1"/>
  <c r="Q264" i="10" a="1"/>
  <c r="Q264" i="10" s="1"/>
  <c r="O264" i="10" a="1"/>
  <c r="O264" i="10" s="1"/>
  <c r="U264" i="10"/>
  <c r="P264" i="10" a="1"/>
  <c r="P264" i="10" s="1"/>
  <c r="S264" i="10" a="1"/>
  <c r="S264" i="10" s="1"/>
  <c r="R264" i="10" a="1"/>
  <c r="R264" i="10" s="1"/>
  <c r="P265" i="10" a="1"/>
  <c r="P265" i="10" s="1"/>
  <c r="O265" i="10" a="1"/>
  <c r="O265" i="10" s="1"/>
  <c r="Q265" i="10" a="1"/>
  <c r="Q265" i="10" s="1"/>
  <c r="U265" i="10"/>
  <c r="S265" i="10" a="1"/>
  <c r="S265" i="10" s="1"/>
  <c r="V265" i="10" a="1"/>
  <c r="V265" i="10" s="1"/>
  <c r="R265" i="10" a="1"/>
  <c r="R265" i="10" s="1"/>
  <c r="U266" i="10"/>
  <c r="P266" i="10" a="1"/>
  <c r="P266" i="10" s="1"/>
  <c r="O266" i="10" a="1"/>
  <c r="O266" i="10" s="1"/>
  <c r="T263" i="10" a="1"/>
  <c r="T263" i="10" s="1"/>
  <c r="S266" i="10" a="1"/>
  <c r="S266" i="10" s="1"/>
  <c r="Q266" i="10" a="1"/>
  <c r="Q266" i="10" s="1"/>
  <c r="R266" i="10" a="1"/>
  <c r="R266" i="10" s="1"/>
  <c r="V266" i="10" a="1"/>
  <c r="V266" i="10" s="1"/>
  <c r="T264" i="10" a="1"/>
  <c r="T264" i="10" s="1"/>
  <c r="P267" i="10" a="1"/>
  <c r="P267" i="10" s="1"/>
  <c r="R267" i="10" a="1"/>
  <c r="R267" i="10" s="1"/>
  <c r="O267" i="10" a="1"/>
  <c r="O267" i="10" s="1"/>
  <c r="V267" i="10" a="1"/>
  <c r="V267" i="10" s="1"/>
  <c r="Q267" i="10" a="1"/>
  <c r="Q267" i="10" s="1"/>
  <c r="U267" i="10"/>
  <c r="S267" i="10" a="1"/>
  <c r="S267" i="10" s="1"/>
  <c r="U268" i="10"/>
  <c r="T265" i="10" a="1"/>
  <c r="T265" i="10" s="1"/>
  <c r="R268" i="10" a="1"/>
  <c r="R268" i="10" s="1"/>
  <c r="V268" i="10" a="1"/>
  <c r="V268" i="10" s="1"/>
  <c r="P268" i="10" a="1"/>
  <c r="P268" i="10" s="1"/>
  <c r="O268" i="10" a="1"/>
  <c r="O268" i="10" s="1"/>
  <c r="Q268" i="10" a="1"/>
  <c r="Q268" i="10" s="1"/>
  <c r="S268" i="10" a="1"/>
  <c r="S268" i="10" s="1"/>
  <c r="T266" i="10" a="1"/>
  <c r="T266" i="10" s="1"/>
  <c r="U269" i="10"/>
  <c r="S269" i="10" a="1"/>
  <c r="S269" i="10" s="1"/>
  <c r="P269" i="10" a="1"/>
  <c r="P269" i="10" s="1"/>
  <c r="R269" i="10" a="1"/>
  <c r="R269" i="10" s="1"/>
  <c r="O269" i="10" a="1"/>
  <c r="O269" i="10" s="1"/>
  <c r="Q269" i="10" a="1"/>
  <c r="Q269" i="10" s="1"/>
  <c r="V269" i="10" a="1"/>
  <c r="V269" i="10" s="1"/>
  <c r="P270" i="10" a="1"/>
  <c r="P270" i="10" s="1"/>
  <c r="T267" i="10" a="1"/>
  <c r="T267" i="10" s="1"/>
  <c r="R270" i="10" a="1"/>
  <c r="R270" i="10" s="1"/>
  <c r="U270" i="10"/>
  <c r="V270" i="10" a="1"/>
  <c r="V270" i="10" s="1"/>
  <c r="S270" i="10" a="1"/>
  <c r="S270" i="10" s="1"/>
  <c r="Q270" i="10" a="1"/>
  <c r="Q270" i="10" s="1"/>
  <c r="O270" i="10" a="1"/>
  <c r="O270" i="10" s="1"/>
  <c r="V271" i="10" a="1"/>
  <c r="V271" i="10" s="1"/>
  <c r="R271" i="10" a="1"/>
  <c r="R271" i="10" s="1"/>
  <c r="Q271" i="10" a="1"/>
  <c r="Q271" i="10" s="1"/>
  <c r="S271" i="10" a="1"/>
  <c r="S271" i="10" s="1"/>
  <c r="O271" i="10" a="1"/>
  <c r="O271" i="10" s="1"/>
  <c r="U271" i="10"/>
  <c r="P271" i="10" a="1"/>
  <c r="P271" i="10" s="1"/>
  <c r="T268" i="10" a="1"/>
  <c r="T268" i="10" s="1"/>
  <c r="Q272" i="10" a="1"/>
  <c r="Q272" i="10" s="1"/>
  <c r="T269" i="10" a="1"/>
  <c r="T269" i="10" s="1"/>
  <c r="U272" i="10"/>
  <c r="R272" i="10" a="1"/>
  <c r="R272" i="10" s="1"/>
  <c r="S272" i="10" a="1"/>
  <c r="S272" i="10" s="1"/>
  <c r="P272" i="10" a="1"/>
  <c r="P272" i="10" s="1"/>
  <c r="V272" i="10" a="1"/>
  <c r="V272" i="10" s="1"/>
  <c r="O272" i="10" a="1"/>
  <c r="O272" i="10" s="1"/>
  <c r="S273" i="10" a="1"/>
  <c r="S273" i="10" s="1"/>
  <c r="V273" i="10" a="1"/>
  <c r="V273" i="10" s="1"/>
  <c r="O273" i="10" a="1"/>
  <c r="O273" i="10" s="1"/>
  <c r="Q273" i="10" a="1"/>
  <c r="Q273" i="10" s="1"/>
  <c r="R273" i="10" a="1"/>
  <c r="R273" i="10" s="1"/>
  <c r="U273" i="10"/>
  <c r="T270" i="10" a="1"/>
  <c r="T270" i="10" s="1"/>
  <c r="P273" i="10" a="1"/>
  <c r="P273" i="10" s="1"/>
  <c r="T271" i="10" a="1"/>
  <c r="T271" i="10" s="1"/>
  <c r="V274" i="10" a="1"/>
  <c r="V274" i="10" s="1"/>
  <c r="Q274" i="10" a="1"/>
  <c r="Q274" i="10" s="1"/>
  <c r="P274" i="10" a="1"/>
  <c r="P274" i="10" s="1"/>
  <c r="S274" i="10" a="1"/>
  <c r="S274" i="10" s="1"/>
  <c r="O274" i="10" a="1"/>
  <c r="O274" i="10" s="1"/>
  <c r="R274" i="10" a="1"/>
  <c r="R274" i="10" s="1"/>
  <c r="U274" i="10"/>
  <c r="V275" i="10" a="1"/>
  <c r="V275" i="10" s="1"/>
  <c r="S275" i="10" a="1"/>
  <c r="S275" i="10" s="1"/>
  <c r="T272" i="10" a="1"/>
  <c r="T272" i="10" s="1"/>
  <c r="O275" i="10" a="1"/>
  <c r="O275" i="10" s="1"/>
  <c r="P275" i="10" a="1"/>
  <c r="P275" i="10" s="1"/>
  <c r="R275" i="10" a="1"/>
  <c r="R275" i="10" s="1"/>
  <c r="Q275" i="10" a="1"/>
  <c r="Q275" i="10" s="1"/>
  <c r="U275" i="10"/>
  <c r="R276" i="10" a="1"/>
  <c r="R276" i="10" s="1"/>
  <c r="S276" i="10" a="1"/>
  <c r="S276" i="10" s="1"/>
  <c r="T273" i="10" a="1"/>
  <c r="T273" i="10" s="1"/>
  <c r="U276" i="10"/>
  <c r="O276" i="10" a="1"/>
  <c r="O276" i="10" s="1"/>
  <c r="P276" i="10" a="1"/>
  <c r="P276" i="10" s="1"/>
  <c r="Q276" i="10" a="1"/>
  <c r="Q276" i="10" s="1"/>
  <c r="V276" i="10" a="1"/>
  <c r="V276" i="10" s="1"/>
  <c r="V277" i="10" a="1"/>
  <c r="V277" i="10" s="1"/>
  <c r="O277" i="10" a="1"/>
  <c r="O277" i="10" s="1"/>
  <c r="S277" i="10" a="1"/>
  <c r="S277" i="10" s="1"/>
  <c r="P277" i="10" a="1"/>
  <c r="P277" i="10" s="1"/>
  <c r="R277" i="10" a="1"/>
  <c r="R277" i="10" s="1"/>
  <c r="U277" i="10"/>
  <c r="T274" i="10" a="1"/>
  <c r="T274" i="10" s="1"/>
  <c r="Q277" i="10" a="1"/>
  <c r="Q277" i="10" s="1"/>
  <c r="T275" i="10" a="1"/>
  <c r="T275" i="10" s="1"/>
  <c r="S278" i="10" a="1"/>
  <c r="S278" i="10" s="1"/>
  <c r="O278" i="10" a="1"/>
  <c r="O278" i="10" s="1"/>
  <c r="V278" i="10" a="1"/>
  <c r="V278" i="10" s="1"/>
  <c r="U278" i="10"/>
  <c r="Q278" i="10" a="1"/>
  <c r="Q278" i="10" s="1"/>
  <c r="R278" i="10" a="1"/>
  <c r="R278" i="10" s="1"/>
  <c r="P278" i="10" a="1"/>
  <c r="P278" i="10" s="1"/>
  <c r="T276" i="10" a="1"/>
  <c r="T276" i="10" s="1"/>
  <c r="Q279" i="10" a="1"/>
  <c r="Q279" i="10" s="1"/>
  <c r="V279" i="10" a="1"/>
  <c r="V279" i="10" s="1"/>
  <c r="P279" i="10" a="1"/>
  <c r="P279" i="10" s="1"/>
  <c r="O279" i="10" a="1"/>
  <c r="O279" i="10" s="1"/>
  <c r="S279" i="10" a="1"/>
  <c r="S279" i="10" s="1"/>
  <c r="R279" i="10" a="1"/>
  <c r="R279" i="10" s="1"/>
  <c r="U279" i="10"/>
  <c r="V280" i="10" a="1"/>
  <c r="V280" i="10" s="1"/>
  <c r="R280" i="10" a="1"/>
  <c r="R280" i="10" s="1"/>
  <c r="S280" i="10" a="1"/>
  <c r="S280" i="10" s="1"/>
  <c r="T277" i="10" a="1"/>
  <c r="T277" i="10" s="1"/>
  <c r="P280" i="10" a="1"/>
  <c r="P280" i="10" s="1"/>
  <c r="Q280" i="10" a="1"/>
  <c r="Q280" i="10" s="1"/>
  <c r="U280" i="10"/>
  <c r="O280" i="10" a="1"/>
  <c r="O280" i="10" s="1"/>
  <c r="R281" i="10" a="1"/>
  <c r="R281" i="10" s="1"/>
  <c r="O281" i="10" a="1"/>
  <c r="O281" i="10" s="1"/>
  <c r="U281" i="10"/>
  <c r="Q281" i="10" a="1"/>
  <c r="Q281" i="10" s="1"/>
  <c r="S281" i="10" a="1"/>
  <c r="S281" i="10" s="1"/>
  <c r="P281" i="10" a="1"/>
  <c r="P281" i="10" s="1"/>
  <c r="V281" i="10" a="1"/>
  <c r="V281" i="10" s="1"/>
  <c r="T278" i="10" a="1"/>
  <c r="T278" i="10" s="1"/>
  <c r="R282" i="10" a="1"/>
  <c r="R282" i="10" s="1"/>
  <c r="Q282" i="10" a="1"/>
  <c r="Q282" i="10" s="1"/>
  <c r="P282" i="10" a="1"/>
  <c r="P282" i="10" s="1"/>
  <c r="T279" i="10" a="1"/>
  <c r="T279" i="10" s="1"/>
  <c r="U282" i="10"/>
  <c r="V282" i="10" a="1"/>
  <c r="V282" i="10" s="1"/>
  <c r="S282" i="10" a="1"/>
  <c r="S282" i="10" s="1"/>
  <c r="O282" i="10" a="1"/>
  <c r="O282" i="10" s="1"/>
  <c r="T280" i="10" a="1"/>
  <c r="T280" i="10" s="1"/>
  <c r="U283" i="10"/>
  <c r="R283" i="10" a="1"/>
  <c r="R283" i="10" s="1"/>
  <c r="O283" i="10" a="1"/>
  <c r="O283" i="10" s="1"/>
  <c r="Q283" i="10" a="1"/>
  <c r="Q283" i="10" s="1"/>
  <c r="S283" i="10" a="1"/>
  <c r="S283" i="10" s="1"/>
  <c r="V283" i="10" a="1"/>
  <c r="V283" i="10" s="1"/>
  <c r="P283" i="10" a="1"/>
  <c r="P283" i="10" s="1"/>
  <c r="R284" i="10" a="1"/>
  <c r="R284" i="10" s="1"/>
  <c r="Q284" i="10" a="1"/>
  <c r="Q284" i="10" s="1"/>
  <c r="U284" i="10"/>
  <c r="O284" i="10" a="1"/>
  <c r="O284" i="10" s="1"/>
  <c r="S284" i="10" a="1"/>
  <c r="S284" i="10" s="1"/>
  <c r="V284" i="10" a="1"/>
  <c r="V284" i="10" s="1"/>
  <c r="P284" i="10" a="1"/>
  <c r="P284" i="10" s="1"/>
  <c r="T281" i="10" a="1"/>
  <c r="T281" i="10" s="1"/>
  <c r="S285" i="10" a="1"/>
  <c r="S285" i="10" s="1"/>
  <c r="O285" i="10" a="1"/>
  <c r="O285" i="10" s="1"/>
  <c r="P285" i="10" a="1"/>
  <c r="P285" i="10" s="1"/>
  <c r="R285" i="10" a="1"/>
  <c r="R285" i="10" s="1"/>
  <c r="Q285" i="10" a="1"/>
  <c r="Q285" i="10" s="1"/>
  <c r="T282" i="10" a="1"/>
  <c r="T282" i="10" s="1"/>
  <c r="V285" i="10" a="1"/>
  <c r="V285" i="10" s="1"/>
  <c r="U285" i="10"/>
  <c r="Q286" i="10" a="1"/>
  <c r="Q286" i="10" s="1"/>
  <c r="S286" i="10" a="1"/>
  <c r="S286" i="10" s="1"/>
  <c r="V286" i="10" a="1"/>
  <c r="V286" i="10" s="1"/>
  <c r="U286" i="10"/>
  <c r="R286" i="10" a="1"/>
  <c r="R286" i="10" s="1"/>
  <c r="O286" i="10" a="1"/>
  <c r="O286" i="10" s="1"/>
  <c r="P286" i="10" a="1"/>
  <c r="P286" i="10" s="1"/>
  <c r="T283" i="10" a="1"/>
  <c r="T283" i="10" s="1"/>
  <c r="P287" i="10" a="1"/>
  <c r="P287" i="10" s="1"/>
  <c r="O287" i="10" a="1"/>
  <c r="O287" i="10" s="1"/>
  <c r="S287" i="10" a="1"/>
  <c r="S287" i="10" s="1"/>
  <c r="Q287" i="10" a="1"/>
  <c r="Q287" i="10" s="1"/>
  <c r="V287" i="10" a="1"/>
  <c r="V287" i="10" s="1"/>
  <c r="U287" i="10"/>
  <c r="R287" i="10" a="1"/>
  <c r="R287" i="10" s="1"/>
  <c r="T284" i="10" a="1"/>
  <c r="T284" i="10" s="1"/>
  <c r="Q288" i="10" a="1"/>
  <c r="Q288" i="10" s="1"/>
  <c r="O288" i="10" a="1"/>
  <c r="O288" i="10" s="1"/>
  <c r="T285" i="10" a="1"/>
  <c r="T285" i="10" s="1"/>
  <c r="R288" i="10" a="1"/>
  <c r="R288" i="10" s="1"/>
  <c r="U288" i="10"/>
  <c r="S288" i="10" a="1"/>
  <c r="S288" i="10" s="1"/>
  <c r="V288" i="10" a="1"/>
  <c r="V288" i="10" s="1"/>
  <c r="P288" i="10" a="1"/>
  <c r="P288" i="10" s="1"/>
  <c r="P289" i="10" a="1"/>
  <c r="P289" i="10" s="1"/>
  <c r="U289" i="10"/>
  <c r="V289" i="10" a="1"/>
  <c r="V289" i="10" s="1"/>
  <c r="O289" i="10" a="1"/>
  <c r="O289" i="10" s="1"/>
  <c r="T286" i="10" a="1"/>
  <c r="T286" i="10" s="1"/>
  <c r="Q289" i="10" a="1"/>
  <c r="Q289" i="10" s="1"/>
  <c r="S289" i="10" a="1"/>
  <c r="S289" i="10" s="1"/>
  <c r="R289" i="10" a="1"/>
  <c r="R289" i="10" s="1"/>
  <c r="U290" i="10"/>
  <c r="P290" i="10" a="1"/>
  <c r="P290" i="10" s="1"/>
  <c r="V290" i="10" a="1"/>
  <c r="V290" i="10" s="1"/>
  <c r="T287" i="10" a="1"/>
  <c r="T287" i="10" s="1"/>
  <c r="S290" i="10" a="1"/>
  <c r="S290" i="10" s="1"/>
  <c r="O290" i="10" a="1"/>
  <c r="O290" i="10" s="1"/>
  <c r="Q290" i="10" a="1"/>
  <c r="Q290" i="10" s="1"/>
  <c r="R290" i="10" a="1"/>
  <c r="R290" i="10" s="1"/>
  <c r="T288" i="10" a="1"/>
  <c r="T288" i="10" s="1"/>
  <c r="R291" i="10" a="1"/>
  <c r="R291" i="10" s="1"/>
  <c r="O291" i="10" a="1"/>
  <c r="O291" i="10" s="1"/>
  <c r="V291" i="10" a="1"/>
  <c r="V291" i="10" s="1"/>
  <c r="U291" i="10"/>
  <c r="S291" i="10" a="1"/>
  <c r="S291" i="10" s="1"/>
  <c r="Q291" i="10" a="1"/>
  <c r="Q291" i="10" s="1"/>
  <c r="P291" i="10" a="1"/>
  <c r="P291" i="10" s="1"/>
  <c r="O292" i="10" a="1"/>
  <c r="O292" i="10" s="1"/>
  <c r="V292" i="10" a="1"/>
  <c r="V292" i="10" s="1"/>
  <c r="U292" i="10"/>
  <c r="R292" i="10" a="1"/>
  <c r="R292" i="10" s="1"/>
  <c r="P292" i="10" a="1"/>
  <c r="P292" i="10" s="1"/>
  <c r="Q292" i="10" a="1"/>
  <c r="Q292" i="10" s="1"/>
  <c r="S292" i="10" a="1"/>
  <c r="S292" i="10" s="1"/>
  <c r="T289" i="10" a="1"/>
  <c r="T289" i="10" s="1"/>
  <c r="R293" i="10" a="1"/>
  <c r="R293" i="10" s="1"/>
  <c r="U293" i="10"/>
  <c r="Q293" i="10" a="1"/>
  <c r="Q293" i="10" s="1"/>
  <c r="S293" i="10" a="1"/>
  <c r="S293" i="10" s="1"/>
  <c r="P293" i="10" a="1"/>
  <c r="P293" i="10" s="1"/>
  <c r="V293" i="10" a="1"/>
  <c r="V293" i="10" s="1"/>
  <c r="T290" i="10" a="1"/>
  <c r="T290" i="10" s="1"/>
  <c r="O293" i="10" a="1"/>
  <c r="O293" i="10" s="1"/>
  <c r="O294" i="10" a="1"/>
  <c r="O294" i="10" s="1"/>
  <c r="Q294" i="10" a="1"/>
  <c r="Q294" i="10" s="1"/>
  <c r="R294" i="10" a="1"/>
  <c r="R294" i="10" s="1"/>
  <c r="V294" i="10" a="1"/>
  <c r="V294" i="10" s="1"/>
  <c r="S294" i="10" a="1"/>
  <c r="S294" i="10" s="1"/>
  <c r="U294" i="10"/>
  <c r="T291" i="10" a="1"/>
  <c r="T291" i="10" s="1"/>
  <c r="P294" i="10" a="1"/>
  <c r="P294" i="10" s="1"/>
  <c r="R295" i="10" a="1"/>
  <c r="R295" i="10" s="1"/>
  <c r="O295" i="10" a="1"/>
  <c r="O295" i="10" s="1"/>
  <c r="T292" i="10" a="1"/>
  <c r="T292" i="10" s="1"/>
  <c r="P295" i="10" a="1"/>
  <c r="P295" i="10" s="1"/>
  <c r="Q295" i="10" a="1"/>
  <c r="Q295" i="10" s="1"/>
  <c r="V295" i="10" a="1"/>
  <c r="V295" i="10" s="1"/>
  <c r="S295" i="10" a="1"/>
  <c r="S295" i="10" s="1"/>
  <c r="U295" i="10"/>
  <c r="Q296" i="10" a="1"/>
  <c r="Q296" i="10" s="1"/>
  <c r="O296" i="10" a="1"/>
  <c r="O296" i="10" s="1"/>
  <c r="P296" i="10" a="1"/>
  <c r="P296" i="10" s="1"/>
  <c r="R296" i="10" a="1"/>
  <c r="R296" i="10" s="1"/>
  <c r="U296" i="10"/>
  <c r="T293" i="10" a="1"/>
  <c r="T293" i="10" s="1"/>
  <c r="V296" i="10" a="1"/>
  <c r="V296" i="10" s="1"/>
  <c r="S296" i="10" a="1"/>
  <c r="S296" i="10" s="1"/>
  <c r="S297" i="10" a="1"/>
  <c r="S297" i="10" s="1"/>
  <c r="P297" i="10" a="1"/>
  <c r="P297" i="10" s="1"/>
  <c r="T294" i="10" a="1"/>
  <c r="T294" i="10" s="1"/>
  <c r="U297" i="10"/>
  <c r="Q297" i="10" a="1"/>
  <c r="Q297" i="10" s="1"/>
  <c r="V297" i="10" a="1"/>
  <c r="V297" i="10" s="1"/>
  <c r="R297" i="10" a="1"/>
  <c r="R297" i="10" s="1"/>
  <c r="O297" i="10" a="1"/>
  <c r="O297" i="10" s="1"/>
  <c r="V298" i="10" a="1"/>
  <c r="V298" i="10" s="1"/>
  <c r="O298" i="10" a="1"/>
  <c r="O298" i="10" s="1"/>
  <c r="R298" i="10" a="1"/>
  <c r="R298" i="10" s="1"/>
  <c r="P298" i="10" a="1"/>
  <c r="P298" i="10" s="1"/>
  <c r="S298" i="10" a="1"/>
  <c r="S298" i="10" s="1"/>
  <c r="Q298" i="10" a="1"/>
  <c r="Q298" i="10" s="1"/>
  <c r="U298" i="10"/>
  <c r="T295" i="10" a="1"/>
  <c r="T295" i="10" s="1"/>
  <c r="Q299" i="10" a="1"/>
  <c r="Q299" i="10" s="1"/>
  <c r="R299" i="10" a="1"/>
  <c r="R299" i="10" s="1"/>
  <c r="S299" i="10" a="1"/>
  <c r="S299" i="10" s="1"/>
  <c r="T296" i="10" a="1"/>
  <c r="T296" i="10" s="1"/>
  <c r="O299" i="10" a="1"/>
  <c r="O299" i="10" s="1"/>
  <c r="U299" i="10"/>
  <c r="V299" i="10" a="1"/>
  <c r="V299" i="10" s="1"/>
  <c r="P299" i="10" a="1"/>
  <c r="P299" i="10" s="1"/>
  <c r="P300" i="10" a="1"/>
  <c r="P300" i="10" s="1"/>
  <c r="Q300" i="10" a="1"/>
  <c r="Q300" i="10" s="1"/>
  <c r="T297" i="10" a="1"/>
  <c r="T297" i="10" s="1"/>
  <c r="U300" i="10"/>
  <c r="V300" i="10" a="1"/>
  <c r="V300" i="10" s="1"/>
  <c r="O300" i="10" a="1"/>
  <c r="O300" i="10" s="1"/>
  <c r="R300" i="10" a="1"/>
  <c r="R300" i="10" s="1"/>
  <c r="S300" i="10" a="1"/>
  <c r="S300" i="10" s="1"/>
  <c r="U301" i="10"/>
  <c r="S301" i="10" a="1"/>
  <c r="S301" i="10" s="1"/>
  <c r="T298" i="10" a="1"/>
  <c r="T298" i="10" s="1"/>
  <c r="Q301" i="10" a="1"/>
  <c r="Q301" i="10" s="1"/>
  <c r="O301" i="10" a="1"/>
  <c r="O301" i="10" s="1"/>
  <c r="R301" i="10" a="1"/>
  <c r="R301" i="10" s="1"/>
  <c r="P301" i="10" a="1"/>
  <c r="P301" i="10" s="1"/>
  <c r="V301" i="10" a="1"/>
  <c r="V301" i="10" s="1"/>
  <c r="Q302" i="10" a="1"/>
  <c r="Q302" i="10" s="1"/>
  <c r="R302" i="10" a="1"/>
  <c r="R302" i="10" s="1"/>
  <c r="T299" i="10" a="1"/>
  <c r="T299" i="10" s="1"/>
  <c r="U302" i="10"/>
  <c r="V302" i="10" a="1"/>
  <c r="V302" i="10" s="1"/>
  <c r="S302" i="10" a="1"/>
  <c r="S302" i="10" s="1"/>
  <c r="O302" i="10" a="1"/>
  <c r="O302" i="10" s="1"/>
  <c r="P302" i="10" a="1"/>
  <c r="P302" i="10" s="1"/>
  <c r="Q303" i="10" a="1"/>
  <c r="Q303" i="10" s="1"/>
  <c r="T300" i="10" a="1"/>
  <c r="T300" i="10" s="1"/>
  <c r="S303" i="10" a="1"/>
  <c r="S303" i="10" s="1"/>
  <c r="U303" i="10"/>
  <c r="O303" i="10" a="1"/>
  <c r="O303" i="10" s="1"/>
  <c r="V303" i="10" a="1"/>
  <c r="V303" i="10" s="1"/>
  <c r="P303" i="10" a="1"/>
  <c r="P303" i="10" s="1"/>
  <c r="R303" i="10" a="1"/>
  <c r="R303" i="10" s="1"/>
  <c r="T301" i="10" a="1"/>
  <c r="T301" i="10" s="1"/>
  <c r="S304" i="10" a="1"/>
  <c r="S304" i="10" s="1"/>
  <c r="R304" i="10" a="1"/>
  <c r="R304" i="10" s="1"/>
  <c r="O304" i="10" a="1"/>
  <c r="O304" i="10" s="1"/>
  <c r="P304" i="10" a="1"/>
  <c r="P304" i="10" s="1"/>
  <c r="V304" i="10" a="1"/>
  <c r="V304" i="10" s="1"/>
  <c r="Q304" i="10" a="1"/>
  <c r="Q304" i="10" s="1"/>
  <c r="U304" i="10"/>
  <c r="V305" i="10" a="1"/>
  <c r="V305" i="10" s="1"/>
  <c r="R305" i="10" a="1"/>
  <c r="R305" i="10" s="1"/>
  <c r="U305" i="10"/>
  <c r="Q305" i="10" a="1"/>
  <c r="Q305" i="10" s="1"/>
  <c r="O305" i="10" a="1"/>
  <c r="O305" i="10" s="1"/>
  <c r="T302" i="10" a="1"/>
  <c r="T302" i="10" s="1"/>
  <c r="P305" i="10" a="1"/>
  <c r="P305" i="10" s="1"/>
  <c r="S305" i="10" a="1"/>
  <c r="S305" i="10" s="1"/>
  <c r="U306" i="10"/>
  <c r="T303" i="10" a="1"/>
  <c r="T303" i="10" s="1"/>
  <c r="O306" i="10" a="1"/>
  <c r="O306" i="10" s="1"/>
  <c r="Q306" i="10" a="1"/>
  <c r="Q306" i="10" s="1"/>
  <c r="V306" i="10" a="1"/>
  <c r="V306" i="10" s="1"/>
  <c r="P306" i="10" a="1"/>
  <c r="P306" i="10" s="1"/>
  <c r="R306" i="10" a="1"/>
  <c r="R306" i="10" s="1"/>
  <c r="S306" i="10" a="1"/>
  <c r="S306" i="10" s="1"/>
  <c r="O307" i="10" a="1"/>
  <c r="O307" i="10" s="1"/>
  <c r="S307" i="10" a="1"/>
  <c r="S307" i="10" s="1"/>
  <c r="T304" i="10" a="1"/>
  <c r="T304" i="10" s="1"/>
  <c r="Q307" i="10" a="1"/>
  <c r="Q307" i="10" s="1"/>
  <c r="R307" i="10" a="1"/>
  <c r="R307" i="10" s="1"/>
  <c r="U307" i="10"/>
  <c r="P307" i="10" a="1"/>
  <c r="P307" i="10" s="1"/>
  <c r="V307" i="10" a="1"/>
  <c r="V307" i="10" s="1"/>
  <c r="V308" i="10" a="1"/>
  <c r="V308" i="10" s="1"/>
  <c r="P308" i="10" a="1"/>
  <c r="P308" i="10" s="1"/>
  <c r="T305" i="10" a="1"/>
  <c r="T305" i="10" s="1"/>
  <c r="Q308" i="10" a="1"/>
  <c r="Q308" i="10" s="1"/>
  <c r="U308" i="10"/>
  <c r="S308" i="10" a="1"/>
  <c r="S308" i="10" s="1"/>
  <c r="R308" i="10" a="1"/>
  <c r="R308" i="10" s="1"/>
  <c r="O308" i="10" a="1"/>
  <c r="O308" i="10" s="1"/>
  <c r="O309" i="10" a="1"/>
  <c r="O309" i="10" s="1"/>
  <c r="R309" i="10" a="1"/>
  <c r="R309" i="10" s="1"/>
  <c r="S309" i="10" a="1"/>
  <c r="S309" i="10" s="1"/>
  <c r="V309" i="10" a="1"/>
  <c r="V309" i="10" s="1"/>
  <c r="Q309" i="10" a="1"/>
  <c r="Q309" i="10" s="1"/>
  <c r="U309" i="10"/>
  <c r="P309" i="10" a="1"/>
  <c r="P309" i="10" s="1"/>
  <c r="T306" i="10" a="1"/>
  <c r="T306" i="10" s="1"/>
  <c r="O310" i="10" a="1"/>
  <c r="O310" i="10" s="1"/>
  <c r="V310" i="10" a="1"/>
  <c r="V310" i="10" s="1"/>
  <c r="R310" i="10" a="1"/>
  <c r="R310" i="10" s="1"/>
  <c r="T307" i="10" a="1"/>
  <c r="T307" i="10" s="1"/>
  <c r="Q310" i="10" a="1"/>
  <c r="Q310" i="10" s="1"/>
  <c r="P310" i="10" a="1"/>
  <c r="P310" i="10" s="1"/>
  <c r="S310" i="10" a="1"/>
  <c r="S310" i="10" s="1"/>
  <c r="U310" i="10"/>
  <c r="O311" i="10" a="1"/>
  <c r="O311" i="10" s="1"/>
  <c r="P311" i="10" a="1"/>
  <c r="P311" i="10" s="1"/>
  <c r="S311" i="10" a="1"/>
  <c r="S311" i="10" s="1"/>
  <c r="R311" i="10" a="1"/>
  <c r="R311" i="10" s="1"/>
  <c r="T308" i="10" a="1"/>
  <c r="T308" i="10" s="1"/>
  <c r="U311" i="10"/>
  <c r="Q311" i="10" a="1"/>
  <c r="Q311" i="10" s="1"/>
  <c r="V311" i="10" a="1"/>
  <c r="V311" i="10" s="1"/>
  <c r="R312" i="10" a="1"/>
  <c r="R312" i="10" s="1"/>
  <c r="Q312" i="10" a="1"/>
  <c r="Q312" i="10" s="1"/>
  <c r="O312" i="10" a="1"/>
  <c r="O312" i="10" s="1"/>
  <c r="S312" i="10" a="1"/>
  <c r="S312" i="10" s="1"/>
  <c r="P312" i="10" a="1"/>
  <c r="P312" i="10" s="1"/>
  <c r="V312" i="10" a="1"/>
  <c r="V312" i="10" s="1"/>
  <c r="U312" i="10"/>
  <c r="T309" i="10" a="1"/>
  <c r="T309" i="10" s="1"/>
  <c r="R313" i="10" a="1"/>
  <c r="R313" i="10" s="1"/>
  <c r="P313" i="10" a="1"/>
  <c r="P313" i="10" s="1"/>
  <c r="S313" i="10" a="1"/>
  <c r="S313" i="10" s="1"/>
  <c r="V313" i="10" a="1"/>
  <c r="V313" i="10" s="1"/>
  <c r="T310" i="10" a="1"/>
  <c r="T310" i="10" s="1"/>
  <c r="O313" i="10" a="1"/>
  <c r="O313" i="10" s="1"/>
  <c r="Q313" i="10" a="1"/>
  <c r="Q313" i="10" s="1"/>
  <c r="U313" i="10"/>
  <c r="O314" i="10" a="1"/>
  <c r="O314" i="10" s="1"/>
  <c r="T311" i="10" a="1"/>
  <c r="T311" i="10" s="1"/>
  <c r="P314" i="10" a="1"/>
  <c r="P314" i="10" s="1"/>
  <c r="R314" i="10" a="1"/>
  <c r="R314" i="10" s="1"/>
  <c r="V314" i="10" a="1"/>
  <c r="V314" i="10" s="1"/>
  <c r="U314" i="10"/>
  <c r="S314" i="10" a="1"/>
  <c r="S314" i="10" s="1"/>
  <c r="Q314" i="10" a="1"/>
  <c r="Q314" i="10" s="1"/>
  <c r="Q315" i="10" a="1"/>
  <c r="Q315" i="10" s="1"/>
  <c r="T312" i="10" a="1"/>
  <c r="T312" i="10" s="1"/>
  <c r="S315" i="10" a="1"/>
  <c r="S315" i="10" s="1"/>
  <c r="O315" i="10" a="1"/>
  <c r="O315" i="10" s="1"/>
  <c r="R315" i="10" a="1"/>
  <c r="R315" i="10" s="1"/>
  <c r="V315" i="10" a="1"/>
  <c r="V315" i="10" s="1"/>
  <c r="P315" i="10" a="1"/>
  <c r="P315" i="10" s="1"/>
  <c r="U315" i="10"/>
  <c r="R316" i="10" a="1"/>
  <c r="R316" i="10" s="1"/>
  <c r="P316" i="10" a="1"/>
  <c r="P316" i="10" s="1"/>
  <c r="U316" i="10"/>
  <c r="O316" i="10" a="1"/>
  <c r="O316" i="10" s="1"/>
  <c r="T313" i="10" a="1"/>
  <c r="T313" i="10" s="1"/>
  <c r="Q316" i="10" a="1"/>
  <c r="Q316" i="10" s="1"/>
  <c r="V316" i="10" a="1"/>
  <c r="V316" i="10" s="1"/>
  <c r="S316" i="10" a="1"/>
  <c r="S316" i="10" s="1"/>
  <c r="O317" i="10" a="1"/>
  <c r="O317" i="10" s="1"/>
  <c r="U317" i="10"/>
  <c r="V317" i="10" a="1"/>
  <c r="V317" i="10" s="1"/>
  <c r="T314" i="10" a="1"/>
  <c r="T314" i="10" s="1"/>
  <c r="S317" i="10" a="1"/>
  <c r="S317" i="10" s="1"/>
  <c r="P317" i="10" a="1"/>
  <c r="P317" i="10" s="1"/>
  <c r="R317" i="10" a="1"/>
  <c r="R317" i="10" s="1"/>
  <c r="Q317" i="10" a="1"/>
  <c r="Q317" i="10" s="1"/>
  <c r="Q318" i="10" a="1"/>
  <c r="Q318" i="10" s="1"/>
  <c r="S318" i="10" a="1"/>
  <c r="S318" i="10" s="1"/>
  <c r="T315" i="10" a="1"/>
  <c r="T315" i="10" s="1"/>
  <c r="P318" i="10" a="1"/>
  <c r="P318" i="10" s="1"/>
  <c r="U318" i="10"/>
  <c r="R318" i="10" a="1"/>
  <c r="R318" i="10" s="1"/>
  <c r="V318" i="10" a="1"/>
  <c r="V318" i="10" s="1"/>
  <c r="O318" i="10" a="1"/>
  <c r="O318" i="10" s="1"/>
  <c r="S319" i="10" a="1"/>
  <c r="S319" i="10" s="1"/>
  <c r="Q319" i="10" a="1"/>
  <c r="Q319" i="10" s="1"/>
  <c r="R319" i="10" a="1"/>
  <c r="R319" i="10" s="1"/>
  <c r="T316" i="10" a="1"/>
  <c r="T316" i="10" s="1"/>
  <c r="O319" i="10" a="1"/>
  <c r="O319" i="10" s="1"/>
  <c r="P319" i="10" a="1"/>
  <c r="P319" i="10" s="1"/>
  <c r="U319" i="10"/>
  <c r="V319" i="10" a="1"/>
  <c r="V319" i="10" s="1"/>
  <c r="T317" i="10" a="1"/>
  <c r="T317" i="10" s="1"/>
  <c r="Q320" i="10" a="1"/>
  <c r="Q320" i="10" s="1"/>
  <c r="S320" i="10" a="1"/>
  <c r="S320" i="10" s="1"/>
  <c r="R320" i="10" a="1"/>
  <c r="R320" i="10" s="1"/>
  <c r="U320" i="10"/>
  <c r="O320" i="10" a="1"/>
  <c r="O320" i="10" s="1"/>
  <c r="P320" i="10" a="1"/>
  <c r="P320" i="10" s="1"/>
  <c r="V320" i="10" a="1"/>
  <c r="V320" i="10" s="1"/>
  <c r="P321" i="10" a="1"/>
  <c r="P321" i="10" s="1"/>
  <c r="V321" i="10" a="1"/>
  <c r="V321" i="10" s="1"/>
  <c r="S321" i="10" a="1"/>
  <c r="S321" i="10" s="1"/>
  <c r="O321" i="10" a="1"/>
  <c r="O321" i="10" s="1"/>
  <c r="T318" i="10" a="1"/>
  <c r="T318" i="10" s="1"/>
  <c r="U321" i="10"/>
  <c r="Q321" i="10" a="1"/>
  <c r="Q321" i="10" s="1"/>
  <c r="R321" i="10" a="1"/>
  <c r="R321" i="10" s="1"/>
  <c r="R322" i="10" a="1"/>
  <c r="R322" i="10" s="1"/>
  <c r="V322" i="10" a="1"/>
  <c r="V322" i="10" s="1"/>
  <c r="P322" i="10" a="1"/>
  <c r="P322" i="10" s="1"/>
  <c r="Q322" i="10" a="1"/>
  <c r="Q322" i="10" s="1"/>
  <c r="O322" i="10" a="1"/>
  <c r="O322" i="10" s="1"/>
  <c r="U322" i="10"/>
  <c r="T319" i="10" a="1"/>
  <c r="T319" i="10" s="1"/>
  <c r="S322" i="10" a="1"/>
  <c r="S322" i="10" s="1"/>
  <c r="T320" i="10" a="1"/>
  <c r="T320" i="10" s="1"/>
  <c r="U323" i="10"/>
  <c r="R323" i="10" a="1"/>
  <c r="R323" i="10" s="1"/>
  <c r="S323" i="10" a="1"/>
  <c r="S323" i="10" s="1"/>
  <c r="Q323" i="10" a="1"/>
  <c r="Q323" i="10" s="1"/>
  <c r="P323" i="10" a="1"/>
  <c r="P323" i="10" s="1"/>
  <c r="O323" i="10" a="1"/>
  <c r="O323" i="10" s="1"/>
  <c r="V323" i="10" a="1"/>
  <c r="V323" i="10" s="1"/>
  <c r="O324" i="10" a="1"/>
  <c r="O324" i="10" s="1"/>
  <c r="V324" i="10" a="1"/>
  <c r="V324" i="10" s="1"/>
  <c r="U324" i="10"/>
  <c r="R324" i="10" a="1"/>
  <c r="R324" i="10" s="1"/>
  <c r="Q324" i="10" a="1"/>
  <c r="Q324" i="10" s="1"/>
  <c r="S324" i="10" a="1"/>
  <c r="S324" i="10" s="1"/>
  <c r="P324" i="10" a="1"/>
  <c r="P324" i="10" s="1"/>
  <c r="T321" i="10" a="1"/>
  <c r="T321" i="10" s="1"/>
  <c r="Q325" i="10" a="1"/>
  <c r="Q325" i="10" s="1"/>
  <c r="U325" i="10"/>
  <c r="P325" i="10" a="1"/>
  <c r="P325" i="10" s="1"/>
  <c r="V325" i="10" a="1"/>
  <c r="V325" i="10" s="1"/>
  <c r="T322" i="10" a="1"/>
  <c r="T322" i="10" s="1"/>
  <c r="O325" i="10" a="1"/>
  <c r="O325" i="10" s="1"/>
  <c r="R325" i="10" a="1"/>
  <c r="R325" i="10" s="1"/>
  <c r="S325" i="10" a="1"/>
  <c r="S325" i="10" s="1"/>
  <c r="V326" i="10" a="1"/>
  <c r="V326" i="10" s="1"/>
  <c r="P326" i="10" a="1"/>
  <c r="P326" i="10" s="1"/>
  <c r="T323" i="10" a="1"/>
  <c r="T323" i="10" s="1"/>
  <c r="R326" i="10" a="1"/>
  <c r="R326" i="10" s="1"/>
  <c r="U326" i="10"/>
  <c r="S326" i="10" a="1"/>
  <c r="S326" i="10" s="1"/>
  <c r="Q326" i="10" a="1"/>
  <c r="Q326" i="10" s="1"/>
  <c r="O326" i="10" a="1"/>
  <c r="O326" i="10" s="1"/>
  <c r="U327" i="10"/>
  <c r="O327" i="10" a="1"/>
  <c r="O327" i="10" s="1"/>
  <c r="R327" i="10" a="1"/>
  <c r="R327" i="10" s="1"/>
  <c r="Q327" i="10" a="1"/>
  <c r="Q327" i="10" s="1"/>
  <c r="T324" i="10" a="1"/>
  <c r="T324" i="10" s="1"/>
  <c r="V327" i="10" a="1"/>
  <c r="V327" i="10" s="1"/>
  <c r="P327" i="10" a="1"/>
  <c r="P327" i="10" s="1"/>
  <c r="S327" i="10" a="1"/>
  <c r="S327" i="10" s="1"/>
  <c r="T325" i="10" a="1"/>
  <c r="T325" i="10" s="1"/>
  <c r="O328" i="10" a="1"/>
  <c r="O328" i="10" s="1"/>
  <c r="Q328" i="10" a="1"/>
  <c r="Q328" i="10" s="1"/>
  <c r="R328" i="10" a="1"/>
  <c r="R328" i="10" s="1"/>
  <c r="P328" i="10" a="1"/>
  <c r="P328" i="10" s="1"/>
  <c r="V328" i="10" a="1"/>
  <c r="V328" i="10" s="1"/>
  <c r="S328" i="10" a="1"/>
  <c r="S328" i="10" s="1"/>
  <c r="U328" i="10"/>
  <c r="P329" i="10" a="1"/>
  <c r="P329" i="10" s="1"/>
  <c r="Q329" i="10" a="1"/>
  <c r="Q329" i="10" s="1"/>
  <c r="T326" i="10" a="1"/>
  <c r="T326" i="10" s="1"/>
  <c r="U329" i="10"/>
  <c r="O329" i="10" a="1"/>
  <c r="O329" i="10" s="1"/>
  <c r="S329" i="10" a="1"/>
  <c r="S329" i="10" s="1"/>
  <c r="R329" i="10" a="1"/>
  <c r="R329" i="10" s="1"/>
  <c r="V329" i="10" a="1"/>
  <c r="V329" i="10" s="1"/>
  <c r="T327" i="10" a="1"/>
  <c r="T327" i="10" s="1"/>
  <c r="V330" i="10" a="1"/>
  <c r="V330" i="10" s="1"/>
  <c r="R330" i="10" a="1"/>
  <c r="R330" i="10" s="1"/>
  <c r="O330" i="10" a="1"/>
  <c r="O330" i="10" s="1"/>
  <c r="S330" i="10" a="1"/>
  <c r="S330" i="10" s="1"/>
  <c r="U330" i="10"/>
  <c r="P330" i="10" a="1"/>
  <c r="P330" i="10" s="1"/>
  <c r="Q330" i="10" a="1"/>
  <c r="Q330" i="10" s="1"/>
  <c r="V331" i="10" a="1"/>
  <c r="V331" i="10" s="1"/>
  <c r="Q331" i="10" a="1"/>
  <c r="Q331" i="10" s="1"/>
  <c r="S331" i="10" a="1"/>
  <c r="S331" i="10" s="1"/>
  <c r="P331" i="10" a="1"/>
  <c r="P331" i="10" s="1"/>
  <c r="R331" i="10" a="1"/>
  <c r="R331" i="10" s="1"/>
  <c r="T328" i="10" a="1"/>
  <c r="T328" i="10" s="1"/>
  <c r="U331" i="10"/>
  <c r="O331" i="10" a="1"/>
  <c r="O331" i="10" s="1"/>
  <c r="U332" i="10"/>
  <c r="T329" i="10" a="1"/>
  <c r="T329" i="10" s="1"/>
  <c r="P332" i="10" a="1"/>
  <c r="P332" i="10" s="1"/>
  <c r="V332" i="10" a="1"/>
  <c r="V332" i="10" s="1"/>
  <c r="O332" i="10" a="1"/>
  <c r="O332" i="10" s="1"/>
  <c r="Q332" i="10" a="1"/>
  <c r="Q332" i="10" s="1"/>
  <c r="R332" i="10" a="1"/>
  <c r="R332" i="10" s="1"/>
  <c r="S332" i="10" a="1"/>
  <c r="S332" i="10" s="1"/>
  <c r="T330" i="10" a="1"/>
  <c r="T330" i="10" s="1"/>
  <c r="S333" i="10" a="1"/>
  <c r="S333" i="10" s="1"/>
  <c r="O333" i="10" a="1"/>
  <c r="O333" i="10" s="1"/>
  <c r="V333" i="10" a="1"/>
  <c r="V333" i="10" s="1"/>
  <c r="Q333" i="10" a="1"/>
  <c r="Q333" i="10" s="1"/>
  <c r="P333" i="10" a="1"/>
  <c r="P333" i="10" s="1"/>
  <c r="U333" i="10"/>
  <c r="R333" i="10" a="1"/>
  <c r="R333" i="10" s="1"/>
  <c r="P334" i="10" a="1"/>
  <c r="P334" i="10" s="1"/>
  <c r="Q334" i="10" a="1"/>
  <c r="Q334" i="10" s="1"/>
  <c r="R334" i="10" a="1"/>
  <c r="R334" i="10" s="1"/>
  <c r="O334" i="10" a="1"/>
  <c r="O334" i="10" s="1"/>
  <c r="U334" i="10"/>
  <c r="S334" i="10" a="1"/>
  <c r="S334" i="10" s="1"/>
  <c r="T331" i="10" a="1"/>
  <c r="T331" i="10" s="1"/>
  <c r="V334" i="10" a="1"/>
  <c r="V334" i="10" s="1"/>
  <c r="P335" i="10" a="1"/>
  <c r="P335" i="10" s="1"/>
  <c r="R335" i="10" a="1"/>
  <c r="R335" i="10" s="1"/>
  <c r="Q335" i="10" a="1"/>
  <c r="Q335" i="10" s="1"/>
  <c r="T332" i="10" a="1"/>
  <c r="T332" i="10" s="1"/>
  <c r="O335" i="10" a="1"/>
  <c r="O335" i="10" s="1"/>
  <c r="S335" i="10" a="1"/>
  <c r="S335" i="10" s="1"/>
  <c r="U335" i="10"/>
  <c r="Q336" i="10" a="1"/>
  <c r="Q336" i="10" s="1"/>
  <c r="T333" i="10" a="1"/>
  <c r="T333" i="10" s="1"/>
  <c r="U336" i="10"/>
  <c r="S336" i="10" a="1"/>
  <c r="S336" i="10" s="1"/>
  <c r="R336" i="10" a="1"/>
  <c r="R336" i="10" s="1"/>
  <c r="P336" i="10" a="1"/>
  <c r="P336" i="10" s="1"/>
  <c r="O336" i="10" a="1"/>
  <c r="O336" i="10" s="1"/>
  <c r="P337" i="10" a="1"/>
  <c r="P337" i="10" s="1"/>
  <c r="O337" i="10" a="1"/>
  <c r="O337" i="10" s="1"/>
  <c r="U337" i="10"/>
  <c r="R337" i="10" a="1"/>
  <c r="R337" i="10" s="1"/>
  <c r="Q337" i="10" a="1"/>
  <c r="Q337" i="10" s="1"/>
  <c r="T334" i="10" a="1"/>
  <c r="T334" i="10" s="1"/>
  <c r="S337" i="10" a="1"/>
  <c r="S337" i="10" s="1"/>
  <c r="U338" i="10"/>
  <c r="O338" i="10" a="1"/>
  <c r="O338" i="10" s="1"/>
  <c r="Q338" i="10" a="1"/>
  <c r="Q338" i="10" s="1"/>
  <c r="V335" i="10" a="1"/>
  <c r="V335" i="10" s="1"/>
  <c r="P338" i="10" a="1"/>
  <c r="P338" i="10" s="1"/>
  <c r="S338" i="10" a="1"/>
  <c r="S338" i="10" s="1"/>
  <c r="T335" i="10" a="1"/>
  <c r="T335" i="10" s="1"/>
  <c r="R338" i="10" a="1"/>
  <c r="R338" i="10" s="1"/>
  <c r="P339" i="10" a="1"/>
  <c r="P339" i="10" s="1"/>
  <c r="V336" i="10" a="1"/>
  <c r="V336" i="10" s="1"/>
  <c r="U339" i="10"/>
  <c r="T336" i="10" a="1"/>
  <c r="T336" i="10" s="1"/>
  <c r="Q339" i="10" a="1"/>
  <c r="Q339" i="10" s="1"/>
  <c r="O339" i="10" a="1"/>
  <c r="O339" i="10" s="1"/>
  <c r="R339" i="10" a="1"/>
  <c r="R339" i="10" s="1"/>
  <c r="S339" i="10" a="1"/>
  <c r="S339" i="10" s="1"/>
  <c r="R340" i="10" a="1"/>
  <c r="R340" i="10" s="1"/>
  <c r="S340" i="10" a="1"/>
  <c r="S340" i="10" s="1"/>
  <c r="P340" i="10" a="1"/>
  <c r="P340" i="10" s="1"/>
  <c r="Q340" i="10" a="1"/>
  <c r="Q340" i="10" s="1"/>
  <c r="O340" i="10" a="1"/>
  <c r="O340" i="10" s="1"/>
  <c r="U340" i="10"/>
  <c r="V337" i="10" a="1"/>
  <c r="V337" i="10" s="1"/>
  <c r="T337" i="10" a="1"/>
  <c r="T337" i="10" s="1"/>
  <c r="V338" i="10" a="1"/>
  <c r="V338" i="10" s="1"/>
  <c r="U341" i="10"/>
  <c r="Q341" i="10" a="1"/>
  <c r="Q341" i="10" s="1"/>
  <c r="S341" i="10" a="1"/>
  <c r="S341" i="10" s="1"/>
  <c r="P341" i="10" a="1"/>
  <c r="P341" i="10" s="1"/>
  <c r="O341" i="10" a="1"/>
  <c r="O341" i="10" s="1"/>
  <c r="T338" i="10" a="1"/>
  <c r="T338" i="10" s="1"/>
  <c r="R341" i="10" a="1"/>
  <c r="R341" i="10" s="1"/>
  <c r="U342" i="10"/>
  <c r="S342" i="10" a="1"/>
  <c r="S342" i="10" s="1"/>
  <c r="Q342" i="10" a="1"/>
  <c r="Q342" i="10" s="1"/>
  <c r="P342" i="10" a="1"/>
  <c r="P342" i="10" s="1"/>
  <c r="V339" i="10" a="1"/>
  <c r="V339" i="10" s="1"/>
  <c r="O342" i="10" a="1"/>
  <c r="O342" i="10" s="1"/>
  <c r="T339" i="10" a="1"/>
  <c r="T339" i="10" s="1"/>
  <c r="R342" i="10" a="1"/>
  <c r="R342" i="10" s="1"/>
  <c r="V340" i="10" a="1"/>
  <c r="V340" i="10" s="1"/>
  <c r="O343" i="10" a="1"/>
  <c r="O343" i="10" s="1"/>
  <c r="S343" i="10" a="1"/>
  <c r="S343" i="10" s="1"/>
  <c r="T340" i="10" a="1"/>
  <c r="T340" i="10" s="1"/>
  <c r="P343" i="10" a="1"/>
  <c r="P343" i="10" s="1"/>
  <c r="U343" i="10"/>
  <c r="Q343" i="10" a="1"/>
  <c r="Q343" i="10" s="1"/>
  <c r="R343" i="10" a="1"/>
  <c r="R343" i="10" s="1"/>
  <c r="U344" i="10"/>
  <c r="R344" i="10" a="1"/>
  <c r="R344" i="10" s="1"/>
  <c r="P344" i="10" a="1"/>
  <c r="P344" i="10" s="1"/>
  <c r="T341" i="10" a="1"/>
  <c r="T341" i="10" s="1"/>
  <c r="V341" i="10" a="1"/>
  <c r="V341" i="10" s="1"/>
  <c r="O344" i="10" a="1"/>
  <c r="O344" i="10" s="1"/>
  <c r="S344" i="10" a="1"/>
  <c r="S344" i="10" s="1"/>
  <c r="Q344" i="10" a="1"/>
  <c r="Q344" i="10" s="1"/>
  <c r="O345" i="10" a="1"/>
  <c r="O345" i="10" s="1"/>
  <c r="Q345" i="10" a="1"/>
  <c r="Q345" i="10" s="1"/>
  <c r="U345" i="10"/>
  <c r="R345" i="10" a="1"/>
  <c r="R345" i="10" s="1"/>
  <c r="P345" i="10" a="1"/>
  <c r="P345" i="10" s="1"/>
  <c r="V342" i="10" a="1"/>
  <c r="V342" i="10" s="1"/>
  <c r="S345" i="10" a="1"/>
  <c r="S345" i="10" s="1"/>
  <c r="T342" i="10" a="1"/>
  <c r="T342" i="10" s="1"/>
  <c r="T343" i="10" a="1"/>
  <c r="T343" i="10" s="1"/>
  <c r="R346" i="10" a="1"/>
  <c r="R346" i="10" s="1"/>
  <c r="S346" i="10" a="1"/>
  <c r="S346" i="10" s="1"/>
  <c r="P346" i="10" a="1"/>
  <c r="P346" i="10" s="1"/>
  <c r="O346" i="10" a="1"/>
  <c r="O346" i="10" s="1"/>
  <c r="V343" i="10" a="1"/>
  <c r="V343" i="10" s="1"/>
  <c r="U346" i="10"/>
  <c r="Q346" i="10" a="1"/>
  <c r="Q346" i="10" s="1"/>
  <c r="V344" i="10" a="1"/>
  <c r="V344" i="10" s="1"/>
  <c r="R347" i="10" a="1"/>
  <c r="R347" i="10" s="1"/>
  <c r="T344" i="10" a="1"/>
  <c r="T344" i="10" s="1"/>
  <c r="P347" i="10" a="1"/>
  <c r="P347" i="10" s="1"/>
  <c r="Q347" i="10" a="1"/>
  <c r="Q347" i="10" s="1"/>
  <c r="U347" i="10"/>
  <c r="S347" i="10" a="1"/>
  <c r="S347" i="10" s="1"/>
  <c r="O347" i="10" a="1"/>
  <c r="O347" i="10" s="1"/>
  <c r="R348" i="10" a="1"/>
  <c r="R348" i="10" s="1"/>
  <c r="P348" i="10" a="1"/>
  <c r="P348" i="10" s="1"/>
  <c r="S348" i="10" a="1"/>
  <c r="S348" i="10" s="1"/>
  <c r="V345" i="10" a="1"/>
  <c r="V345" i="10" s="1"/>
  <c r="Q348" i="10" a="1"/>
  <c r="Q348" i="10" s="1"/>
  <c r="O348" i="10" a="1"/>
  <c r="O348" i="10" s="1"/>
  <c r="T345" i="10" a="1"/>
  <c r="T345" i="10" s="1"/>
  <c r="U348" i="10"/>
  <c r="O349" i="10" a="1"/>
  <c r="O349" i="10" s="1"/>
  <c r="Q349" i="10" a="1"/>
  <c r="Q349" i="10" s="1"/>
  <c r="S349" i="10" a="1"/>
  <c r="S349" i="10" s="1"/>
  <c r="V346" i="10" a="1"/>
  <c r="V346" i="10" s="1"/>
  <c r="P349" i="10" a="1"/>
  <c r="P349" i="10" s="1"/>
  <c r="T346" i="10" a="1"/>
  <c r="T346" i="10" s="1"/>
  <c r="U349" i="10"/>
  <c r="R349" i="10" a="1"/>
  <c r="R349" i="10" s="1"/>
  <c r="O350" i="10" a="1"/>
  <c r="O350" i="10" s="1"/>
  <c r="U350" i="10"/>
  <c r="V347" i="10" a="1"/>
  <c r="V347" i="10" s="1"/>
  <c r="R350" i="10" a="1"/>
  <c r="R350" i="10" s="1"/>
  <c r="T347" i="10" a="1"/>
  <c r="T347" i="10" s="1"/>
  <c r="Q350" i="10" a="1"/>
  <c r="Q350" i="10" s="1"/>
  <c r="S350" i="10" a="1"/>
  <c r="S350" i="10" s="1"/>
  <c r="P350" i="10" a="1"/>
  <c r="P350" i="10" s="1"/>
  <c r="R351" i="10" a="1"/>
  <c r="R351" i="10" s="1"/>
  <c r="S351" i="10" a="1"/>
  <c r="S351" i="10" s="1"/>
  <c r="T348" i="10" a="1"/>
  <c r="T348" i="10" s="1"/>
  <c r="V348" i="10" a="1"/>
  <c r="V348" i="10" s="1"/>
  <c r="Q351" i="10" a="1"/>
  <c r="Q351" i="10" s="1"/>
  <c r="O351" i="10" a="1"/>
  <c r="O351" i="10" s="1"/>
  <c r="U351" i="10"/>
  <c r="P351" i="10" a="1"/>
  <c r="P351" i="10" s="1"/>
  <c r="U352" i="10"/>
  <c r="P352" i="10" a="1"/>
  <c r="P352" i="10" s="1"/>
  <c r="S352" i="10" a="1"/>
  <c r="S352" i="10" s="1"/>
  <c r="V349" i="10" a="1"/>
  <c r="V349" i="10" s="1"/>
  <c r="T349" i="10" a="1"/>
  <c r="T349" i="10" s="1"/>
  <c r="Q352" i="10" a="1"/>
  <c r="Q352" i="10" s="1"/>
  <c r="O352" i="10" a="1"/>
  <c r="O352" i="10" s="1"/>
  <c r="R352" i="10" a="1"/>
  <c r="R352" i="10" s="1"/>
  <c r="V350" i="10" a="1"/>
  <c r="V350" i="10" s="1"/>
  <c r="T350" i="10" a="1"/>
  <c r="T350" i="10" s="1"/>
  <c r="Q353" i="10" a="1"/>
  <c r="Q353" i="10" s="1"/>
  <c r="R353" i="10" a="1"/>
  <c r="R353" i="10" s="1"/>
  <c r="U353" i="10"/>
  <c r="O353" i="10" a="1"/>
  <c r="O353" i="10" s="1"/>
  <c r="S353" i="10" a="1"/>
  <c r="S353" i="10" s="1"/>
  <c r="P353" i="10" a="1"/>
  <c r="P353" i="10" s="1"/>
  <c r="V351" i="10" a="1"/>
  <c r="V351" i="10" s="1"/>
  <c r="R354" i="10" a="1"/>
  <c r="R354" i="10" s="1"/>
  <c r="U354" i="10"/>
  <c r="Q354" i="10" a="1"/>
  <c r="Q354" i="10" s="1"/>
  <c r="O354" i="10" a="1"/>
  <c r="O354" i="10" s="1"/>
  <c r="T351" i="10" a="1"/>
  <c r="T351" i="10" s="1"/>
  <c r="P354" i="10" a="1"/>
  <c r="P354" i="10" s="1"/>
  <c r="S354" i="10" a="1"/>
  <c r="S354" i="10" s="1"/>
  <c r="Q355" i="10" a="1"/>
  <c r="Q355" i="10" s="1"/>
  <c r="O355" i="10" a="1"/>
  <c r="O355" i="10" s="1"/>
  <c r="P355" i="10" a="1"/>
  <c r="P355" i="10" s="1"/>
  <c r="V352" i="10" a="1"/>
  <c r="V352" i="10" s="1"/>
  <c r="S355" i="10" a="1"/>
  <c r="S355" i="10" s="1"/>
  <c r="T352" i="10" a="1"/>
  <c r="T352" i="10" s="1"/>
  <c r="U355" i="10"/>
  <c r="R355" i="10" a="1"/>
  <c r="R355" i="10" s="1"/>
  <c r="O356" i="10" a="1"/>
  <c r="O356" i="10" s="1"/>
  <c r="R356" i="10" a="1"/>
  <c r="R356" i="10" s="1"/>
  <c r="Q356" i="10" a="1"/>
  <c r="Q356" i="10" s="1"/>
  <c r="U356" i="10"/>
  <c r="S356" i="10" a="1"/>
  <c r="S356" i="10" s="1"/>
  <c r="T353" i="10" a="1"/>
  <c r="T353" i="10" s="1"/>
  <c r="V353" i="10" a="1"/>
  <c r="V353" i="10" s="1"/>
  <c r="P356" i="10" a="1"/>
  <c r="P356" i="10" s="1"/>
  <c r="P357" i="10" a="1"/>
  <c r="P357" i="10" s="1"/>
  <c r="V354" i="10" a="1"/>
  <c r="V354" i="10" s="1"/>
  <c r="R357" i="10" a="1"/>
  <c r="R357" i="10" s="1"/>
  <c r="S357" i="10" a="1"/>
  <c r="S357" i="10" s="1"/>
  <c r="O357" i="10" a="1"/>
  <c r="O357" i="10" s="1"/>
  <c r="Q357" i="10" a="1"/>
  <c r="Q357" i="10" s="1"/>
  <c r="T354" i="10" a="1"/>
  <c r="T354" i="10" s="1"/>
  <c r="U357" i="10"/>
  <c r="R358" i="10" a="1"/>
  <c r="R358" i="10" s="1"/>
  <c r="U358" i="10"/>
  <c r="S358" i="10" a="1"/>
  <c r="S358" i="10" s="1"/>
  <c r="Q358" i="10" a="1"/>
  <c r="Q358" i="10" s="1"/>
  <c r="P358" i="10" a="1"/>
  <c r="P358" i="10" s="1"/>
  <c r="V355" i="10" a="1"/>
  <c r="V355" i="10" s="1"/>
  <c r="O358" i="10" a="1"/>
  <c r="O358" i="10" s="1"/>
  <c r="T355" i="10" a="1"/>
  <c r="T355" i="10" s="1"/>
  <c r="R359" i="10" a="1"/>
  <c r="R359" i="10" s="1"/>
  <c r="S359" i="10" a="1"/>
  <c r="S359" i="10" s="1"/>
  <c r="O359" i="10" a="1"/>
  <c r="O359" i="10" s="1"/>
  <c r="U359" i="10"/>
  <c r="T356" i="10" a="1"/>
  <c r="T356" i="10" s="1"/>
  <c r="Q359" i="10" a="1"/>
  <c r="Q359" i="10" s="1"/>
  <c r="V356" i="10" a="1"/>
  <c r="V356" i="10" s="1"/>
  <c r="P359" i="10" a="1"/>
  <c r="P359" i="10" s="1"/>
  <c r="O360" i="10" a="1"/>
  <c r="O360" i="10" s="1"/>
  <c r="V357" i="10" a="1"/>
  <c r="V357" i="10" s="1"/>
  <c r="P360" i="10" a="1"/>
  <c r="P360" i="10" s="1"/>
  <c r="U360" i="10"/>
  <c r="S360" i="10" a="1"/>
  <c r="S360" i="10" s="1"/>
  <c r="T357" i="10" a="1"/>
  <c r="T357" i="10" s="1"/>
  <c r="Q360" i="10" a="1"/>
  <c r="Q360" i="10" s="1"/>
  <c r="R360" i="10" a="1"/>
  <c r="R360" i="10" s="1"/>
  <c r="U361" i="10"/>
  <c r="O361" i="10" a="1"/>
  <c r="O361" i="10" s="1"/>
  <c r="P361" i="10" a="1"/>
  <c r="P361" i="10" s="1"/>
  <c r="T358" i="10" a="1"/>
  <c r="T358" i="10" s="1"/>
  <c r="Q361" i="10" a="1"/>
  <c r="Q361" i="10" s="1"/>
  <c r="S361" i="10" a="1"/>
  <c r="S361" i="10" s="1"/>
  <c r="R361" i="10" a="1"/>
  <c r="R361" i="10" s="1"/>
  <c r="V358" i="10" a="1"/>
  <c r="V358" i="10" s="1"/>
  <c r="R362" i="10" a="1"/>
  <c r="R362" i="10" s="1"/>
  <c r="T359" i="10" a="1"/>
  <c r="T359" i="10" s="1"/>
  <c r="P362" i="10" a="1"/>
  <c r="P362" i="10" s="1"/>
  <c r="S362" i="10" a="1"/>
  <c r="S362" i="10" s="1"/>
  <c r="V359" i="10" a="1"/>
  <c r="V359" i="10" s="1"/>
  <c r="Q362" i="10" a="1"/>
  <c r="Q362" i="10" s="1"/>
  <c r="O362" i="10" a="1"/>
  <c r="O362" i="10" s="1"/>
  <c r="U362" i="10"/>
  <c r="P363" i="10" a="1"/>
  <c r="P363" i="10" s="1"/>
  <c r="R363" i="10" a="1"/>
  <c r="R363" i="10" s="1"/>
  <c r="V360" i="10" a="1"/>
  <c r="V360" i="10" s="1"/>
  <c r="S363" i="10" a="1"/>
  <c r="S363" i="10" s="1"/>
  <c r="T360" i="10" a="1"/>
  <c r="T360" i="10" s="1"/>
  <c r="Q363" i="10" a="1"/>
  <c r="Q363" i="10" s="1"/>
  <c r="O363" i="10" a="1"/>
  <c r="O363" i="10" s="1"/>
  <c r="U363" i="10"/>
  <c r="S364" i="10" a="1"/>
  <c r="S364" i="10" s="1"/>
  <c r="O364" i="10" a="1"/>
  <c r="O364" i="10" s="1"/>
  <c r="Q364" i="10" a="1"/>
  <c r="Q364" i="10" s="1"/>
  <c r="R364" i="10" a="1"/>
  <c r="R364" i="10" s="1"/>
  <c r="V361" i="10" a="1"/>
  <c r="V361" i="10" s="1"/>
  <c r="T361" i="10" a="1"/>
  <c r="T361" i="10" s="1"/>
  <c r="U364" i="10"/>
  <c r="P364" i="10" a="1"/>
  <c r="P364" i="10" s="1"/>
  <c r="U365" i="10"/>
  <c r="Q365" i="10" a="1"/>
  <c r="Q365" i="10" s="1"/>
  <c r="T362" i="10" a="1"/>
  <c r="T362" i="10" s="1"/>
  <c r="V362" i="10" a="1"/>
  <c r="V362" i="10" s="1"/>
  <c r="R365" i="10" a="1"/>
  <c r="R365" i="10" s="1"/>
  <c r="S365" i="10" a="1"/>
  <c r="S365" i="10" s="1"/>
  <c r="P365" i="10" a="1"/>
  <c r="P365" i="10" s="1"/>
  <c r="O365" i="10" a="1"/>
  <c r="O365" i="10" s="1"/>
  <c r="P366" i="10" a="1"/>
  <c r="P366" i="10" s="1"/>
  <c r="T363" i="10" a="1"/>
  <c r="T363" i="10" s="1"/>
  <c r="Q366" i="10" a="1"/>
  <c r="Q366" i="10" s="1"/>
  <c r="U366" i="10"/>
  <c r="V363" i="10" a="1"/>
  <c r="V363" i="10" s="1"/>
  <c r="R366" i="10" a="1"/>
  <c r="R366" i="10" s="1"/>
  <c r="S366" i="10" a="1"/>
  <c r="S366" i="10" s="1"/>
  <c r="O366" i="10" a="1"/>
  <c r="O366" i="10" s="1"/>
  <c r="O367" i="10" a="1"/>
  <c r="O367" i="10" s="1"/>
  <c r="P367" i="10" a="1"/>
  <c r="P367" i="10" s="1"/>
  <c r="S367" i="10" a="1"/>
  <c r="S367" i="10" s="1"/>
  <c r="Q367" i="10" a="1"/>
  <c r="Q367" i="10" s="1"/>
  <c r="V364" i="10" a="1"/>
  <c r="V364" i="10" s="1"/>
  <c r="T364" i="10" a="1"/>
  <c r="T364" i="10" s="1"/>
  <c r="U367" i="10"/>
  <c r="R367" i="10" a="1"/>
  <c r="R367" i="10" s="1"/>
  <c r="T365" i="10" a="1"/>
  <c r="T365" i="10" s="1"/>
  <c r="P368" i="10" a="1"/>
  <c r="P368" i="10" s="1"/>
  <c r="R368" i="10" a="1"/>
  <c r="R368" i="10" s="1"/>
  <c r="U368" i="10"/>
  <c r="V365" i="10" a="1"/>
  <c r="V365" i="10" s="1"/>
  <c r="S368" i="10" a="1"/>
  <c r="S368" i="10" s="1"/>
  <c r="Q368" i="10" a="1"/>
  <c r="Q368" i="10" s="1"/>
  <c r="O368" i="10" a="1"/>
  <c r="O368" i="10" s="1"/>
  <c r="O369" i="10" a="1"/>
  <c r="O369" i="10" s="1"/>
  <c r="T366" i="10" a="1"/>
  <c r="T366" i="10" s="1"/>
  <c r="V366" i="10" a="1"/>
  <c r="V366" i="10" s="1"/>
  <c r="S369" i="10" a="1"/>
  <c r="S369" i="10" s="1"/>
  <c r="U369" i="10"/>
  <c r="P369" i="10" a="1"/>
  <c r="P369" i="10" s="1"/>
  <c r="Q369" i="10" a="1"/>
  <c r="Q369" i="10" s="1"/>
  <c r="R369" i="10" a="1"/>
  <c r="R369" i="10" s="1"/>
  <c r="V367" i="10" a="1"/>
  <c r="V367" i="10" s="1"/>
  <c r="T367" i="10" a="1"/>
  <c r="T367" i="10" s="1"/>
  <c r="P370" i="10" a="1"/>
  <c r="P370" i="10" s="1"/>
  <c r="U370" i="10"/>
  <c r="S370" i="10" a="1"/>
  <c r="S370" i="10" s="1"/>
  <c r="Q370" i="10" a="1"/>
  <c r="Q370" i="10" s="1"/>
  <c r="O370" i="10" a="1"/>
  <c r="O370" i="10" s="1"/>
  <c r="R370" i="10" a="1"/>
  <c r="R370" i="10" s="1"/>
  <c r="T368" i="10" a="1"/>
  <c r="T368" i="10" s="1"/>
  <c r="V368" i="10" a="1"/>
  <c r="V368" i="10" s="1"/>
  <c r="O371" i="10" a="1"/>
  <c r="O371" i="10" s="1"/>
  <c r="P371" i="10" a="1"/>
  <c r="P371" i="10" s="1"/>
  <c r="U371" i="10"/>
  <c r="R371" i="10" a="1"/>
  <c r="R371" i="10" s="1"/>
  <c r="S371" i="10" a="1"/>
  <c r="S371" i="10" s="1"/>
  <c r="Q371" i="10" a="1"/>
  <c r="Q371" i="10" s="1"/>
  <c r="R372" i="10" a="1"/>
  <c r="R372" i="10" s="1"/>
  <c r="S372" i="10" a="1"/>
  <c r="S372" i="10" s="1"/>
  <c r="P372" i="10" a="1"/>
  <c r="P372" i="10" s="1"/>
  <c r="T369" i="10" a="1"/>
  <c r="T369" i="10" s="1"/>
  <c r="V369" i="10" a="1"/>
  <c r="V369" i="10" s="1"/>
  <c r="O372" i="10" a="1"/>
  <c r="O372" i="10" s="1"/>
  <c r="U372" i="10"/>
  <c r="Q372" i="10" a="1"/>
  <c r="Q372" i="10" s="1"/>
  <c r="S373" i="10" a="1"/>
  <c r="S373" i="10" s="1"/>
  <c r="V370" i="10" a="1"/>
  <c r="V370" i="10" s="1"/>
  <c r="T370" i="10" a="1"/>
  <c r="T370" i="10" s="1"/>
  <c r="U373" i="10"/>
  <c r="R373" i="10" a="1"/>
  <c r="R373" i="10" s="1"/>
  <c r="O373" i="10" a="1"/>
  <c r="O373" i="10" s="1"/>
  <c r="Q373" i="10" a="1"/>
  <c r="Q373" i="10" s="1"/>
  <c r="P373" i="10" a="1"/>
  <c r="P373" i="10" s="1"/>
  <c r="O374" i="10" a="1"/>
  <c r="O374" i="10" s="1"/>
  <c r="T371" i="10" a="1"/>
  <c r="T371" i="10" s="1"/>
  <c r="R374" i="10" a="1"/>
  <c r="R374" i="10" s="1"/>
  <c r="S374" i="10" a="1"/>
  <c r="S374" i="10" s="1"/>
  <c r="P374" i="10" a="1"/>
  <c r="P374" i="10" s="1"/>
  <c r="V371" i="10" a="1"/>
  <c r="V371" i="10" s="1"/>
  <c r="Q374" i="10" a="1"/>
  <c r="Q374" i="10" s="1"/>
  <c r="U374" i="10"/>
  <c r="Q375" i="10" a="1"/>
  <c r="Q375" i="10" s="1"/>
  <c r="P375" i="10" a="1"/>
  <c r="P375" i="10" s="1"/>
  <c r="S375" i="10" a="1"/>
  <c r="S375" i="10" s="1"/>
  <c r="U375" i="10"/>
  <c r="V372" i="10" a="1"/>
  <c r="V372" i="10" s="1"/>
  <c r="T372" i="10" a="1"/>
  <c r="T372" i="10" s="1"/>
  <c r="R375" i="10" a="1"/>
  <c r="R375" i="10" s="1"/>
  <c r="O375" i="10" a="1"/>
  <c r="O375" i="10" s="1"/>
  <c r="U376" i="10"/>
  <c r="R376" i="10" a="1"/>
  <c r="R376" i="10" s="1"/>
  <c r="Q376" i="10" a="1"/>
  <c r="Q376" i="10" s="1"/>
  <c r="P376" i="10" a="1"/>
  <c r="P376" i="10" s="1"/>
  <c r="V373" i="10" a="1"/>
  <c r="V373" i="10" s="1"/>
  <c r="O376" i="10" a="1"/>
  <c r="O376" i="10" s="1"/>
  <c r="S376" i="10" a="1"/>
  <c r="S376" i="10" s="1"/>
  <c r="T373" i="10" a="1"/>
  <c r="T373" i="10" s="1"/>
  <c r="Q377" i="10" a="1"/>
  <c r="Q377" i="10" s="1"/>
  <c r="U377" i="10"/>
  <c r="R377" i="10" a="1"/>
  <c r="R377" i="10" s="1"/>
  <c r="T374" i="10" a="1"/>
  <c r="T374" i="10" s="1"/>
  <c r="S377" i="10" a="1"/>
  <c r="S377" i="10" s="1"/>
  <c r="O377" i="10" a="1"/>
  <c r="O377" i="10" s="1"/>
  <c r="V374" i="10" a="1"/>
  <c r="V374" i="10" s="1"/>
  <c r="P377" i="10" a="1"/>
  <c r="P377" i="10" s="1"/>
  <c r="O378" i="10" a="1"/>
  <c r="O378" i="10" s="1"/>
  <c r="V375" i="10" a="1"/>
  <c r="V375" i="10" s="1"/>
  <c r="Q378" i="10" a="1"/>
  <c r="Q378" i="10" s="1"/>
  <c r="P378" i="10" a="1"/>
  <c r="P378" i="10" s="1"/>
  <c r="S378" i="10" a="1"/>
  <c r="S378" i="10" s="1"/>
  <c r="U378" i="10"/>
  <c r="R378" i="10" a="1"/>
  <c r="R378" i="10" s="1"/>
  <c r="T375" i="10" a="1"/>
  <c r="T375" i="10" s="1"/>
  <c r="Q379" i="10" a="1"/>
  <c r="Q379" i="10" s="1"/>
  <c r="O379" i="10" a="1"/>
  <c r="O379" i="10" s="1"/>
  <c r="S379" i="10" a="1"/>
  <c r="S379" i="10" s="1"/>
  <c r="V376" i="10" a="1"/>
  <c r="V376" i="10" s="1"/>
  <c r="T376" i="10" a="1"/>
  <c r="T376" i="10" s="1"/>
  <c r="P379" i="10" a="1"/>
  <c r="P379" i="10" s="1"/>
  <c r="U379" i="10"/>
  <c r="R379" i="10" a="1"/>
  <c r="R379" i="10" s="1"/>
  <c r="O380" i="10" a="1"/>
  <c r="O380" i="10" s="1"/>
  <c r="Q380" i="10" a="1"/>
  <c r="Q380" i="10" s="1"/>
  <c r="P380" i="10" a="1"/>
  <c r="P380" i="10" s="1"/>
  <c r="V377" i="10" a="1"/>
  <c r="V377" i="10" s="1"/>
  <c r="S380" i="10" a="1"/>
  <c r="S380" i="10" s="1"/>
  <c r="T377" i="10" a="1"/>
  <c r="T377" i="10" s="1"/>
  <c r="R380" i="10" a="1"/>
  <c r="R380" i="10" s="1"/>
  <c r="U380" i="10"/>
  <c r="U381" i="10"/>
  <c r="Q381" i="10" a="1"/>
  <c r="Q381" i="10" s="1"/>
  <c r="V378" i="10" a="1"/>
  <c r="V378" i="10" s="1"/>
  <c r="T378" i="10" a="1"/>
  <c r="T378" i="10" s="1"/>
  <c r="R381" i="10" a="1"/>
  <c r="R381" i="10" s="1"/>
  <c r="O381" i="10" a="1"/>
  <c r="O381" i="10" s="1"/>
  <c r="P381" i="10" a="1"/>
  <c r="P381" i="10" s="1"/>
  <c r="S381" i="10" a="1"/>
  <c r="S381" i="10" s="1"/>
  <c r="P382" i="10" a="1"/>
  <c r="P382" i="10" s="1"/>
  <c r="U382" i="10"/>
  <c r="T379" i="10" a="1"/>
  <c r="T379" i="10" s="1"/>
  <c r="Q382" i="10" a="1"/>
  <c r="Q382" i="10" s="1"/>
  <c r="V379" i="10" a="1"/>
  <c r="V379" i="10" s="1"/>
  <c r="O382" i="10" a="1"/>
  <c r="O382" i="10" s="1"/>
  <c r="S382" i="10" a="1"/>
  <c r="S382" i="10" s="1"/>
  <c r="V380" i="10" a="1"/>
  <c r="V380" i="10" s="1"/>
  <c r="P383" i="10" a="1"/>
  <c r="P383" i="10" s="1"/>
  <c r="U383" i="10"/>
  <c r="Q383" i="10" a="1"/>
  <c r="Q383" i="10" s="1"/>
  <c r="O383" i="10" a="1"/>
  <c r="O383" i="10" s="1"/>
  <c r="T380" i="10" a="1"/>
  <c r="T380" i="10" s="1"/>
  <c r="V381" i="10" a="1"/>
  <c r="V381" i="10" s="1"/>
  <c r="Q384" i="10" a="1"/>
  <c r="Q384" i="10" s="1"/>
  <c r="O384" i="10" a="1"/>
  <c r="O384" i="10" s="1"/>
  <c r="P384" i="10" a="1"/>
  <c r="P384" i="10" s="1"/>
  <c r="T381" i="10" a="1"/>
  <c r="T381" i="10" s="1"/>
  <c r="R382" i="10" a="1"/>
  <c r="R382" i="10" s="1"/>
  <c r="T382" i="10" a="1"/>
  <c r="T382" i="10" s="1"/>
  <c r="P385" i="10" a="1"/>
  <c r="P385" i="10" s="1"/>
  <c r="V382" i="10" a="1"/>
  <c r="V382" i="10" s="1"/>
  <c r="O385" i="10" a="1"/>
  <c r="O385" i="10" s="1"/>
  <c r="Q385" i="10" a="1"/>
  <c r="Q385" i="10" s="1"/>
  <c r="O386" i="10" a="1"/>
  <c r="O386" i="10" s="1"/>
  <c r="V383" i="10" a="1"/>
  <c r="V383" i="10" s="1"/>
  <c r="S383" i="10" a="1"/>
  <c r="S383" i="10" s="1"/>
  <c r="Q386" i="10" a="1"/>
  <c r="Q386" i="10" s="1"/>
  <c r="T383" i="10" a="1"/>
  <c r="T383" i="10" s="1"/>
  <c r="R383" i="10" a="1"/>
  <c r="R383" i="10" s="1"/>
  <c r="P386" i="10" a="1"/>
  <c r="P386" i="10" s="1"/>
  <c r="O387" i="10" a="1"/>
  <c r="O387" i="10" s="1"/>
  <c r="V384" i="10" a="1"/>
  <c r="V384" i="10" s="1"/>
  <c r="S384" i="10" a="1"/>
  <c r="S384" i="10" s="1"/>
  <c r="Q387" i="10" a="1"/>
  <c r="Q387" i="10" s="1"/>
  <c r="T384" i="10" a="1"/>
  <c r="T384" i="10" s="1"/>
  <c r="R384" i="10" a="1"/>
  <c r="R384" i="10" s="1"/>
  <c r="U384" i="10"/>
  <c r="P387" i="10" a="1"/>
  <c r="P387" i="10" s="1"/>
  <c r="S385" i="10" a="1"/>
  <c r="S385" i="10" s="1"/>
  <c r="O388" i="10" a="1"/>
  <c r="O388" i="10" s="1"/>
  <c r="Q388" i="10" a="1"/>
  <c r="Q388" i="10" s="1"/>
  <c r="R385" i="10" a="1"/>
  <c r="R385" i="10" s="1"/>
  <c r="P388" i="10" a="1"/>
  <c r="P388" i="10" s="1"/>
  <c r="T385" i="10" a="1"/>
  <c r="T385" i="10" s="1"/>
  <c r="U385" i="10"/>
  <c r="V385" i="10" a="1"/>
  <c r="V385" i="10" s="1"/>
  <c r="T386" i="10" a="1"/>
  <c r="T386" i="10" s="1"/>
  <c r="R386" i="10" a="1"/>
  <c r="R386" i="10" s="1"/>
  <c r="U386" i="10"/>
  <c r="Q389" i="10" a="1"/>
  <c r="Q389" i="10" s="1"/>
  <c r="V386" i="10" a="1"/>
  <c r="V386" i="10" s="1"/>
  <c r="S386" i="10" a="1"/>
  <c r="S386" i="10" s="1"/>
  <c r="P389" i="10" a="1"/>
  <c r="P389" i="10" s="1"/>
  <c r="O389" i="10" a="1"/>
  <c r="O389" i="10" s="1"/>
  <c r="T387" i="10" a="1"/>
  <c r="T387" i="10" s="1"/>
  <c r="Q390" i="10" a="1"/>
  <c r="Q390" i="10" s="1"/>
  <c r="V387" i="10" a="1"/>
  <c r="V387" i="10" s="1"/>
  <c r="P390" i="10" a="1"/>
  <c r="P390" i="10" s="1"/>
  <c r="U387" i="10"/>
  <c r="S387" i="10" a="1"/>
  <c r="S387" i="10" s="1"/>
  <c r="O390" i="10" a="1"/>
  <c r="O390" i="10" s="1"/>
  <c r="R387" i="10" a="1"/>
  <c r="R387" i="10" s="1"/>
  <c r="V388" i="10" a="1"/>
  <c r="V388" i="10" s="1"/>
  <c r="U388" i="10"/>
  <c r="S388" i="10" a="1"/>
  <c r="S388" i="10" s="1"/>
  <c r="T388" i="10" a="1"/>
  <c r="T388" i="10" s="1"/>
  <c r="O391" i="10" a="1"/>
  <c r="O391" i="10" s="1"/>
  <c r="P391" i="10" a="1"/>
  <c r="P391" i="10" s="1"/>
  <c r="R388" i="10" a="1"/>
  <c r="R388" i="10" s="1"/>
  <c r="Q391" i="10" a="1"/>
  <c r="Q391" i="10" s="1"/>
  <c r="U389" i="10"/>
  <c r="P392" i="10" a="1"/>
  <c r="P392" i="10" s="1"/>
  <c r="V389" i="10" a="1"/>
  <c r="V389" i="10" s="1"/>
  <c r="T389" i="10" a="1"/>
  <c r="T389" i="10" s="1"/>
  <c r="Q392" i="10" a="1"/>
  <c r="Q392" i="10" s="1"/>
  <c r="S389" i="10" a="1"/>
  <c r="S389" i="10" s="1"/>
  <c r="O392" i="10" a="1"/>
  <c r="O392" i="10" s="1"/>
  <c r="R389" i="10" a="1"/>
  <c r="R389" i="10" s="1"/>
  <c r="U390" i="10"/>
  <c r="V390" i="10" a="1"/>
  <c r="V390" i="10" s="1"/>
  <c r="Q393" i="10" a="1"/>
  <c r="Q393" i="10" s="1"/>
  <c r="R390" i="10" a="1"/>
  <c r="R390" i="10" s="1"/>
  <c r="O393" i="10" a="1"/>
  <c r="O393" i="10" s="1"/>
  <c r="S390" i="10" a="1"/>
  <c r="S390" i="10" s="1"/>
  <c r="T390" i="10" a="1"/>
  <c r="T390" i="10" s="1"/>
  <c r="P393" i="10" a="1"/>
  <c r="P393" i="10" s="1"/>
  <c r="P394" i="10" a="1"/>
  <c r="P394" i="10" s="1"/>
  <c r="U391" i="10"/>
  <c r="S391" i="10" a="1"/>
  <c r="S391" i="10" s="1"/>
  <c r="R391" i="10" a="1"/>
  <c r="R391" i="10" s="1"/>
  <c r="O394" i="10" a="1"/>
  <c r="O394" i="10" s="1"/>
  <c r="Q394" i="10" a="1"/>
  <c r="Q394" i="10" s="1"/>
  <c r="V391" i="10" a="1"/>
  <c r="V391" i="10" s="1"/>
  <c r="T391" i="10" a="1"/>
  <c r="T391" i="10" s="1"/>
  <c r="R392" i="10" a="1"/>
  <c r="R392" i="10" s="1"/>
  <c r="P395" i="10" a="1"/>
  <c r="P395" i="10" s="1"/>
  <c r="Q395" i="10" a="1"/>
  <c r="Q395" i="10" s="1"/>
  <c r="T392" i="10" a="1"/>
  <c r="T392" i="10" s="1"/>
  <c r="O395" i="10" a="1"/>
  <c r="O395" i="10" s="1"/>
  <c r="U392" i="10"/>
  <c r="V392" i="10" a="1"/>
  <c r="V392" i="10" s="1"/>
  <c r="S392" i="10" a="1"/>
  <c r="S392" i="10" s="1"/>
  <c r="R393" i="10" a="1"/>
  <c r="R393" i="10" s="1"/>
  <c r="U393" i="10"/>
  <c r="P396" i="10" a="1"/>
  <c r="P396" i="10" s="1"/>
  <c r="S393" i="10" a="1"/>
  <c r="S393" i="10" s="1"/>
  <c r="V393" i="10" a="1"/>
  <c r="V393" i="10" s="1"/>
  <c r="Q396" i="10" a="1"/>
  <c r="Q396" i="10" s="1"/>
  <c r="T393" i="10" a="1"/>
  <c r="T393" i="10" s="1"/>
  <c r="O396" i="10" a="1"/>
  <c r="O396" i="10" s="1"/>
  <c r="T394" i="10" a="1"/>
  <c r="T394" i="10" s="1"/>
  <c r="R394" i="10" a="1"/>
  <c r="R394" i="10" s="1"/>
  <c r="S394" i="10" a="1"/>
  <c r="S394" i="10" s="1"/>
  <c r="U394" i="10"/>
  <c r="V394" i="10" a="1"/>
  <c r="V394" i="10" s="1"/>
  <c r="O397" i="10" a="1"/>
  <c r="O397" i="10" s="1"/>
  <c r="Q397" i="10" a="1"/>
  <c r="Q397" i="10" s="1"/>
  <c r="P397" i="10" a="1"/>
  <c r="P397" i="10" s="1"/>
  <c r="R395" i="10" a="1"/>
  <c r="R395" i="10" s="1"/>
  <c r="S395" i="10" a="1"/>
  <c r="S395" i="10" s="1"/>
  <c r="T395" i="10" a="1"/>
  <c r="T395" i="10" s="1"/>
  <c r="P398" i="10" a="1"/>
  <c r="P398" i="10" s="1"/>
  <c r="O398" i="10" a="1"/>
  <c r="O398" i="10" s="1"/>
  <c r="Q398" i="10" a="1"/>
  <c r="Q398" i="10" s="1"/>
  <c r="V395" i="10" a="1"/>
  <c r="V395" i="10" s="1"/>
  <c r="U395" i="10"/>
  <c r="S396" i="10" a="1"/>
  <c r="S396" i="10" s="1"/>
  <c r="O399" i="10" a="1"/>
  <c r="O399" i="10" s="1"/>
  <c r="U396" i="10"/>
  <c r="Q399" i="10" a="1"/>
  <c r="Q399" i="10" s="1"/>
  <c r="T396" i="10" a="1"/>
  <c r="T396" i="10" s="1"/>
  <c r="V396" i="10" a="1"/>
  <c r="V396" i="10" s="1"/>
  <c r="R396" i="10" a="1"/>
  <c r="R396" i="10" s="1"/>
  <c r="P399" i="10" a="1"/>
  <c r="P399" i="10" s="1"/>
  <c r="P400" i="10" a="1"/>
  <c r="P400" i="10" s="1"/>
  <c r="R397" i="10" a="1"/>
  <c r="R397" i="10" s="1"/>
  <c r="S397" i="10" a="1"/>
  <c r="S397" i="10" s="1"/>
  <c r="T397" i="10" a="1"/>
  <c r="T397" i="10" s="1"/>
  <c r="V397" i="10" a="1"/>
  <c r="V397" i="10" s="1"/>
  <c r="O400" i="10" a="1"/>
  <c r="O400" i="10" s="1"/>
  <c r="Q400" i="10" a="1"/>
  <c r="Q400" i="10" s="1"/>
  <c r="U397" i="10"/>
  <c r="V398" i="10" a="1"/>
  <c r="V398" i="10" s="1"/>
  <c r="P401" i="10" a="1"/>
  <c r="P401" i="10" s="1"/>
  <c r="O401" i="10" a="1"/>
  <c r="O401" i="10" s="1"/>
  <c r="T398" i="10" a="1"/>
  <c r="T398" i="10" s="1"/>
  <c r="Q401" i="10" a="1"/>
  <c r="Q401" i="10" s="1"/>
  <c r="R398" i="10" a="1"/>
  <c r="R398" i="10" s="1"/>
  <c r="S398" i="10" a="1"/>
  <c r="S398" i="10" s="1"/>
  <c r="U398" i="10"/>
  <c r="P402" i="10" a="1"/>
  <c r="P402" i="10" s="1"/>
  <c r="U399" i="10"/>
  <c r="S399" i="10" a="1"/>
  <c r="S399" i="10" s="1"/>
  <c r="T399" i="10" a="1"/>
  <c r="T399" i="10" s="1"/>
  <c r="R399" i="10" a="1"/>
  <c r="R399" i="10" s="1"/>
  <c r="O402" i="10" a="1"/>
  <c r="O402" i="10" s="1"/>
  <c r="V399" i="10" a="1"/>
  <c r="V399" i="10" s="1"/>
  <c r="Q402" i="10" a="1"/>
  <c r="Q402" i="10" s="1"/>
  <c r="R730" i="10" a="1"/>
  <c r="R730" i="10" s="1"/>
  <c r="Q730" i="10" a="1"/>
  <c r="Q730" i="10" s="1"/>
  <c r="U730" i="10"/>
  <c r="O730" i="10" a="1"/>
  <c r="O730" i="10" s="1"/>
  <c r="S730" i="10" a="1"/>
  <c r="S730" i="10" s="1"/>
  <c r="V730" i="10" a="1"/>
  <c r="V730" i="10" s="1"/>
  <c r="P730" i="10" a="1"/>
  <c r="P730" i="10" s="1"/>
  <c r="T730" i="10" a="1"/>
  <c r="T730" i="10" s="1"/>
  <c r="V400" i="10" a="1"/>
  <c r="V400" i="10" s="1"/>
  <c r="Q403" i="10" a="1"/>
  <c r="Q403" i="10" s="1"/>
  <c r="O403" i="10" a="1"/>
  <c r="O403" i="10" s="1"/>
  <c r="R400" i="10" a="1"/>
  <c r="R400" i="10" s="1"/>
  <c r="U400" i="10"/>
  <c r="S400" i="10" a="1"/>
  <c r="S400" i="10" s="1"/>
  <c r="P403" i="10" a="1"/>
  <c r="P403" i="10" s="1"/>
  <c r="T400" i="10" a="1"/>
  <c r="T400" i="10" s="1"/>
  <c r="O404" i="10" a="1"/>
  <c r="O404" i="10" s="1"/>
  <c r="R401" i="10" a="1"/>
  <c r="R401" i="10" s="1"/>
  <c r="U401" i="10"/>
  <c r="P404" i="10" a="1"/>
  <c r="P404" i="10" s="1"/>
  <c r="V401" i="10" a="1"/>
  <c r="V401" i="10" s="1"/>
  <c r="T401" i="10" a="1"/>
  <c r="T401" i="10" s="1"/>
  <c r="S401" i="10" a="1"/>
  <c r="S401" i="10" s="1"/>
  <c r="Q404" i="10" a="1"/>
  <c r="Q404" i="10" s="1"/>
  <c r="R402" i="10" a="1"/>
  <c r="R402" i="10" s="1"/>
  <c r="T402" i="10" a="1"/>
  <c r="T402" i="10" s="1"/>
  <c r="V402" i="10" a="1"/>
  <c r="V402" i="10" s="1"/>
  <c r="P405" i="10" a="1"/>
  <c r="P405" i="10" s="1"/>
  <c r="S402" i="10" a="1"/>
  <c r="S402" i="10" s="1"/>
  <c r="U402" i="10"/>
  <c r="Q405" i="10" a="1"/>
  <c r="Q405" i="10" s="1"/>
  <c r="O405" i="10" a="1"/>
  <c r="O405" i="10" s="1"/>
  <c r="V403" i="10" a="1"/>
  <c r="V403" i="10" s="1"/>
  <c r="P406" i="10" a="1"/>
  <c r="P406" i="10" s="1"/>
  <c r="R403" i="10" a="1"/>
  <c r="R403" i="10" s="1"/>
  <c r="U403" i="10"/>
  <c r="T403" i="10" a="1"/>
  <c r="T403" i="10" s="1"/>
  <c r="O406" i="10" a="1"/>
  <c r="O406" i="10" s="1"/>
  <c r="S403" i="10" a="1"/>
  <c r="S403" i="10" s="1"/>
  <c r="U404" i="10"/>
  <c r="T404" i="10" a="1"/>
  <c r="T404" i="10" s="1"/>
  <c r="R404" i="10" a="1"/>
  <c r="R404" i="10" s="1"/>
  <c r="V404" i="10" a="1"/>
  <c r="V404" i="10" s="1"/>
  <c r="O407" i="10" a="1"/>
  <c r="O407" i="10" s="1"/>
  <c r="S404" i="10" a="1"/>
  <c r="S404" i="10" s="1"/>
  <c r="P407" i="10" a="1"/>
  <c r="P407" i="10" s="1"/>
  <c r="V405" i="10" a="1"/>
  <c r="V405" i="10" s="1"/>
  <c r="T405" i="10" a="1"/>
  <c r="T405" i="10" s="1"/>
  <c r="U405" i="10"/>
  <c r="R405" i="10" a="1"/>
  <c r="R405" i="10" s="1"/>
  <c r="P408" i="10" a="1"/>
  <c r="P408" i="10" s="1"/>
  <c r="S405" i="10" a="1"/>
  <c r="S405" i="10" s="1"/>
  <c r="O408" i="10" a="1"/>
  <c r="O408" i="10" s="1"/>
  <c r="V406" i="10" a="1"/>
  <c r="V406" i="10" s="1"/>
  <c r="S406" i="10" a="1"/>
  <c r="S406" i="10" s="1"/>
  <c r="P409" i="10" a="1"/>
  <c r="P409" i="10" s="1"/>
  <c r="U406" i="10"/>
  <c r="Q406" i="10" a="1"/>
  <c r="Q406" i="10" s="1"/>
  <c r="R406" i="10" a="1"/>
  <c r="R406" i="10" s="1"/>
  <c r="O409" i="10" a="1"/>
  <c r="O409" i="10" s="1"/>
  <c r="T406" i="10" a="1"/>
  <c r="T406" i="10" s="1"/>
  <c r="P410" i="10" a="1"/>
  <c r="P410" i="10" s="1"/>
  <c r="S407" i="10" a="1"/>
  <c r="S407" i="10" s="1"/>
  <c r="R407" i="10" a="1"/>
  <c r="R407" i="10" s="1"/>
  <c r="Q407" i="10" a="1"/>
  <c r="Q407" i="10" s="1"/>
  <c r="O410" i="10" a="1"/>
  <c r="O410" i="10" s="1"/>
  <c r="T407" i="10" a="1"/>
  <c r="T407" i="10" s="1"/>
  <c r="U407" i="10"/>
  <c r="V407" i="10" a="1"/>
  <c r="V407" i="10" s="1"/>
  <c r="Q408" i="10" a="1"/>
  <c r="Q408" i="10" s="1"/>
  <c r="S408" i="10" a="1"/>
  <c r="S408" i="10" s="1"/>
  <c r="O411" i="10" a="1"/>
  <c r="O411" i="10" s="1"/>
  <c r="P411" i="10" a="1"/>
  <c r="P411" i="10" s="1"/>
  <c r="R408" i="10" a="1"/>
  <c r="R408" i="10" s="1"/>
  <c r="V408" i="10" a="1"/>
  <c r="V408" i="10" s="1"/>
  <c r="T408" i="10" a="1"/>
  <c r="T408" i="10" s="1"/>
  <c r="U408" i="10"/>
  <c r="T409" i="10" a="1"/>
  <c r="T409" i="10" s="1"/>
  <c r="U409" i="10"/>
  <c r="Q409" i="10" a="1"/>
  <c r="Q409" i="10" s="1"/>
  <c r="V409" i="10" a="1"/>
  <c r="V409" i="10" s="1"/>
  <c r="S409" i="10" a="1"/>
  <c r="S409" i="10" s="1"/>
  <c r="O412" i="10" a="1"/>
  <c r="O412" i="10" s="1"/>
  <c r="P412" i="10" a="1"/>
  <c r="P412" i="10" s="1"/>
  <c r="R409" i="10" a="1"/>
  <c r="R409" i="10" s="1"/>
  <c r="O413" i="10" a="1"/>
  <c r="O413" i="10" s="1"/>
  <c r="U410" i="10"/>
  <c r="V410" i="10" a="1"/>
  <c r="V410" i="10" s="1"/>
  <c r="S410" i="10" a="1"/>
  <c r="S410" i="10" s="1"/>
  <c r="R410" i="10" a="1"/>
  <c r="R410" i="10" s="1"/>
  <c r="T410" i="10" a="1"/>
  <c r="T410" i="10" s="1"/>
  <c r="P413" i="10" a="1"/>
  <c r="P413" i="10" s="1"/>
  <c r="Q410" i="10" a="1"/>
  <c r="Q410" i="10" s="1"/>
  <c r="V411" i="10" a="1"/>
  <c r="V411" i="10" s="1"/>
  <c r="T411" i="10" a="1"/>
  <c r="T411" i="10" s="1"/>
  <c r="Q411" i="10" a="1"/>
  <c r="Q411" i="10" s="1"/>
  <c r="O414" i="10" a="1"/>
  <c r="O414" i="10" s="1"/>
  <c r="P414" i="10" a="1"/>
  <c r="P414" i="10" s="1"/>
  <c r="U411" i="10"/>
  <c r="R411" i="10" a="1"/>
  <c r="R411" i="10" s="1"/>
  <c r="S411" i="10" a="1"/>
  <c r="S411" i="10" s="1"/>
  <c r="R412" i="10" a="1"/>
  <c r="R412" i="10" s="1"/>
  <c r="O415" i="10" a="1"/>
  <c r="O415" i="10" s="1"/>
  <c r="T412" i="10" a="1"/>
  <c r="T412" i="10" s="1"/>
  <c r="Q412" i="10" a="1"/>
  <c r="Q412" i="10" s="1"/>
  <c r="V412" i="10" a="1"/>
  <c r="V412" i="10" s="1"/>
  <c r="S412" i="10" a="1"/>
  <c r="S412" i="10" s="1"/>
  <c r="U412" i="10"/>
  <c r="P415" i="10" a="1"/>
  <c r="P415" i="10" s="1"/>
  <c r="P416" i="10" a="1"/>
  <c r="P416" i="10" s="1"/>
  <c r="S413" i="10" a="1"/>
  <c r="S413" i="10" s="1"/>
  <c r="V413" i="10" a="1"/>
  <c r="V413" i="10" s="1"/>
  <c r="R413" i="10" a="1"/>
  <c r="R413" i="10" s="1"/>
  <c r="Q413" i="10" a="1"/>
  <c r="Q413" i="10" s="1"/>
  <c r="U413" i="10"/>
  <c r="O416" i="10" a="1"/>
  <c r="O416" i="10" s="1"/>
  <c r="T413" i="10" a="1"/>
  <c r="T413" i="10" s="1"/>
  <c r="U414" i="10"/>
  <c r="V414" i="10" a="1"/>
  <c r="V414" i="10" s="1"/>
  <c r="O417" i="10" a="1"/>
  <c r="O417" i="10" s="1"/>
  <c r="Q414" i="10" a="1"/>
  <c r="Q414" i="10" s="1"/>
  <c r="P417" i="10" a="1"/>
  <c r="P417" i="10" s="1"/>
  <c r="R414" i="10" a="1"/>
  <c r="R414" i="10" s="1"/>
  <c r="S414" i="10" a="1"/>
  <c r="S414" i="10" s="1"/>
  <c r="T414" i="10" a="1"/>
  <c r="T414" i="10" s="1"/>
  <c r="U415" i="10"/>
  <c r="T415" i="10" a="1"/>
  <c r="T415" i="10" s="1"/>
  <c r="V415" i="10" a="1"/>
  <c r="V415" i="10" s="1"/>
  <c r="O418" i="10" a="1"/>
  <c r="O418" i="10" s="1"/>
  <c r="R415" i="10" a="1"/>
  <c r="R415" i="10" s="1"/>
  <c r="Q415" i="10" a="1"/>
  <c r="Q415" i="10" s="1"/>
  <c r="S415" i="10" a="1"/>
  <c r="S415" i="10" s="1"/>
  <c r="U416" i="10"/>
  <c r="R416" i="10" a="1"/>
  <c r="R416" i="10" s="1"/>
  <c r="T416" i="10" a="1"/>
  <c r="T416" i="10" s="1"/>
  <c r="V416" i="10" a="1"/>
  <c r="V416" i="10" s="1"/>
  <c r="Q416" i="10" a="1"/>
  <c r="Q416" i="10" s="1"/>
  <c r="S416" i="10" a="1"/>
  <c r="S416" i="10" s="1"/>
  <c r="O419" i="10" a="1"/>
  <c r="O419" i="10" s="1"/>
  <c r="U417" i="10"/>
  <c r="Q417" i="10" a="1"/>
  <c r="Q417" i="10" s="1"/>
  <c r="O420" i="10" a="1"/>
  <c r="O420" i="10" s="1"/>
  <c r="T417" i="10" a="1"/>
  <c r="T417" i="10" s="1"/>
  <c r="R417" i="10" a="1"/>
  <c r="R417" i="10" s="1"/>
  <c r="V417" i="10" a="1"/>
  <c r="V417" i="10" s="1"/>
  <c r="S417" i="10" a="1"/>
  <c r="S417" i="10" s="1"/>
  <c r="V418" i="10" a="1"/>
  <c r="V418" i="10" s="1"/>
  <c r="Q418" i="10" a="1"/>
  <c r="Q418" i="10" s="1"/>
  <c r="P418" i="10" a="1"/>
  <c r="P418" i="10" s="1"/>
  <c r="T418" i="10" a="1"/>
  <c r="T418" i="10" s="1"/>
  <c r="R418" i="10" a="1"/>
  <c r="R418" i="10" s="1"/>
  <c r="U418" i="10"/>
  <c r="S418" i="10" a="1"/>
  <c r="S418" i="10" s="1"/>
  <c r="O421" i="10" a="1"/>
  <c r="O421" i="10" s="1"/>
  <c r="P419" i="10" a="1"/>
  <c r="P419" i="10" s="1"/>
  <c r="V419" i="10" a="1"/>
  <c r="V419" i="10" s="1"/>
  <c r="U419" i="10"/>
  <c r="R419" i="10" a="1"/>
  <c r="R419" i="10" s="1"/>
  <c r="S419" i="10" a="1"/>
  <c r="S419" i="10" s="1"/>
  <c r="T419" i="10" a="1"/>
  <c r="T419" i="10" s="1"/>
  <c r="Q419" i="10" a="1"/>
  <c r="Q419" i="10" s="1"/>
  <c r="O422" i="10" a="1"/>
  <c r="O422" i="10" s="1"/>
  <c r="T420" i="10" a="1"/>
  <c r="T420" i="10" s="1"/>
  <c r="S420" i="10" a="1"/>
  <c r="S420" i="10" s="1"/>
  <c r="U420" i="10"/>
  <c r="O423" i="10" a="1"/>
  <c r="O423" i="10" s="1"/>
  <c r="V420" i="10" a="1"/>
  <c r="V420" i="10" s="1"/>
  <c r="Q420" i="10" a="1"/>
  <c r="Q420" i="10" s="1"/>
  <c r="R420" i="10" a="1"/>
  <c r="R420" i="10" s="1"/>
  <c r="P420" i="10" a="1"/>
  <c r="P420" i="10" s="1"/>
  <c r="P421" i="10" a="1"/>
  <c r="P421" i="10" s="1"/>
  <c r="O424" i="10" a="1"/>
  <c r="O424" i="10" s="1"/>
  <c r="S421" i="10" a="1"/>
  <c r="S421" i="10" s="1"/>
  <c r="R421" i="10" a="1"/>
  <c r="R421" i="10" s="1"/>
  <c r="Q421" i="10" a="1"/>
  <c r="Q421" i="10" s="1"/>
  <c r="U421" i="10"/>
  <c r="V421" i="10" a="1"/>
  <c r="V421" i="10" s="1"/>
  <c r="T421" i="10" a="1"/>
  <c r="T421" i="10" s="1"/>
  <c r="U422" i="10"/>
  <c r="O425" i="10" a="1"/>
  <c r="O425" i="10" s="1"/>
  <c r="V422" i="10" a="1"/>
  <c r="V422" i="10" s="1"/>
  <c r="P422" i="10" a="1"/>
  <c r="P422" i="10" s="1"/>
  <c r="Q422" i="10" a="1"/>
  <c r="Q422" i="10" s="1"/>
  <c r="S422" i="10" a="1"/>
  <c r="S422" i="10" s="1"/>
  <c r="R422" i="10" a="1"/>
  <c r="R422" i="10" s="1"/>
  <c r="T422" i="10" a="1"/>
  <c r="T422" i="10" s="1"/>
  <c r="O426" i="10" a="1"/>
  <c r="O426" i="10" s="1"/>
  <c r="Q423" i="10" a="1"/>
  <c r="Q423" i="10" s="1"/>
  <c r="R423" i="10" a="1"/>
  <c r="R423" i="10" s="1"/>
  <c r="P423" i="10" a="1"/>
  <c r="P423" i="10" s="1"/>
  <c r="U423" i="10"/>
  <c r="V423" i="10" a="1"/>
  <c r="V423" i="10" s="1"/>
  <c r="S423" i="10" a="1"/>
  <c r="S423" i="10" s="1"/>
  <c r="T423" i="10" a="1"/>
  <c r="T423" i="10" s="1"/>
  <c r="O427" i="10" a="1"/>
  <c r="O427" i="10" s="1"/>
  <c r="V424" i="10" a="1"/>
  <c r="V424" i="10" s="1"/>
  <c r="T424" i="10" a="1"/>
  <c r="T424" i="10" s="1"/>
  <c r="Q424" i="10" a="1"/>
  <c r="Q424" i="10" s="1"/>
  <c r="P424" i="10" a="1"/>
  <c r="P424" i="10" s="1"/>
  <c r="S424" i="10" a="1"/>
  <c r="S424" i="10" s="1"/>
  <c r="U424" i="10"/>
  <c r="R424" i="10" a="1"/>
  <c r="R424" i="10" s="1"/>
  <c r="S425" i="10" a="1"/>
  <c r="S425" i="10" s="1"/>
  <c r="T425" i="10" a="1"/>
  <c r="T425" i="10" s="1"/>
  <c r="R425" i="10" a="1"/>
  <c r="R425" i="10" s="1"/>
  <c r="Q425" i="10" a="1"/>
  <c r="Q425" i="10" s="1"/>
  <c r="O428" i="10" a="1"/>
  <c r="O428" i="10" s="1"/>
  <c r="V425" i="10" a="1"/>
  <c r="V425" i="10" s="1"/>
  <c r="P425" i="10" a="1"/>
  <c r="P425" i="10" s="1"/>
  <c r="U425" i="10"/>
  <c r="T426" i="10" a="1"/>
  <c r="T426" i="10" s="1"/>
  <c r="P426" i="10" a="1"/>
  <c r="P426" i="10" s="1"/>
  <c r="R426" i="10" a="1"/>
  <c r="R426" i="10" s="1"/>
  <c r="S426" i="10" a="1"/>
  <c r="S426" i="10" s="1"/>
  <c r="U426" i="10"/>
  <c r="Q426" i="10" a="1"/>
  <c r="Q426" i="10" s="1"/>
  <c r="V426" i="10" a="1"/>
  <c r="V426" i="10" s="1"/>
  <c r="O429" i="10" a="1"/>
  <c r="O429" i="10" s="1"/>
  <c r="U427" i="10"/>
  <c r="R427" i="10" a="1"/>
  <c r="R427" i="10" s="1"/>
  <c r="P427" i="10" a="1"/>
  <c r="P427" i="10" s="1"/>
  <c r="S427" i="10" a="1"/>
  <c r="S427" i="10" s="1"/>
  <c r="T427" i="10" a="1"/>
  <c r="T427" i="10" s="1"/>
  <c r="Q427" i="10" a="1"/>
  <c r="Q427" i="10" s="1"/>
  <c r="V427" i="10" a="1"/>
  <c r="V427" i="10" s="1"/>
  <c r="S428" i="10" a="1"/>
  <c r="S428" i="10" s="1"/>
  <c r="U428" i="10"/>
  <c r="Q428" i="10" a="1"/>
  <c r="Q428" i="10" s="1"/>
  <c r="V428" i="10" a="1"/>
  <c r="V428" i="10" s="1"/>
  <c r="P428" i="10" a="1"/>
  <c r="P428" i="10" s="1"/>
  <c r="R428" i="10" a="1"/>
  <c r="R428" i="10" s="1"/>
  <c r="T428" i="10" a="1"/>
  <c r="T428" i="10" s="1"/>
  <c r="R429" i="10" a="1"/>
  <c r="R429" i="10" s="1"/>
  <c r="S429" i="10" a="1"/>
  <c r="S429" i="10" s="1"/>
  <c r="T429" i="10" a="1"/>
  <c r="T429" i="10" s="1"/>
  <c r="V429" i="10" a="1"/>
  <c r="V429" i="10" s="1"/>
  <c r="U429" i="10"/>
  <c r="Q429" i="10" a="1"/>
  <c r="Q429" i="10" s="1"/>
  <c r="P429" i="10" a="1"/>
  <c r="P429" i="10" s="1"/>
  <c r="U430" i="10"/>
  <c r="V430" i="10" a="1"/>
  <c r="V430" i="10" s="1"/>
  <c r="S430" i="10" a="1"/>
  <c r="S430" i="10" s="1"/>
  <c r="O430" i="10" a="1"/>
  <c r="O430" i="10" s="1"/>
  <c r="R430" i="10" a="1"/>
  <c r="R430" i="10" s="1"/>
  <c r="Q430" i="10" a="1"/>
  <c r="Q430" i="10" s="1"/>
  <c r="P430" i="10" a="1"/>
  <c r="P430" i="10" s="1"/>
  <c r="T430" i="10" a="1"/>
  <c r="T430" i="10" s="1"/>
  <c r="U431" i="10"/>
  <c r="T431" i="10" a="1"/>
  <c r="T431" i="10" s="1"/>
  <c r="O431" i="10" a="1"/>
  <c r="O431" i="10" s="1"/>
  <c r="R431" i="10" a="1"/>
  <c r="R431" i="10" s="1"/>
  <c r="V431" i="10" a="1"/>
  <c r="V431" i="10" s="1"/>
  <c r="P431" i="10" a="1"/>
  <c r="P431" i="10" s="1"/>
  <c r="S431" i="10" a="1"/>
  <c r="S431" i="10" s="1"/>
  <c r="Q431" i="10" a="1"/>
  <c r="Q431" i="10" s="1"/>
  <c r="T432" i="10" a="1"/>
  <c r="T432" i="10" s="1"/>
  <c r="V432" i="10" a="1"/>
  <c r="V432" i="10" s="1"/>
  <c r="P432" i="10" a="1"/>
  <c r="P432" i="10" s="1"/>
  <c r="U432" i="10"/>
  <c r="S432" i="10" a="1"/>
  <c r="S432" i="10" s="1"/>
  <c r="O432" i="10" a="1"/>
  <c r="O432" i="10" s="1"/>
  <c r="R432" i="10" a="1"/>
  <c r="R432" i="10" s="1"/>
  <c r="Q432" i="10" a="1"/>
  <c r="Q432" i="10" s="1"/>
  <c r="P433" i="10" a="1"/>
  <c r="P433" i="10" s="1"/>
  <c r="V433" i="10" a="1"/>
  <c r="V433" i="10" s="1"/>
  <c r="U433" i="10"/>
  <c r="T433" i="10" a="1"/>
  <c r="T433" i="10" s="1"/>
  <c r="R433" i="10" a="1"/>
  <c r="R433" i="10" s="1"/>
  <c r="O433" i="10" a="1"/>
  <c r="O433" i="10" s="1"/>
  <c r="S433" i="10" a="1"/>
  <c r="S433" i="10" s="1"/>
  <c r="Q433" i="10" a="1"/>
  <c r="Q433" i="10" s="1"/>
  <c r="T434" i="10" a="1"/>
  <c r="T434" i="10" s="1"/>
  <c r="S434" i="10" a="1"/>
  <c r="S434" i="10" s="1"/>
  <c r="R434" i="10" a="1"/>
  <c r="R434" i="10" s="1"/>
  <c r="O434" i="10" a="1"/>
  <c r="O434" i="10" s="1"/>
  <c r="Q434" i="10" a="1"/>
  <c r="Q434" i="10" s="1"/>
  <c r="U434" i="10"/>
  <c r="P434" i="10" a="1"/>
  <c r="P434" i="10" s="1"/>
  <c r="V434" i="10" a="1"/>
  <c r="V434" i="10" s="1"/>
  <c r="U435" i="10"/>
  <c r="P435" i="10" a="1"/>
  <c r="P435" i="10" s="1"/>
  <c r="R435" i="10" a="1"/>
  <c r="R435" i="10" s="1"/>
  <c r="O435" i="10" a="1"/>
  <c r="O435" i="10" s="1"/>
  <c r="T435" i="10" a="1"/>
  <c r="T435" i="10" s="1"/>
  <c r="V435" i="10" a="1"/>
  <c r="V435" i="10" s="1"/>
  <c r="Q435" i="10" a="1"/>
  <c r="Q435" i="10" s="1"/>
  <c r="S435" i="10" a="1"/>
  <c r="S435" i="10" s="1"/>
  <c r="S436" i="10" a="1"/>
  <c r="S436" i="10" s="1"/>
  <c r="O436" i="10" a="1"/>
  <c r="O436" i="10" s="1"/>
  <c r="U436" i="10"/>
  <c r="T436" i="10" a="1"/>
  <c r="T436" i="10" s="1"/>
  <c r="R436" i="10" a="1"/>
  <c r="R436" i="10" s="1"/>
  <c r="P436" i="10" a="1"/>
  <c r="P436" i="10" s="1"/>
  <c r="Q436" i="10" a="1"/>
  <c r="Q436" i="10" s="1"/>
  <c r="V436" i="10" a="1"/>
  <c r="V436" i="10" s="1"/>
  <c r="T437" i="10" a="1"/>
  <c r="T437" i="10" s="1"/>
  <c r="V437" i="10" a="1"/>
  <c r="V437" i="10" s="1"/>
  <c r="S437" i="10" a="1"/>
  <c r="S437" i="10" s="1"/>
  <c r="U437" i="10"/>
  <c r="Q437" i="10" a="1"/>
  <c r="Q437" i="10" s="1"/>
  <c r="O437" i="10" a="1"/>
  <c r="O437" i="10" s="1"/>
  <c r="P437" i="10" a="1"/>
  <c r="P437" i="10" s="1"/>
  <c r="R437" i="10" a="1"/>
  <c r="R437" i="10" s="1"/>
  <c r="Q438" i="10" a="1"/>
  <c r="Q438" i="10" s="1"/>
  <c r="U438" i="10"/>
  <c r="P438" i="10" a="1"/>
  <c r="P438" i="10" s="1"/>
  <c r="T438" i="10" a="1"/>
  <c r="T438" i="10" s="1"/>
  <c r="V438" i="10" a="1"/>
  <c r="V438" i="10" s="1"/>
  <c r="S438" i="10" a="1"/>
  <c r="S438" i="10" s="1"/>
  <c r="R438" i="10" a="1"/>
  <c r="R438" i="10" s="1"/>
  <c r="O438" i="10" a="1"/>
  <c r="O438" i="10" s="1"/>
  <c r="U439" i="10"/>
  <c r="P439" i="10" a="1"/>
  <c r="P439" i="10" s="1"/>
  <c r="O439" i="10" a="1"/>
  <c r="O439" i="10" s="1"/>
  <c r="R439" i="10" a="1"/>
  <c r="R439" i="10" s="1"/>
  <c r="V439" i="10" a="1"/>
  <c r="V439" i="10" s="1"/>
  <c r="Q439" i="10" a="1"/>
  <c r="Q439" i="10" s="1"/>
  <c r="S439" i="10" a="1"/>
  <c r="S439" i="10" s="1"/>
  <c r="T439" i="10" a="1"/>
  <c r="T439" i="10" s="1"/>
  <c r="T440" i="10" a="1"/>
  <c r="T440" i="10" s="1"/>
  <c r="R440" i="10" a="1"/>
  <c r="R440" i="10" s="1"/>
  <c r="U440" i="10"/>
  <c r="P440" i="10" a="1"/>
  <c r="P440" i="10" s="1"/>
  <c r="V440" i="10" a="1"/>
  <c r="V440" i="10" s="1"/>
  <c r="S440" i="10" a="1"/>
  <c r="S440" i="10" s="1"/>
  <c r="Q440" i="10" a="1"/>
  <c r="Q440" i="10" s="1"/>
  <c r="O440" i="10" a="1"/>
  <c r="O440" i="10" s="1"/>
  <c r="Q441" i="10" a="1"/>
  <c r="Q441" i="10" s="1"/>
  <c r="R441" i="10" a="1"/>
  <c r="R441" i="10" s="1"/>
  <c r="T441" i="10" a="1"/>
  <c r="T441" i="10" s="1"/>
  <c r="S441" i="10" a="1"/>
  <c r="S441" i="10" s="1"/>
  <c r="U441" i="10"/>
  <c r="P441" i="10" a="1"/>
  <c r="P441" i="10" s="1"/>
  <c r="V441" i="10" a="1"/>
  <c r="V441" i="10" s="1"/>
  <c r="O441" i="10" a="1"/>
  <c r="O441" i="10" s="1"/>
  <c r="Q442" i="10" a="1"/>
  <c r="Q442" i="10" s="1"/>
  <c r="S442" i="10" a="1"/>
  <c r="S442" i="10" s="1"/>
  <c r="R442" i="10" a="1"/>
  <c r="R442" i="10" s="1"/>
  <c r="T442" i="10" a="1"/>
  <c r="T442" i="10" s="1"/>
  <c r="V442" i="10" a="1"/>
  <c r="V442" i="10" s="1"/>
  <c r="U442" i="10"/>
  <c r="P442" i="10" a="1"/>
  <c r="P442" i="10" s="1"/>
  <c r="O442" i="10" a="1"/>
  <c r="O442" i="10" s="1"/>
  <c r="O443" i="10" a="1"/>
  <c r="O443" i="10" s="1"/>
  <c r="Q443" i="10" a="1"/>
  <c r="Q443" i="10" s="1"/>
  <c r="R443" i="10" a="1"/>
  <c r="R443" i="10" s="1"/>
  <c r="P443" i="10" a="1"/>
  <c r="P443" i="10" s="1"/>
  <c r="U443" i="10"/>
  <c r="S443" i="10" a="1"/>
  <c r="S443" i="10" s="1"/>
  <c r="V443" i="10" a="1"/>
  <c r="V443" i="10" s="1"/>
  <c r="T443" i="10" a="1"/>
  <c r="T443" i="10" s="1"/>
  <c r="O444" i="10" a="1"/>
  <c r="O444" i="10" s="1"/>
  <c r="S444" i="10" a="1"/>
  <c r="S444" i="10" s="1"/>
  <c r="Q444" i="10" a="1"/>
  <c r="Q444" i="10" s="1"/>
  <c r="P444" i="10" a="1"/>
  <c r="P444" i="10" s="1"/>
  <c r="U444" i="10"/>
  <c r="R444" i="10" a="1"/>
  <c r="R444" i="10" s="1"/>
  <c r="V444" i="10" a="1"/>
  <c r="V444" i="10" s="1"/>
  <c r="T444" i="10" a="1"/>
  <c r="T444" i="10" s="1"/>
  <c r="T445" i="10" a="1"/>
  <c r="T445" i="10" s="1"/>
  <c r="S445" i="10" a="1"/>
  <c r="S445" i="10" s="1"/>
  <c r="V445" i="10" a="1"/>
  <c r="V445" i="10" s="1"/>
  <c r="P445" i="10" a="1"/>
  <c r="P445" i="10" s="1"/>
  <c r="O445" i="10" a="1"/>
  <c r="O445" i="10" s="1"/>
  <c r="R445" i="10" a="1"/>
  <c r="R445" i="10" s="1"/>
  <c r="Q445" i="10" a="1"/>
  <c r="Q445" i="10" s="1"/>
  <c r="U445" i="10"/>
  <c r="T446" i="10" a="1"/>
  <c r="T446" i="10" s="1"/>
  <c r="V446" i="10" a="1"/>
  <c r="V446" i="10" s="1"/>
  <c r="S446" i="10" a="1"/>
  <c r="S446" i="10" s="1"/>
  <c r="Q446" i="10" a="1"/>
  <c r="Q446" i="10" s="1"/>
  <c r="R446" i="10" a="1"/>
  <c r="R446" i="10" s="1"/>
  <c r="O446" i="10" a="1"/>
  <c r="O446" i="10" s="1"/>
  <c r="U446" i="10"/>
  <c r="P446" i="10" a="1"/>
  <c r="P446" i="10" s="1"/>
  <c r="Q447" i="10" a="1"/>
  <c r="Q447" i="10" s="1"/>
  <c r="U447" i="10"/>
  <c r="P447" i="10" a="1"/>
  <c r="P447" i="10" s="1"/>
  <c r="S447" i="10" a="1"/>
  <c r="S447" i="10" s="1"/>
  <c r="R447" i="10" a="1"/>
  <c r="R447" i="10" s="1"/>
  <c r="O447" i="10" a="1"/>
  <c r="O447" i="10" s="1"/>
  <c r="V447" i="10" a="1"/>
  <c r="V447" i="10" s="1"/>
  <c r="T447" i="10" a="1"/>
  <c r="T447" i="10" s="1"/>
  <c r="S448" i="10" a="1"/>
  <c r="S448" i="10" s="1"/>
  <c r="R448" i="10" a="1"/>
  <c r="R448" i="10" s="1"/>
  <c r="U448" i="10"/>
  <c r="O448" i="10" a="1"/>
  <c r="O448" i="10" s="1"/>
  <c r="Q448" i="10" a="1"/>
  <c r="Q448" i="10" s="1"/>
  <c r="V448" i="10" a="1"/>
  <c r="V448" i="10" s="1"/>
  <c r="P448" i="10" a="1"/>
  <c r="P448" i="10" s="1"/>
  <c r="T448" i="10" a="1"/>
  <c r="T448" i="10" s="1"/>
  <c r="R449" i="10" a="1"/>
  <c r="R449" i="10" s="1"/>
  <c r="O449" i="10" a="1"/>
  <c r="O449" i="10" s="1"/>
  <c r="S449" i="10" a="1"/>
  <c r="S449" i="10" s="1"/>
  <c r="T449" i="10" a="1"/>
  <c r="T449" i="10" s="1"/>
  <c r="Q449" i="10" a="1"/>
  <c r="Q449" i="10" s="1"/>
  <c r="P449" i="10" a="1"/>
  <c r="P449" i="10" s="1"/>
  <c r="V449" i="10" a="1"/>
  <c r="V449" i="10" s="1"/>
  <c r="U449" i="10"/>
  <c r="U450" i="10"/>
  <c r="S450" i="10" a="1"/>
  <c r="S450" i="10" s="1"/>
  <c r="T450" i="10" a="1"/>
  <c r="T450" i="10" s="1"/>
  <c r="O450" i="10" a="1"/>
  <c r="O450" i="10" s="1"/>
  <c r="Q450" i="10" a="1"/>
  <c r="Q450" i="10" s="1"/>
  <c r="R450" i="10" a="1"/>
  <c r="R450" i="10" s="1"/>
  <c r="V450" i="10" a="1"/>
  <c r="V450" i="10" s="1"/>
  <c r="P450" i="10" a="1"/>
  <c r="P450" i="10" s="1"/>
  <c r="R451" i="10" a="1"/>
  <c r="R451" i="10" s="1"/>
  <c r="Q451" i="10" a="1"/>
  <c r="Q451" i="10" s="1"/>
  <c r="T451" i="10" a="1"/>
  <c r="T451" i="10" s="1"/>
  <c r="V451" i="10" a="1"/>
  <c r="V451" i="10" s="1"/>
  <c r="S451" i="10" a="1"/>
  <c r="S451" i="10" s="1"/>
  <c r="U451" i="10"/>
  <c r="O451" i="10" a="1"/>
  <c r="O451" i="10" s="1"/>
  <c r="P451" i="10" a="1"/>
  <c r="P451" i="10" s="1"/>
  <c r="O452" i="10" a="1"/>
  <c r="O452" i="10" s="1"/>
  <c r="R452" i="10" a="1"/>
  <c r="R452" i="10" s="1"/>
  <c r="V452" i="10" a="1"/>
  <c r="V452" i="10" s="1"/>
  <c r="P452" i="10" a="1"/>
  <c r="P452" i="10" s="1"/>
  <c r="Q452" i="10" a="1"/>
  <c r="Q452" i="10" s="1"/>
  <c r="S452" i="10" a="1"/>
  <c r="S452" i="10" s="1"/>
  <c r="T452" i="10" a="1"/>
  <c r="T452" i="10" s="1"/>
  <c r="U452" i="10"/>
  <c r="P453" i="10" a="1"/>
  <c r="P453" i="10" s="1"/>
  <c r="Q453" i="10" a="1"/>
  <c r="Q453" i="10" s="1"/>
  <c r="O453" i="10" a="1"/>
  <c r="O453" i="10" s="1"/>
  <c r="V453" i="10" a="1"/>
  <c r="V453" i="10" s="1"/>
  <c r="R453" i="10" a="1"/>
  <c r="R453" i="10" s="1"/>
  <c r="U453" i="10"/>
  <c r="S453" i="10" a="1"/>
  <c r="S453" i="10" s="1"/>
  <c r="T453" i="10" a="1"/>
  <c r="T453" i="10" s="1"/>
  <c r="R454" i="10" a="1"/>
  <c r="R454" i="10" s="1"/>
  <c r="O454" i="10" a="1"/>
  <c r="O454" i="10" s="1"/>
  <c r="S454" i="10" a="1"/>
  <c r="S454" i="10" s="1"/>
  <c r="P454" i="10" a="1"/>
  <c r="P454" i="10" s="1"/>
  <c r="T454" i="10" a="1"/>
  <c r="T454" i="10" s="1"/>
  <c r="V454" i="10" a="1"/>
  <c r="V454" i="10" s="1"/>
  <c r="U454" i="10"/>
  <c r="Q454" i="10" a="1"/>
  <c r="Q454" i="10" s="1"/>
  <c r="S455" i="10" a="1"/>
  <c r="S455" i="10" s="1"/>
  <c r="Q455" i="10" a="1"/>
  <c r="Q455" i="10" s="1"/>
  <c r="T455" i="10" a="1"/>
  <c r="T455" i="10" s="1"/>
  <c r="V455" i="10" a="1"/>
  <c r="V455" i="10" s="1"/>
  <c r="R455" i="10" a="1"/>
  <c r="R455" i="10" s="1"/>
  <c r="U455" i="10"/>
  <c r="P455" i="10" a="1"/>
  <c r="P455" i="10" s="1"/>
  <c r="O455" i="10" a="1"/>
  <c r="O455" i="10" s="1"/>
  <c r="P456" i="10" a="1"/>
  <c r="P456" i="10" s="1"/>
  <c r="T456" i="10" a="1"/>
  <c r="T456" i="10" s="1"/>
  <c r="R456" i="10" a="1"/>
  <c r="R456" i="10" s="1"/>
  <c r="Q456" i="10" a="1"/>
  <c r="Q456" i="10" s="1"/>
  <c r="U456" i="10"/>
  <c r="S456" i="10" a="1"/>
  <c r="S456" i="10" s="1"/>
  <c r="V456" i="10" a="1"/>
  <c r="V456" i="10" s="1"/>
  <c r="O456" i="10" a="1"/>
  <c r="O456" i="10" s="1"/>
  <c r="T457" i="10" a="1"/>
  <c r="T457" i="10" s="1"/>
  <c r="V457" i="10" a="1"/>
  <c r="V457" i="10" s="1"/>
  <c r="R457" i="10" a="1"/>
  <c r="R457" i="10" s="1"/>
  <c r="S457" i="10" a="1"/>
  <c r="S457" i="10" s="1"/>
  <c r="P457" i="10" a="1"/>
  <c r="P457" i="10" s="1"/>
  <c r="Q457" i="10" a="1"/>
  <c r="Q457" i="10" s="1"/>
  <c r="O457" i="10" a="1"/>
  <c r="O457" i="10" s="1"/>
  <c r="U457" i="10"/>
  <c r="T458" i="10" a="1"/>
  <c r="T458" i="10" s="1"/>
  <c r="O458" i="10" a="1"/>
  <c r="O458" i="10" s="1"/>
  <c r="V458" i="10" a="1"/>
  <c r="V458" i="10" s="1"/>
  <c r="S458" i="10" a="1"/>
  <c r="S458" i="10" s="1"/>
  <c r="P458" i="10" a="1"/>
  <c r="P458" i="10" s="1"/>
  <c r="R458" i="10" a="1"/>
  <c r="R458" i="10" s="1"/>
  <c r="U458" i="10"/>
  <c r="Q458" i="10" a="1"/>
  <c r="Q458" i="10" s="1"/>
  <c r="O459" i="10" a="1"/>
  <c r="O459" i="10" s="1"/>
  <c r="V459" i="10" a="1"/>
  <c r="V459" i="10" s="1"/>
  <c r="P459" i="10" a="1"/>
  <c r="P459" i="10" s="1"/>
  <c r="R459" i="10" a="1"/>
  <c r="R459" i="10" s="1"/>
  <c r="Q459" i="10" a="1"/>
  <c r="Q459" i="10" s="1"/>
  <c r="S459" i="10" a="1"/>
  <c r="S459" i="10" s="1"/>
  <c r="U459" i="10"/>
  <c r="T459" i="10" a="1"/>
  <c r="T459" i="10" s="1"/>
  <c r="O460" i="10" a="1"/>
  <c r="O460" i="10" s="1"/>
  <c r="T460" i="10" a="1"/>
  <c r="T460" i="10" s="1"/>
  <c r="S460" i="10" a="1"/>
  <c r="S460" i="10" s="1"/>
  <c r="P460" i="10" a="1"/>
  <c r="P460" i="10" s="1"/>
  <c r="V460" i="10" a="1"/>
  <c r="V460" i="10" s="1"/>
  <c r="Q460" i="10" a="1"/>
  <c r="Q460" i="10" s="1"/>
  <c r="R460" i="10" a="1"/>
  <c r="R460" i="10" s="1"/>
  <c r="U460" i="10"/>
  <c r="S461" i="10" a="1"/>
  <c r="S461" i="10" s="1"/>
  <c r="R461" i="10" a="1"/>
  <c r="R461" i="10" s="1"/>
  <c r="U461" i="10"/>
  <c r="O461" i="10" a="1"/>
  <c r="O461" i="10" s="1"/>
  <c r="Q461" i="10" a="1"/>
  <c r="Q461" i="10" s="1"/>
  <c r="T461" i="10" a="1"/>
  <c r="T461" i="10" s="1"/>
  <c r="P461" i="10" a="1"/>
  <c r="P461" i="10" s="1"/>
  <c r="V461" i="10" a="1"/>
  <c r="V461" i="10" s="1"/>
  <c r="O462" i="10" a="1"/>
  <c r="O462" i="10" s="1"/>
  <c r="P462" i="10" a="1"/>
  <c r="P462" i="10" s="1"/>
  <c r="T462" i="10" a="1"/>
  <c r="T462" i="10" s="1"/>
  <c r="R462" i="10" a="1"/>
  <c r="R462" i="10" s="1"/>
  <c r="U462" i="10"/>
  <c r="V462" i="10" a="1"/>
  <c r="V462" i="10" s="1"/>
  <c r="S462" i="10" a="1"/>
  <c r="S462" i="10" s="1"/>
  <c r="Q462" i="10" a="1"/>
  <c r="Q462" i="10" s="1"/>
  <c r="T463" i="10" a="1"/>
  <c r="T463" i="10" s="1"/>
  <c r="V463" i="10" a="1"/>
  <c r="V463" i="10" s="1"/>
  <c r="O463" i="10" a="1"/>
  <c r="O463" i="10" s="1"/>
  <c r="S463" i="10" a="1"/>
  <c r="S463" i="10" s="1"/>
  <c r="P463" i="10" a="1"/>
  <c r="P463" i="10" s="1"/>
  <c r="U463" i="10"/>
  <c r="R463" i="10" a="1"/>
  <c r="R463" i="10" s="1"/>
  <c r="Q463" i="10" a="1"/>
  <c r="Q463" i="10" s="1"/>
  <c r="R464" i="10" a="1"/>
  <c r="R464" i="10" s="1"/>
  <c r="U464" i="10"/>
  <c r="P464" i="10" a="1"/>
  <c r="P464" i="10" s="1"/>
  <c r="O464" i="10" a="1"/>
  <c r="O464" i="10" s="1"/>
  <c r="Q464" i="10" a="1"/>
  <c r="Q464" i="10" s="1"/>
  <c r="S464" i="10" a="1"/>
  <c r="S464" i="10" s="1"/>
  <c r="T464" i="10" a="1"/>
  <c r="T464" i="10" s="1"/>
  <c r="V464" i="10" a="1"/>
  <c r="V464" i="10" s="1"/>
  <c r="O465" i="10" a="1"/>
  <c r="O465" i="10" s="1"/>
  <c r="T465" i="10" a="1"/>
  <c r="T465" i="10" s="1"/>
  <c r="V465" i="10" a="1"/>
  <c r="V465" i="10" s="1"/>
  <c r="R465" i="10" a="1"/>
  <c r="R465" i="10" s="1"/>
  <c r="P465" i="10" a="1"/>
  <c r="P465" i="10" s="1"/>
  <c r="U465" i="10"/>
  <c r="S465" i="10" a="1"/>
  <c r="S465" i="10" s="1"/>
  <c r="Q465" i="10" a="1"/>
  <c r="Q465" i="10" s="1"/>
  <c r="V466" i="10" a="1"/>
  <c r="V466" i="10" s="1"/>
  <c r="O466" i="10" a="1"/>
  <c r="O466" i="10" s="1"/>
  <c r="T466" i="10" a="1"/>
  <c r="T466" i="10" s="1"/>
  <c r="U466" i="10"/>
  <c r="P466" i="10" a="1"/>
  <c r="P466" i="10" s="1"/>
  <c r="Q466" i="10" a="1"/>
  <c r="Q466" i="10" s="1"/>
  <c r="S466" i="10" a="1"/>
  <c r="S466" i="10" s="1"/>
  <c r="R466" i="10" a="1"/>
  <c r="R466" i="10" s="1"/>
  <c r="S467" i="10" a="1"/>
  <c r="S467" i="10" s="1"/>
  <c r="P467" i="10" a="1"/>
  <c r="P467" i="10" s="1"/>
  <c r="O467" i="10" a="1"/>
  <c r="O467" i="10" s="1"/>
  <c r="V467" i="10" a="1"/>
  <c r="V467" i="10" s="1"/>
  <c r="Q467" i="10" a="1"/>
  <c r="Q467" i="10" s="1"/>
  <c r="T467" i="10" a="1"/>
  <c r="T467" i="10" s="1"/>
  <c r="U467" i="10"/>
  <c r="R467" i="10" a="1"/>
  <c r="R467" i="10" s="1"/>
  <c r="R468" i="10" a="1"/>
  <c r="R468" i="10" s="1"/>
  <c r="T468" i="10" a="1"/>
  <c r="T468" i="10" s="1"/>
  <c r="O468" i="10" a="1"/>
  <c r="O468" i="10" s="1"/>
  <c r="U468" i="10"/>
  <c r="V468" i="10" a="1"/>
  <c r="V468" i="10" s="1"/>
  <c r="Q468" i="10" a="1"/>
  <c r="Q468" i="10" s="1"/>
  <c r="P468" i="10" a="1"/>
  <c r="P468" i="10" s="1"/>
  <c r="S468" i="10" a="1"/>
  <c r="S468" i="10" s="1"/>
  <c r="R469" i="10" a="1"/>
  <c r="R469" i="10" s="1"/>
  <c r="P469" i="10" a="1"/>
  <c r="P469" i="10" s="1"/>
  <c r="Q469" i="10" a="1"/>
  <c r="Q469" i="10" s="1"/>
  <c r="S469" i="10" a="1"/>
  <c r="S469" i="10" s="1"/>
  <c r="T469" i="10" a="1"/>
  <c r="T469" i="10" s="1"/>
  <c r="O469" i="10" a="1"/>
  <c r="O469" i="10" s="1"/>
  <c r="U469" i="10"/>
  <c r="V469" i="10" a="1"/>
  <c r="V469" i="10" s="1"/>
  <c r="O470" i="10" a="1"/>
  <c r="O470" i="10" s="1"/>
  <c r="S470" i="10" a="1"/>
  <c r="S470" i="10" s="1"/>
  <c r="U470" i="10"/>
  <c r="R470" i="10" a="1"/>
  <c r="R470" i="10" s="1"/>
  <c r="V470" i="10" a="1"/>
  <c r="V470" i="10" s="1"/>
  <c r="P470" i="10" a="1"/>
  <c r="P470" i="10" s="1"/>
  <c r="Q470" i="10" a="1"/>
  <c r="Q470" i="10" s="1"/>
  <c r="T470" i="10" a="1"/>
  <c r="T470" i="10" s="1"/>
  <c r="U471" i="10"/>
  <c r="Q471" i="10" a="1"/>
  <c r="Q471" i="10" s="1"/>
  <c r="R471" i="10" a="1"/>
  <c r="R471" i="10" s="1"/>
  <c r="S471" i="10" a="1"/>
  <c r="S471" i="10" s="1"/>
  <c r="O471" i="10" a="1"/>
  <c r="O471" i="10" s="1"/>
  <c r="T471" i="10" a="1"/>
  <c r="T471" i="10" s="1"/>
  <c r="P471" i="10" a="1"/>
  <c r="P471" i="10" s="1"/>
  <c r="V471" i="10" a="1"/>
  <c r="V471" i="10" s="1"/>
  <c r="R472" i="10" a="1"/>
  <c r="R472" i="10" s="1"/>
  <c r="S472" i="10" a="1"/>
  <c r="S472" i="10" s="1"/>
  <c r="O472" i="10" a="1"/>
  <c r="O472" i="10" s="1"/>
  <c r="V472" i="10" a="1"/>
  <c r="V472" i="10" s="1"/>
  <c r="P472" i="10" a="1"/>
  <c r="P472" i="10" s="1"/>
  <c r="T472" i="10" a="1"/>
  <c r="T472" i="10" s="1"/>
  <c r="U472" i="10"/>
  <c r="Q472" i="10" a="1"/>
  <c r="Q472" i="10" s="1"/>
  <c r="Q473" i="10" a="1"/>
  <c r="Q473" i="10" s="1"/>
  <c r="R473" i="10" a="1"/>
  <c r="R473" i="10" s="1"/>
  <c r="V473" i="10" a="1"/>
  <c r="V473" i="10" s="1"/>
  <c r="O473" i="10" a="1"/>
  <c r="O473" i="10" s="1"/>
  <c r="P473" i="10" a="1"/>
  <c r="P473" i="10" s="1"/>
  <c r="T473" i="10" a="1"/>
  <c r="T473" i="10" s="1"/>
  <c r="S473" i="10" a="1"/>
  <c r="S473" i="10" s="1"/>
  <c r="U473" i="10"/>
  <c r="O474" i="10" a="1"/>
  <c r="O474" i="10" s="1"/>
  <c r="Q474" i="10" a="1"/>
  <c r="Q474" i="10" s="1"/>
  <c r="S474" i="10" a="1"/>
  <c r="S474" i="10" s="1"/>
  <c r="P474" i="10" a="1"/>
  <c r="P474" i="10" s="1"/>
  <c r="T474" i="10" a="1"/>
  <c r="T474" i="10" s="1"/>
  <c r="R474" i="10" a="1"/>
  <c r="R474" i="10" s="1"/>
  <c r="V474" i="10" a="1"/>
  <c r="V474" i="10" s="1"/>
  <c r="U474" i="10"/>
  <c r="Q475" i="10" a="1"/>
  <c r="Q475" i="10" s="1"/>
  <c r="O475" i="10" a="1"/>
  <c r="O475" i="10" s="1"/>
  <c r="U475" i="10"/>
  <c r="R475" i="10" a="1"/>
  <c r="R475" i="10" s="1"/>
  <c r="S475" i="10" a="1"/>
  <c r="S475" i="10" s="1"/>
  <c r="V475" i="10" a="1"/>
  <c r="V475" i="10" s="1"/>
  <c r="P475" i="10" a="1"/>
  <c r="P475" i="10" s="1"/>
  <c r="T475" i="10" a="1"/>
  <c r="T475" i="10" s="1"/>
  <c r="U476" i="10"/>
  <c r="Q476" i="10" a="1"/>
  <c r="Q476" i="10" s="1"/>
  <c r="S476" i="10" a="1"/>
  <c r="S476" i="10" s="1"/>
  <c r="R476" i="10" a="1"/>
  <c r="R476" i="10" s="1"/>
  <c r="O476" i="10" a="1"/>
  <c r="O476" i="10" s="1"/>
  <c r="V476" i="10" a="1"/>
  <c r="V476" i="10" s="1"/>
  <c r="T476" i="10" a="1"/>
  <c r="T476" i="10" s="1"/>
  <c r="P476" i="10" a="1"/>
  <c r="P476" i="10" s="1"/>
  <c r="U477" i="10"/>
  <c r="R477" i="10" a="1"/>
  <c r="R477" i="10" s="1"/>
  <c r="P477" i="10" a="1"/>
  <c r="P477" i="10" s="1"/>
  <c r="T477" i="10" a="1"/>
  <c r="T477" i="10" s="1"/>
  <c r="O477" i="10" a="1"/>
  <c r="O477" i="10" s="1"/>
  <c r="V477" i="10" a="1"/>
  <c r="V477" i="10" s="1"/>
  <c r="Q477" i="10" a="1"/>
  <c r="Q477" i="10" s="1"/>
  <c r="S477" i="10" a="1"/>
  <c r="S477" i="10" s="1"/>
  <c r="P478" i="10" a="1"/>
  <c r="P478" i="10" s="1"/>
  <c r="T478" i="10" a="1"/>
  <c r="T478" i="10" s="1"/>
  <c r="Q478" i="10" a="1"/>
  <c r="Q478" i="10" s="1"/>
  <c r="R478" i="10" a="1"/>
  <c r="R478" i="10" s="1"/>
  <c r="O478" i="10" a="1"/>
  <c r="O478" i="10" s="1"/>
  <c r="S478" i="10" a="1"/>
  <c r="S478" i="10" s="1"/>
  <c r="V478" i="10" a="1"/>
  <c r="V478" i="10" s="1"/>
  <c r="U478" i="10"/>
  <c r="U479" i="10"/>
  <c r="R479" i="10" a="1"/>
  <c r="R479" i="10" s="1"/>
  <c r="O479" i="10" a="1"/>
  <c r="O479" i="10" s="1"/>
  <c r="S479" i="10" a="1"/>
  <c r="S479" i="10" s="1"/>
  <c r="Q479" i="10" a="1"/>
  <c r="Q479" i="10" s="1"/>
  <c r="V479" i="10" a="1"/>
  <c r="V479" i="10" s="1"/>
  <c r="P479" i="10" a="1"/>
  <c r="P479" i="10" s="1"/>
  <c r="T479" i="10" a="1"/>
  <c r="T479" i="10" s="1"/>
  <c r="V480" i="10" a="1"/>
  <c r="V480" i="10" s="1"/>
  <c r="S480" i="10" a="1"/>
  <c r="S480" i="10" s="1"/>
  <c r="R480" i="10" a="1"/>
  <c r="R480" i="10" s="1"/>
  <c r="T480" i="10" a="1"/>
  <c r="T480" i="10" s="1"/>
  <c r="P480" i="10" a="1"/>
  <c r="P480" i="10" s="1"/>
  <c r="U480" i="10"/>
  <c r="Q480" i="10" a="1"/>
  <c r="Q480" i="10" s="1"/>
  <c r="O480" i="10" a="1"/>
  <c r="O480" i="10" s="1"/>
  <c r="Q481" i="10" a="1"/>
  <c r="Q481" i="10" s="1"/>
  <c r="S481" i="10" a="1"/>
  <c r="S481" i="10" s="1"/>
  <c r="U481" i="10"/>
  <c r="V481" i="10" a="1"/>
  <c r="V481" i="10" s="1"/>
  <c r="P481" i="10" a="1"/>
  <c r="P481" i="10" s="1"/>
  <c r="R481" i="10" a="1"/>
  <c r="R481" i="10" s="1"/>
  <c r="T481" i="10" a="1"/>
  <c r="T481" i="10" s="1"/>
  <c r="O481" i="10" a="1"/>
  <c r="O481" i="10" s="1"/>
  <c r="S482" i="10" a="1"/>
  <c r="S482" i="10" s="1"/>
  <c r="U482" i="10"/>
  <c r="P482" i="10" a="1"/>
  <c r="P482" i="10" s="1"/>
  <c r="Q482" i="10" a="1"/>
  <c r="Q482" i="10" s="1"/>
  <c r="O482" i="10" a="1"/>
  <c r="O482" i="10" s="1"/>
  <c r="V482" i="10" a="1"/>
  <c r="V482" i="10" s="1"/>
  <c r="T482" i="10" a="1"/>
  <c r="T482" i="10" s="1"/>
  <c r="R482" i="10" a="1"/>
  <c r="R482" i="10" s="1"/>
  <c r="O483" i="10" a="1"/>
  <c r="O483" i="10" s="1"/>
  <c r="Q483" i="10" a="1"/>
  <c r="Q483" i="10" s="1"/>
  <c r="T483" i="10" a="1"/>
  <c r="T483" i="10" s="1"/>
  <c r="S483" i="10" a="1"/>
  <c r="S483" i="10" s="1"/>
  <c r="U483" i="10"/>
  <c r="P483" i="10" a="1"/>
  <c r="P483" i="10" s="1"/>
  <c r="R483" i="10" a="1"/>
  <c r="R483" i="10" s="1"/>
  <c r="V483" i="10" a="1"/>
  <c r="V483" i="10" s="1"/>
  <c r="S484" i="10" a="1"/>
  <c r="S484" i="10" s="1"/>
  <c r="R484" i="10" a="1"/>
  <c r="R484" i="10" s="1"/>
  <c r="Q484" i="10" a="1"/>
  <c r="Q484" i="10" s="1"/>
  <c r="O484" i="10" a="1"/>
  <c r="O484" i="10" s="1"/>
  <c r="T484" i="10" a="1"/>
  <c r="T484" i="10" s="1"/>
  <c r="P484" i="10" a="1"/>
  <c r="P484" i="10" s="1"/>
  <c r="V484" i="10" a="1"/>
  <c r="V484" i="10" s="1"/>
  <c r="U484" i="10"/>
  <c r="P485" i="10" a="1"/>
  <c r="P485" i="10" s="1"/>
  <c r="T485" i="10" a="1"/>
  <c r="T485" i="10" s="1"/>
  <c r="Q485" i="10" a="1"/>
  <c r="Q485" i="10" s="1"/>
  <c r="U485" i="10"/>
  <c r="R485" i="10" a="1"/>
  <c r="R485" i="10" s="1"/>
  <c r="S485" i="10" a="1"/>
  <c r="S485" i="10" s="1"/>
  <c r="V485" i="10" a="1"/>
  <c r="V485" i="10" s="1"/>
  <c r="O485" i="10" a="1"/>
  <c r="O485" i="10" s="1"/>
  <c r="U486" i="10"/>
  <c r="S486" i="10" a="1"/>
  <c r="S486" i="10" s="1"/>
  <c r="Q486" i="10" a="1"/>
  <c r="Q486" i="10" s="1"/>
  <c r="V486" i="10" a="1"/>
  <c r="V486" i="10" s="1"/>
  <c r="P486" i="10" a="1"/>
  <c r="P486" i="10" s="1"/>
  <c r="T486" i="10" a="1"/>
  <c r="T486" i="10" s="1"/>
  <c r="R486" i="10" a="1"/>
  <c r="R486" i="10" s="1"/>
  <c r="O486" i="10" a="1"/>
  <c r="O486" i="10" s="1"/>
  <c r="R487" i="10" a="1"/>
  <c r="R487" i="10" s="1"/>
  <c r="S487" i="10" a="1"/>
  <c r="S487" i="10" s="1"/>
  <c r="O487" i="10" a="1"/>
  <c r="O487" i="10" s="1"/>
  <c r="V487" i="10" a="1"/>
  <c r="V487" i="10" s="1"/>
  <c r="U487" i="10"/>
  <c r="T487" i="10" a="1"/>
  <c r="T487" i="10" s="1"/>
  <c r="Q487" i="10" a="1"/>
  <c r="Q487" i="10" s="1"/>
  <c r="P487" i="10" a="1"/>
  <c r="P487" i="10" s="1"/>
  <c r="Q488" i="10" a="1"/>
  <c r="Q488" i="10" s="1"/>
  <c r="O488" i="10" a="1"/>
  <c r="O488" i="10" s="1"/>
  <c r="S488" i="10" a="1"/>
  <c r="S488" i="10" s="1"/>
  <c r="R488" i="10" a="1"/>
  <c r="R488" i="10" s="1"/>
  <c r="T488" i="10" a="1"/>
  <c r="T488" i="10" s="1"/>
  <c r="P488" i="10" a="1"/>
  <c r="P488" i="10" s="1"/>
  <c r="V488" i="10" a="1"/>
  <c r="V488" i="10" s="1"/>
  <c r="U488" i="10"/>
  <c r="U489" i="10"/>
  <c r="O489" i="10" a="1"/>
  <c r="O489" i="10" s="1"/>
  <c r="V489" i="10" a="1"/>
  <c r="V489" i="10" s="1"/>
  <c r="S489" i="10" a="1"/>
  <c r="S489" i="10" s="1"/>
  <c r="Q489" i="10" a="1"/>
  <c r="Q489" i="10" s="1"/>
  <c r="P489" i="10" a="1"/>
  <c r="P489" i="10" s="1"/>
  <c r="T489" i="10" a="1"/>
  <c r="T489" i="10" s="1"/>
  <c r="R489" i="10" a="1"/>
  <c r="R489" i="10" s="1"/>
  <c r="P490" i="10" a="1"/>
  <c r="P490" i="10" s="1"/>
  <c r="V490" i="10" a="1"/>
  <c r="V490" i="10" s="1"/>
  <c r="T490" i="10" a="1"/>
  <c r="T490" i="10" s="1"/>
  <c r="Q490" i="10" a="1"/>
  <c r="Q490" i="10" s="1"/>
  <c r="S490" i="10" a="1"/>
  <c r="S490" i="10" s="1"/>
  <c r="R490" i="10" a="1"/>
  <c r="R490" i="10" s="1"/>
  <c r="U490" i="10"/>
  <c r="O490" i="10" a="1"/>
  <c r="O490" i="10" s="1"/>
  <c r="R491" i="10" a="1"/>
  <c r="R491" i="10" s="1"/>
  <c r="Q491" i="10" a="1"/>
  <c r="Q491" i="10" s="1"/>
  <c r="S491" i="10" a="1"/>
  <c r="S491" i="10" s="1"/>
  <c r="U491" i="10"/>
  <c r="T491" i="10" a="1"/>
  <c r="T491" i="10" s="1"/>
  <c r="V491" i="10" a="1"/>
  <c r="V491" i="10" s="1"/>
  <c r="P491" i="10" a="1"/>
  <c r="P491" i="10" s="1"/>
  <c r="O491" i="10" a="1"/>
  <c r="O491" i="10" s="1"/>
  <c r="U492" i="10"/>
  <c r="R492" i="10" a="1"/>
  <c r="R492" i="10" s="1"/>
  <c r="O492" i="10" a="1"/>
  <c r="O492" i="10" s="1"/>
  <c r="Q492" i="10" a="1"/>
  <c r="Q492" i="10" s="1"/>
  <c r="P492" i="10" a="1"/>
  <c r="P492" i="10" s="1"/>
  <c r="S492" i="10" a="1"/>
  <c r="S492" i="10" s="1"/>
  <c r="T492" i="10" a="1"/>
  <c r="T492" i="10" s="1"/>
  <c r="V492" i="10" a="1"/>
  <c r="V492" i="10" s="1"/>
  <c r="T493" i="10" a="1"/>
  <c r="T493" i="10" s="1"/>
  <c r="O493" i="10" a="1"/>
  <c r="O493" i="10" s="1"/>
  <c r="R493" i="10" a="1"/>
  <c r="R493" i="10" s="1"/>
  <c r="P493" i="10" a="1"/>
  <c r="P493" i="10" s="1"/>
  <c r="Q493" i="10" a="1"/>
  <c r="Q493" i="10" s="1"/>
  <c r="V493" i="10" a="1"/>
  <c r="V493" i="10" s="1"/>
  <c r="S493" i="10" a="1"/>
  <c r="S493" i="10" s="1"/>
  <c r="U493" i="10"/>
  <c r="S494" i="10" a="1"/>
  <c r="S494" i="10" s="1"/>
  <c r="Q494" i="10" a="1"/>
  <c r="Q494" i="10" s="1"/>
  <c r="T494" i="10" a="1"/>
  <c r="T494" i="10" s="1"/>
  <c r="V494" i="10" a="1"/>
  <c r="V494" i="10" s="1"/>
  <c r="R494" i="10" a="1"/>
  <c r="R494" i="10" s="1"/>
  <c r="O494" i="10" a="1"/>
  <c r="O494" i="10" s="1"/>
  <c r="P494" i="10" a="1"/>
  <c r="P494" i="10" s="1"/>
  <c r="U494" i="10"/>
  <c r="P495" i="10" a="1"/>
  <c r="P495" i="10" s="1"/>
  <c r="U495" i="10"/>
  <c r="Q495" i="10" a="1"/>
  <c r="Q495" i="10" s="1"/>
  <c r="T495" i="10" a="1"/>
  <c r="T495" i="10" s="1"/>
  <c r="S495" i="10" a="1"/>
  <c r="S495" i="10" s="1"/>
  <c r="V495" i="10" a="1"/>
  <c r="V495" i="10" s="1"/>
  <c r="R495" i="10" a="1"/>
  <c r="R495" i="10" s="1"/>
  <c r="O495" i="10" a="1"/>
  <c r="O495" i="10" s="1"/>
  <c r="Q496" i="10" a="1"/>
  <c r="Q496" i="10" s="1"/>
  <c r="T496" i="10" a="1"/>
  <c r="T496" i="10" s="1"/>
  <c r="V496" i="10" a="1"/>
  <c r="V496" i="10" s="1"/>
  <c r="U496" i="10"/>
  <c r="R496" i="10" a="1"/>
  <c r="R496" i="10" s="1"/>
  <c r="P496" i="10" a="1"/>
  <c r="P496" i="10" s="1"/>
  <c r="S496" i="10" a="1"/>
  <c r="S496" i="10" s="1"/>
  <c r="O496" i="10" a="1"/>
  <c r="O496" i="10" s="1"/>
  <c r="P497" i="10" a="1"/>
  <c r="P497" i="10" s="1"/>
  <c r="U497" i="10"/>
  <c r="V497" i="10" a="1"/>
  <c r="V497" i="10" s="1"/>
  <c r="Q497" i="10" a="1"/>
  <c r="Q497" i="10" s="1"/>
  <c r="R497" i="10" a="1"/>
  <c r="R497" i="10" s="1"/>
  <c r="O497" i="10" a="1"/>
  <c r="O497" i="10" s="1"/>
  <c r="T497" i="10" a="1"/>
  <c r="T497" i="10" s="1"/>
  <c r="S497" i="10" a="1"/>
  <c r="S497" i="10" s="1"/>
  <c r="U498" i="10"/>
  <c r="V498" i="10" a="1"/>
  <c r="V498" i="10" s="1"/>
  <c r="R498" i="10" a="1"/>
  <c r="R498" i="10" s="1"/>
  <c r="Q498" i="10" a="1"/>
  <c r="Q498" i="10" s="1"/>
  <c r="S498" i="10" a="1"/>
  <c r="S498" i="10" s="1"/>
  <c r="P498" i="10" a="1"/>
  <c r="P498" i="10" s="1"/>
  <c r="T498" i="10" a="1"/>
  <c r="T498" i="10" s="1"/>
  <c r="O498" i="10" a="1"/>
  <c r="O498" i="10" s="1"/>
  <c r="S499" i="10" a="1"/>
  <c r="S499" i="10" s="1"/>
  <c r="P499" i="10" a="1"/>
  <c r="P499" i="10" s="1"/>
  <c r="U499" i="10"/>
  <c r="R499" i="10" a="1"/>
  <c r="R499" i="10" s="1"/>
  <c r="O499" i="10" a="1"/>
  <c r="O499" i="10" s="1"/>
  <c r="Q499" i="10" a="1"/>
  <c r="Q499" i="10" s="1"/>
  <c r="T499" i="10" a="1"/>
  <c r="T499" i="10" s="1"/>
  <c r="V499" i="10" a="1"/>
  <c r="V499" i="10" s="1"/>
  <c r="V500" i="10" a="1"/>
  <c r="V500" i="10" s="1"/>
  <c r="P500" i="10" a="1"/>
  <c r="P500" i="10" s="1"/>
  <c r="R500" i="10" a="1"/>
  <c r="R500" i="10" s="1"/>
  <c r="O500" i="10" a="1"/>
  <c r="O500" i="10" s="1"/>
  <c r="U500" i="10"/>
  <c r="Q500" i="10" a="1"/>
  <c r="Q500" i="10" s="1"/>
  <c r="T500" i="10" a="1"/>
  <c r="T500" i="10" s="1"/>
  <c r="S500" i="10" a="1"/>
  <c r="S500" i="10" s="1"/>
  <c r="S501" i="10" a="1"/>
  <c r="S501" i="10" s="1"/>
  <c r="T501" i="10" a="1"/>
  <c r="T501" i="10" s="1"/>
  <c r="R501" i="10" a="1"/>
  <c r="R501" i="10" s="1"/>
  <c r="O501" i="10" a="1"/>
  <c r="O501" i="10" s="1"/>
  <c r="Q501" i="10" a="1"/>
  <c r="Q501" i="10" s="1"/>
  <c r="U501" i="10"/>
  <c r="V501" i="10" a="1"/>
  <c r="V501" i="10" s="1"/>
  <c r="P501" i="10" a="1"/>
  <c r="P501" i="10" s="1"/>
  <c r="T502" i="10" a="1"/>
  <c r="T502" i="10" s="1"/>
  <c r="O502" i="10" a="1"/>
  <c r="O502" i="10" s="1"/>
  <c r="R502" i="10" a="1"/>
  <c r="R502" i="10" s="1"/>
  <c r="Q502" i="10" a="1"/>
  <c r="Q502" i="10" s="1"/>
  <c r="P502" i="10" a="1"/>
  <c r="P502" i="10" s="1"/>
  <c r="V502" i="10" a="1"/>
  <c r="V502" i="10" s="1"/>
  <c r="U502" i="10"/>
  <c r="S502" i="10" a="1"/>
  <c r="S502" i="10" s="1"/>
  <c r="Q503" i="10" a="1"/>
  <c r="Q503" i="10" s="1"/>
  <c r="T503" i="10" a="1"/>
  <c r="T503" i="10" s="1"/>
  <c r="V503" i="10" a="1"/>
  <c r="V503" i="10" s="1"/>
  <c r="O503" i="10" a="1"/>
  <c r="O503" i="10" s="1"/>
  <c r="R503" i="10" a="1"/>
  <c r="R503" i="10" s="1"/>
  <c r="U503" i="10"/>
  <c r="P503" i="10" a="1"/>
  <c r="P503" i="10" s="1"/>
  <c r="S503" i="10" a="1"/>
  <c r="S503" i="10" s="1"/>
  <c r="P504" i="10" a="1"/>
  <c r="P504" i="10" s="1"/>
  <c r="Q504" i="10" a="1"/>
  <c r="Q504" i="10" s="1"/>
  <c r="V504" i="10" a="1"/>
  <c r="V504" i="10" s="1"/>
  <c r="S504" i="10" a="1"/>
  <c r="S504" i="10" s="1"/>
  <c r="U504" i="10"/>
  <c r="O504" i="10" a="1"/>
  <c r="O504" i="10" s="1"/>
  <c r="R504" i="10" a="1"/>
  <c r="R504" i="10" s="1"/>
  <c r="T504" i="10" a="1"/>
  <c r="T504" i="10" s="1"/>
  <c r="S505" i="10" a="1"/>
  <c r="S505" i="10" s="1"/>
  <c r="Q505" i="10" a="1"/>
  <c r="Q505" i="10" s="1"/>
  <c r="P505" i="10" a="1"/>
  <c r="P505" i="10" s="1"/>
  <c r="R505" i="10" a="1"/>
  <c r="R505" i="10" s="1"/>
  <c r="V505" i="10" a="1"/>
  <c r="V505" i="10" s="1"/>
  <c r="T505" i="10" a="1"/>
  <c r="T505" i="10" s="1"/>
  <c r="O505" i="10" a="1"/>
  <c r="O505" i="10" s="1"/>
  <c r="U505" i="10"/>
  <c r="P506" i="10" a="1"/>
  <c r="P506" i="10" s="1"/>
  <c r="T506" i="10" a="1"/>
  <c r="T506" i="10" s="1"/>
  <c r="O506" i="10" a="1"/>
  <c r="O506" i="10" s="1"/>
  <c r="R506" i="10" a="1"/>
  <c r="R506" i="10" s="1"/>
  <c r="Q506" i="10" a="1"/>
  <c r="Q506" i="10" s="1"/>
  <c r="S506" i="10" a="1"/>
  <c r="S506" i="10" s="1"/>
  <c r="U506" i="10"/>
  <c r="V506" i="10" a="1"/>
  <c r="V506" i="10" s="1"/>
  <c r="P507" i="10" a="1"/>
  <c r="P507" i="10" s="1"/>
  <c r="T507" i="10" a="1"/>
  <c r="T507" i="10" s="1"/>
  <c r="V507" i="10" a="1"/>
  <c r="V507" i="10" s="1"/>
  <c r="O507" i="10" a="1"/>
  <c r="O507" i="10" s="1"/>
  <c r="U507" i="10"/>
  <c r="S507" i="10" a="1"/>
  <c r="S507" i="10" s="1"/>
  <c r="Q507" i="10" a="1"/>
  <c r="Q507" i="10" s="1"/>
  <c r="R507" i="10" a="1"/>
  <c r="R507" i="10" s="1"/>
  <c r="Q508" i="10" a="1"/>
  <c r="Q508" i="10" s="1"/>
  <c r="V508" i="10" a="1"/>
  <c r="V508" i="10" s="1"/>
  <c r="U508" i="10"/>
  <c r="S508" i="10" a="1"/>
  <c r="S508" i="10" s="1"/>
  <c r="P508" i="10" a="1"/>
  <c r="P508" i="10" s="1"/>
  <c r="R508" i="10" a="1"/>
  <c r="R508" i="10" s="1"/>
  <c r="T508" i="10" a="1"/>
  <c r="T508" i="10" s="1"/>
  <c r="O508" i="10" a="1"/>
  <c r="O508" i="10" s="1"/>
  <c r="U509" i="10"/>
  <c r="V509" i="10" a="1"/>
  <c r="V509" i="10" s="1"/>
  <c r="O509" i="10" a="1"/>
  <c r="O509" i="10" s="1"/>
  <c r="S509" i="10" a="1"/>
  <c r="S509" i="10" s="1"/>
  <c r="P509" i="10" a="1"/>
  <c r="P509" i="10" s="1"/>
  <c r="T509" i="10" a="1"/>
  <c r="T509" i="10" s="1"/>
  <c r="R509" i="10" a="1"/>
  <c r="R509" i="10" s="1"/>
  <c r="Q509" i="10" a="1"/>
  <c r="Q509" i="10" s="1"/>
  <c r="V510" i="10" a="1"/>
  <c r="V510" i="10" s="1"/>
  <c r="U510" i="10"/>
  <c r="S510" i="10" a="1"/>
  <c r="S510" i="10" s="1"/>
  <c r="O510" i="10" a="1"/>
  <c r="O510" i="10" s="1"/>
  <c r="P510" i="10" a="1"/>
  <c r="P510" i="10" s="1"/>
  <c r="T510" i="10" a="1"/>
  <c r="T510" i="10" s="1"/>
  <c r="Q510" i="10" a="1"/>
  <c r="Q510" i="10" s="1"/>
  <c r="R510" i="10" a="1"/>
  <c r="R510" i="10" s="1"/>
  <c r="V511" i="10" a="1"/>
  <c r="V511" i="10" s="1"/>
  <c r="P511" i="10" a="1"/>
  <c r="P511" i="10" s="1"/>
  <c r="S511" i="10" a="1"/>
  <c r="S511" i="10" s="1"/>
  <c r="Q511" i="10" a="1"/>
  <c r="Q511" i="10" s="1"/>
  <c r="O511" i="10" a="1"/>
  <c r="O511" i="10" s="1"/>
  <c r="U511" i="10"/>
  <c r="T511" i="10" a="1"/>
  <c r="T511" i="10" s="1"/>
  <c r="R511" i="10" a="1"/>
  <c r="R511" i="10" s="1"/>
  <c r="U512" i="10"/>
  <c r="P512" i="10" a="1"/>
  <c r="P512" i="10" s="1"/>
  <c r="V512" i="10" a="1"/>
  <c r="V512" i="10" s="1"/>
  <c r="O512" i="10" a="1"/>
  <c r="O512" i="10" s="1"/>
  <c r="R512" i="10" a="1"/>
  <c r="R512" i="10" s="1"/>
  <c r="T512" i="10" a="1"/>
  <c r="T512" i="10" s="1"/>
  <c r="Q512" i="10" a="1"/>
  <c r="Q512" i="10" s="1"/>
  <c r="S512" i="10" a="1"/>
  <c r="S512" i="10" s="1"/>
  <c r="Q513" i="10" a="1"/>
  <c r="Q513" i="10" s="1"/>
  <c r="P513" i="10" a="1"/>
  <c r="P513" i="10" s="1"/>
  <c r="O513" i="10" a="1"/>
  <c r="O513" i="10" s="1"/>
  <c r="R513" i="10" a="1"/>
  <c r="R513" i="10" s="1"/>
  <c r="T513" i="10" a="1"/>
  <c r="T513" i="10" s="1"/>
  <c r="V513" i="10" a="1"/>
  <c r="V513" i="10" s="1"/>
  <c r="S513" i="10" a="1"/>
  <c r="S513" i="10" s="1"/>
  <c r="U513" i="10"/>
  <c r="Q514" i="10" a="1"/>
  <c r="Q514" i="10" s="1"/>
  <c r="O514" i="10" a="1"/>
  <c r="O514" i="10" s="1"/>
  <c r="T514" i="10" a="1"/>
  <c r="T514" i="10" s="1"/>
  <c r="S514" i="10" a="1"/>
  <c r="S514" i="10" s="1"/>
  <c r="P514" i="10" a="1"/>
  <c r="P514" i="10" s="1"/>
  <c r="U514" i="10"/>
  <c r="R514" i="10" a="1"/>
  <c r="R514" i="10" s="1"/>
  <c r="V514" i="10" a="1"/>
  <c r="V514" i="10" s="1"/>
  <c r="V515" i="10" a="1"/>
  <c r="V515" i="10" s="1"/>
  <c r="P515" i="10" a="1"/>
  <c r="P515" i="10" s="1"/>
  <c r="T515" i="10" a="1"/>
  <c r="T515" i="10" s="1"/>
  <c r="S515" i="10" a="1"/>
  <c r="S515" i="10" s="1"/>
  <c r="Q515" i="10" a="1"/>
  <c r="Q515" i="10" s="1"/>
  <c r="R515" i="10" a="1"/>
  <c r="R515" i="10" s="1"/>
  <c r="U515" i="10"/>
  <c r="O515" i="10" a="1"/>
  <c r="O515" i="10" s="1"/>
  <c r="Q516" i="10" a="1"/>
  <c r="Q516" i="10" s="1"/>
  <c r="S516" i="10" a="1"/>
  <c r="S516" i="10" s="1"/>
  <c r="P516" i="10" a="1"/>
  <c r="P516" i="10" s="1"/>
  <c r="R516" i="10" a="1"/>
  <c r="R516" i="10" s="1"/>
  <c r="V516" i="10" a="1"/>
  <c r="V516" i="10" s="1"/>
  <c r="O516" i="10" a="1"/>
  <c r="O516" i="10" s="1"/>
  <c r="U516" i="10"/>
  <c r="T516" i="10" a="1"/>
  <c r="T516" i="10" s="1"/>
  <c r="T517" i="10" a="1"/>
  <c r="T517" i="10" s="1"/>
  <c r="U517" i="10"/>
  <c r="R517" i="10" a="1"/>
  <c r="R517" i="10" s="1"/>
  <c r="V517" i="10" a="1"/>
  <c r="V517" i="10" s="1"/>
  <c r="O517" i="10" a="1"/>
  <c r="O517" i="10" s="1"/>
  <c r="P517" i="10" a="1"/>
  <c r="P517" i="10" s="1"/>
  <c r="Q517" i="10" a="1"/>
  <c r="Q517" i="10" s="1"/>
  <c r="S517" i="10" a="1"/>
  <c r="S517" i="10" s="1"/>
  <c r="Q518" i="10" a="1"/>
  <c r="Q518" i="10" s="1"/>
  <c r="O518" i="10" a="1"/>
  <c r="O518" i="10" s="1"/>
  <c r="P518" i="10" a="1"/>
  <c r="P518" i="10" s="1"/>
  <c r="V518" i="10" a="1"/>
  <c r="V518" i="10" s="1"/>
  <c r="S518" i="10" a="1"/>
  <c r="S518" i="10" s="1"/>
  <c r="U518" i="10"/>
  <c r="T518" i="10" a="1"/>
  <c r="T518" i="10" s="1"/>
  <c r="R518" i="10" a="1"/>
  <c r="R518" i="10" s="1"/>
  <c r="O519" i="10" a="1"/>
  <c r="O519" i="10" s="1"/>
  <c r="U519" i="10"/>
  <c r="V519" i="10" a="1"/>
  <c r="V519" i="10" s="1"/>
  <c r="Q519" i="10" a="1"/>
  <c r="Q519" i="10" s="1"/>
  <c r="T519" i="10" a="1"/>
  <c r="T519" i="10" s="1"/>
  <c r="S519" i="10" a="1"/>
  <c r="S519" i="10" s="1"/>
  <c r="R519" i="10" a="1"/>
  <c r="R519" i="10" s="1"/>
  <c r="P519" i="10" a="1"/>
  <c r="P519" i="10" s="1"/>
  <c r="P520" i="10" a="1"/>
  <c r="P520" i="10" s="1"/>
  <c r="U520" i="10"/>
  <c r="T520" i="10" a="1"/>
  <c r="T520" i="10" s="1"/>
  <c r="O520" i="10" a="1"/>
  <c r="O520" i="10" s="1"/>
  <c r="S520" i="10" a="1"/>
  <c r="S520" i="10" s="1"/>
  <c r="V520" i="10" a="1"/>
  <c r="V520" i="10" s="1"/>
  <c r="R520" i="10" a="1"/>
  <c r="R520" i="10" s="1"/>
  <c r="Q520" i="10" a="1"/>
  <c r="Q520" i="10" s="1"/>
  <c r="O521" i="10" a="1"/>
  <c r="O521" i="10" s="1"/>
  <c r="V521" i="10" a="1"/>
  <c r="V521" i="10" s="1"/>
  <c r="R521" i="10" a="1"/>
  <c r="R521" i="10" s="1"/>
  <c r="U521" i="10"/>
  <c r="Q521" i="10" a="1"/>
  <c r="Q521" i="10" s="1"/>
  <c r="S521" i="10" a="1"/>
  <c r="S521" i="10" s="1"/>
  <c r="T521" i="10" a="1"/>
  <c r="T521" i="10" s="1"/>
  <c r="P521" i="10" a="1"/>
  <c r="P521" i="10" s="1"/>
  <c r="S522" i="10" a="1"/>
  <c r="S522" i="10" s="1"/>
  <c r="R522" i="10" a="1"/>
  <c r="R522" i="10" s="1"/>
  <c r="V522" i="10" a="1"/>
  <c r="V522" i="10" s="1"/>
  <c r="Q522" i="10" a="1"/>
  <c r="Q522" i="10" s="1"/>
  <c r="T522" i="10" a="1"/>
  <c r="T522" i="10" s="1"/>
  <c r="P522" i="10" a="1"/>
  <c r="P522" i="10" s="1"/>
  <c r="U522" i="10"/>
  <c r="O522" i="10" a="1"/>
  <c r="O522" i="10" s="1"/>
  <c r="U523" i="10"/>
  <c r="S523" i="10" a="1"/>
  <c r="S523" i="10" s="1"/>
  <c r="O523" i="10" a="1"/>
  <c r="O523" i="10" s="1"/>
  <c r="Q523" i="10" a="1"/>
  <c r="Q523" i="10" s="1"/>
  <c r="R523" i="10" a="1"/>
  <c r="R523" i="10" s="1"/>
  <c r="T523" i="10" a="1"/>
  <c r="T523" i="10" s="1"/>
  <c r="P523" i="10" a="1"/>
  <c r="P523" i="10" s="1"/>
  <c r="V523" i="10" a="1"/>
  <c r="V523" i="10" s="1"/>
  <c r="R524" i="10" a="1"/>
  <c r="R524" i="10" s="1"/>
  <c r="U524" i="10"/>
  <c r="V524" i="10" a="1"/>
  <c r="V524" i="10" s="1"/>
  <c r="S524" i="10" a="1"/>
  <c r="S524" i="10" s="1"/>
  <c r="Q524" i="10" a="1"/>
  <c r="Q524" i="10" s="1"/>
  <c r="O524" i="10" a="1"/>
  <c r="O524" i="10" s="1"/>
  <c r="T524" i="10" a="1"/>
  <c r="T524" i="10" s="1"/>
  <c r="P524" i="10" a="1"/>
  <c r="P524" i="10" s="1"/>
  <c r="U525" i="10"/>
  <c r="P525" i="10" a="1"/>
  <c r="P525" i="10" s="1"/>
  <c r="Q525" i="10" a="1"/>
  <c r="Q525" i="10" s="1"/>
  <c r="V525" i="10" a="1"/>
  <c r="V525" i="10" s="1"/>
  <c r="T525" i="10" a="1"/>
  <c r="T525" i="10" s="1"/>
  <c r="S525" i="10" a="1"/>
  <c r="S525" i="10" s="1"/>
  <c r="R525" i="10" a="1"/>
  <c r="R525" i="10" s="1"/>
  <c r="O525" i="10" a="1"/>
  <c r="O525" i="10" s="1"/>
  <c r="U526" i="10"/>
  <c r="O526" i="10" a="1"/>
  <c r="O526" i="10" s="1"/>
  <c r="R526" i="10" a="1"/>
  <c r="R526" i="10" s="1"/>
  <c r="V526" i="10" a="1"/>
  <c r="V526" i="10" s="1"/>
  <c r="T526" i="10" a="1"/>
  <c r="T526" i="10" s="1"/>
  <c r="Q526" i="10" a="1"/>
  <c r="Q526" i="10" s="1"/>
  <c r="S526" i="10" a="1"/>
  <c r="S526" i="10" s="1"/>
  <c r="P526" i="10" a="1"/>
  <c r="P526" i="10" s="1"/>
  <c r="P527" i="10" a="1"/>
  <c r="P527" i="10" s="1"/>
  <c r="R527" i="10" a="1"/>
  <c r="R527" i="10" s="1"/>
  <c r="S527" i="10" a="1"/>
  <c r="S527" i="10" s="1"/>
  <c r="V527" i="10" a="1"/>
  <c r="V527" i="10" s="1"/>
  <c r="U527" i="10"/>
  <c r="Q527" i="10" a="1"/>
  <c r="Q527" i="10" s="1"/>
  <c r="O527" i="10" a="1"/>
  <c r="O527" i="10" s="1"/>
  <c r="T527" i="10" a="1"/>
  <c r="T527" i="10" s="1"/>
  <c r="R528" i="10" a="1"/>
  <c r="R528" i="10" s="1"/>
  <c r="T528" i="10" a="1"/>
  <c r="T528" i="10" s="1"/>
  <c r="O528" i="10" a="1"/>
  <c r="O528" i="10" s="1"/>
  <c r="V528" i="10" a="1"/>
  <c r="V528" i="10" s="1"/>
  <c r="U528" i="10"/>
  <c r="Q528" i="10" a="1"/>
  <c r="Q528" i="10" s="1"/>
  <c r="P528" i="10" a="1"/>
  <c r="P528" i="10" s="1"/>
  <c r="S528" i="10" a="1"/>
  <c r="S528" i="10" s="1"/>
  <c r="O529" i="10" a="1"/>
  <c r="O529" i="10" s="1"/>
  <c r="Q529" i="10" a="1"/>
  <c r="Q529" i="10" s="1"/>
  <c r="R529" i="10" a="1"/>
  <c r="R529" i="10" s="1"/>
  <c r="P529" i="10" a="1"/>
  <c r="P529" i="10" s="1"/>
  <c r="U529" i="10"/>
  <c r="T529" i="10" a="1"/>
  <c r="T529" i="10" s="1"/>
  <c r="V529" i="10" a="1"/>
  <c r="V529" i="10" s="1"/>
  <c r="S529" i="10" a="1"/>
  <c r="S529" i="10" s="1"/>
  <c r="Q530" i="10" a="1"/>
  <c r="Q530" i="10" s="1"/>
  <c r="T530" i="10" a="1"/>
  <c r="T530" i="10" s="1"/>
  <c r="V530" i="10" a="1"/>
  <c r="V530" i="10" s="1"/>
  <c r="R530" i="10" a="1"/>
  <c r="R530" i="10" s="1"/>
  <c r="S530" i="10" a="1"/>
  <c r="S530" i="10" s="1"/>
  <c r="U530" i="10"/>
  <c r="O530" i="10" a="1"/>
  <c r="O530" i="10" s="1"/>
  <c r="P530" i="10" a="1"/>
  <c r="P530" i="10" s="1"/>
  <c r="O531" i="10" a="1"/>
  <c r="O531" i="10" s="1"/>
  <c r="R531" i="10" a="1"/>
  <c r="R531" i="10" s="1"/>
  <c r="T531" i="10" a="1"/>
  <c r="T531" i="10" s="1"/>
  <c r="Q531" i="10" a="1"/>
  <c r="Q531" i="10" s="1"/>
  <c r="P531" i="10" a="1"/>
  <c r="P531" i="10" s="1"/>
  <c r="U531" i="10"/>
  <c r="V531" i="10" a="1"/>
  <c r="V531" i="10" s="1"/>
  <c r="S531" i="10" a="1"/>
  <c r="S531" i="10" s="1"/>
  <c r="V532" i="10" a="1"/>
  <c r="V532" i="10" s="1"/>
  <c r="T532" i="10" a="1"/>
  <c r="T532" i="10" s="1"/>
  <c r="O532" i="10" a="1"/>
  <c r="O532" i="10" s="1"/>
  <c r="R532" i="10" a="1"/>
  <c r="R532" i="10" s="1"/>
  <c r="Q532" i="10" a="1"/>
  <c r="Q532" i="10" s="1"/>
  <c r="P532" i="10" a="1"/>
  <c r="P532" i="10" s="1"/>
  <c r="S532" i="10" a="1"/>
  <c r="S532" i="10" s="1"/>
  <c r="U532" i="10"/>
  <c r="R533" i="10" a="1"/>
  <c r="R533" i="10" s="1"/>
  <c r="S533" i="10" a="1"/>
  <c r="S533" i="10" s="1"/>
  <c r="P533" i="10" a="1"/>
  <c r="P533" i="10" s="1"/>
  <c r="O533" i="10" a="1"/>
  <c r="O533" i="10" s="1"/>
  <c r="U533" i="10"/>
  <c r="T533" i="10" a="1"/>
  <c r="T533" i="10" s="1"/>
  <c r="Q533" i="10" a="1"/>
  <c r="Q533" i="10" s="1"/>
  <c r="V533" i="10" a="1"/>
  <c r="V533" i="10" s="1"/>
  <c r="Q534" i="10" a="1"/>
  <c r="Q534" i="10" s="1"/>
  <c r="P534" i="10" a="1"/>
  <c r="P534" i="10" s="1"/>
  <c r="R534" i="10" a="1"/>
  <c r="R534" i="10" s="1"/>
  <c r="O534" i="10" a="1"/>
  <c r="O534" i="10" s="1"/>
  <c r="U534" i="10"/>
  <c r="V534" i="10" a="1"/>
  <c r="V534" i="10" s="1"/>
  <c r="T534" i="10" a="1"/>
  <c r="T534" i="10" s="1"/>
  <c r="S534" i="10" a="1"/>
  <c r="S534" i="10" s="1"/>
  <c r="R535" i="10" a="1"/>
  <c r="R535" i="10" s="1"/>
  <c r="P535" i="10" a="1"/>
  <c r="P535" i="10" s="1"/>
  <c r="T535" i="10" a="1"/>
  <c r="T535" i="10" s="1"/>
  <c r="S535" i="10" a="1"/>
  <c r="S535" i="10" s="1"/>
  <c r="O535" i="10" a="1"/>
  <c r="O535" i="10" s="1"/>
  <c r="Q535" i="10" a="1"/>
  <c r="Q535" i="10" s="1"/>
  <c r="U535" i="10"/>
  <c r="V535" i="10" a="1"/>
  <c r="V535" i="10" s="1"/>
  <c r="V536" i="10" a="1"/>
  <c r="V536" i="10" s="1"/>
  <c r="T536" i="10" a="1"/>
  <c r="T536" i="10" s="1"/>
  <c r="Q536" i="10" a="1"/>
  <c r="Q536" i="10" s="1"/>
  <c r="S536" i="10" a="1"/>
  <c r="S536" i="10" s="1"/>
  <c r="R536" i="10" a="1"/>
  <c r="R536" i="10" s="1"/>
  <c r="U536" i="10"/>
  <c r="P536" i="10" a="1"/>
  <c r="P536" i="10" s="1"/>
  <c r="O536" i="10" a="1"/>
  <c r="O536" i="10" s="1"/>
  <c r="R537" i="10" a="1"/>
  <c r="R537" i="10" s="1"/>
  <c r="S537" i="10" a="1"/>
  <c r="S537" i="10" s="1"/>
  <c r="P537" i="10" a="1"/>
  <c r="P537" i="10" s="1"/>
  <c r="O537" i="10" a="1"/>
  <c r="O537" i="10" s="1"/>
  <c r="V537" i="10" a="1"/>
  <c r="V537" i="10" s="1"/>
  <c r="U537" i="10"/>
  <c r="Q537" i="10" a="1"/>
  <c r="Q537" i="10" s="1"/>
  <c r="T537" i="10" a="1"/>
  <c r="T537" i="10" s="1"/>
  <c r="P538" i="10" a="1"/>
  <c r="P538" i="10" s="1"/>
  <c r="V538" i="10" a="1"/>
  <c r="V538" i="10" s="1"/>
  <c r="T538" i="10" a="1"/>
  <c r="T538" i="10" s="1"/>
  <c r="U538" i="10"/>
  <c r="Q538" i="10" a="1"/>
  <c r="Q538" i="10" s="1"/>
  <c r="R538" i="10" a="1"/>
  <c r="R538" i="10" s="1"/>
  <c r="O538" i="10" a="1"/>
  <c r="O538" i="10" s="1"/>
  <c r="S538" i="10" a="1"/>
  <c r="S538" i="10" s="1"/>
  <c r="V539" i="10" a="1"/>
  <c r="V539" i="10" s="1"/>
  <c r="Q539" i="10" a="1"/>
  <c r="Q539" i="10" s="1"/>
  <c r="R539" i="10" a="1"/>
  <c r="R539" i="10" s="1"/>
  <c r="U539" i="10"/>
  <c r="T539" i="10" a="1"/>
  <c r="T539" i="10" s="1"/>
  <c r="S539" i="10" a="1"/>
  <c r="S539" i="10" s="1"/>
  <c r="O539" i="10" a="1"/>
  <c r="O539" i="10" s="1"/>
  <c r="P539" i="10" a="1"/>
  <c r="P539" i="10" s="1"/>
  <c r="P540" i="10" a="1"/>
  <c r="P540" i="10" s="1"/>
  <c r="R540" i="10" a="1"/>
  <c r="R540" i="10" s="1"/>
  <c r="U540" i="10"/>
  <c r="Q540" i="10" a="1"/>
  <c r="Q540" i="10" s="1"/>
  <c r="V540" i="10" a="1"/>
  <c r="V540" i="10" s="1"/>
  <c r="T540" i="10" a="1"/>
  <c r="T540" i="10" s="1"/>
  <c r="S540" i="10" a="1"/>
  <c r="S540" i="10" s="1"/>
  <c r="O540" i="10" a="1"/>
  <c r="O540" i="10" s="1"/>
  <c r="T541" i="10" a="1"/>
  <c r="T541" i="10" s="1"/>
  <c r="O541" i="10" a="1"/>
  <c r="O541" i="10" s="1"/>
  <c r="P541" i="10" a="1"/>
  <c r="P541" i="10" s="1"/>
  <c r="R541" i="10" a="1"/>
  <c r="R541" i="10" s="1"/>
  <c r="U541" i="10"/>
  <c r="Q541" i="10" a="1"/>
  <c r="Q541" i="10" s="1"/>
  <c r="S541" i="10" a="1"/>
  <c r="S541" i="10" s="1"/>
  <c r="V541" i="10" a="1"/>
  <c r="V541" i="10" s="1"/>
  <c r="U542" i="10"/>
  <c r="P542" i="10" a="1"/>
  <c r="P542" i="10" s="1"/>
  <c r="Q542" i="10" a="1"/>
  <c r="Q542" i="10" s="1"/>
  <c r="V542" i="10" a="1"/>
  <c r="V542" i="10" s="1"/>
  <c r="O542" i="10" a="1"/>
  <c r="O542" i="10" s="1"/>
  <c r="T542" i="10" a="1"/>
  <c r="T542" i="10" s="1"/>
  <c r="S542" i="10" a="1"/>
  <c r="S542" i="10" s="1"/>
  <c r="R542" i="10" a="1"/>
  <c r="R542" i="10" s="1"/>
  <c r="T543" i="10" a="1"/>
  <c r="T543" i="10" s="1"/>
  <c r="U543" i="10"/>
  <c r="O543" i="10" a="1"/>
  <c r="O543" i="10" s="1"/>
  <c r="P543" i="10" a="1"/>
  <c r="P543" i="10" s="1"/>
  <c r="S543" i="10" a="1"/>
  <c r="S543" i="10" s="1"/>
  <c r="Q543" i="10" a="1"/>
  <c r="Q543" i="10" s="1"/>
  <c r="R543" i="10" a="1"/>
  <c r="R543" i="10" s="1"/>
  <c r="V543" i="10" a="1"/>
  <c r="V543" i="10" s="1"/>
  <c r="Q544" i="10" a="1"/>
  <c r="Q544" i="10" s="1"/>
  <c r="P544" i="10" a="1"/>
  <c r="P544" i="10" s="1"/>
  <c r="S544" i="10" a="1"/>
  <c r="S544" i="10" s="1"/>
  <c r="V544" i="10" a="1"/>
  <c r="V544" i="10" s="1"/>
  <c r="R544" i="10" a="1"/>
  <c r="R544" i="10" s="1"/>
  <c r="O544" i="10" a="1"/>
  <c r="O544" i="10" s="1"/>
  <c r="T544" i="10" a="1"/>
  <c r="T544" i="10" s="1"/>
  <c r="U544" i="10"/>
  <c r="V545" i="10" a="1"/>
  <c r="V545" i="10" s="1"/>
  <c r="U545" i="10"/>
  <c r="T545" i="10" a="1"/>
  <c r="T545" i="10" s="1"/>
  <c r="O545" i="10" a="1"/>
  <c r="O545" i="10" s="1"/>
  <c r="Q545" i="10" a="1"/>
  <c r="Q545" i="10" s="1"/>
  <c r="R545" i="10" a="1"/>
  <c r="R545" i="10" s="1"/>
  <c r="P545" i="10" a="1"/>
  <c r="P545" i="10" s="1"/>
  <c r="S545" i="10" a="1"/>
  <c r="S545" i="10" s="1"/>
  <c r="P546" i="10" a="1"/>
  <c r="P546" i="10" s="1"/>
  <c r="U546" i="10"/>
  <c r="R546" i="10" a="1"/>
  <c r="R546" i="10" s="1"/>
  <c r="V546" i="10" a="1"/>
  <c r="V546" i="10" s="1"/>
  <c r="Q546" i="10" a="1"/>
  <c r="Q546" i="10" s="1"/>
  <c r="S546" i="10" a="1"/>
  <c r="S546" i="10" s="1"/>
  <c r="O546" i="10" a="1"/>
  <c r="O546" i="10" s="1"/>
  <c r="T546" i="10" a="1"/>
  <c r="T546" i="10" s="1"/>
  <c r="V547" i="10" a="1"/>
  <c r="V547" i="10" s="1"/>
  <c r="Q547" i="10" a="1"/>
  <c r="Q547" i="10" s="1"/>
  <c r="O547" i="10" a="1"/>
  <c r="O547" i="10" s="1"/>
  <c r="P547" i="10" a="1"/>
  <c r="P547" i="10" s="1"/>
  <c r="U547" i="10"/>
  <c r="T547" i="10" a="1"/>
  <c r="T547" i="10" s="1"/>
  <c r="S547" i="10" a="1"/>
  <c r="S547" i="10" s="1"/>
  <c r="R547" i="10" a="1"/>
  <c r="R547" i="10" s="1"/>
  <c r="R548" i="10" a="1"/>
  <c r="R548" i="10" s="1"/>
  <c r="Q548" i="10" a="1"/>
  <c r="Q548" i="10" s="1"/>
  <c r="V548" i="10" a="1"/>
  <c r="V548" i="10" s="1"/>
  <c r="U548" i="10"/>
  <c r="P548" i="10" a="1"/>
  <c r="P548" i="10" s="1"/>
  <c r="O548" i="10" a="1"/>
  <c r="O548" i="10" s="1"/>
  <c r="T548" i="10" a="1"/>
  <c r="T548" i="10" s="1"/>
  <c r="S548" i="10" a="1"/>
  <c r="S548" i="10" s="1"/>
  <c r="R549" i="10" a="1"/>
  <c r="R549" i="10" s="1"/>
  <c r="S549" i="10" a="1"/>
  <c r="S549" i="10" s="1"/>
  <c r="T549" i="10" a="1"/>
  <c r="T549" i="10" s="1"/>
  <c r="O549" i="10" a="1"/>
  <c r="O549" i="10" s="1"/>
  <c r="V549" i="10" a="1"/>
  <c r="V549" i="10" s="1"/>
  <c r="Q549" i="10" a="1"/>
  <c r="Q549" i="10" s="1"/>
  <c r="U549" i="10"/>
  <c r="P549" i="10" a="1"/>
  <c r="P549" i="10" s="1"/>
  <c r="Q550" i="10" a="1"/>
  <c r="Q550" i="10" s="1"/>
  <c r="T550" i="10" a="1"/>
  <c r="T550" i="10" s="1"/>
  <c r="O550" i="10" a="1"/>
  <c r="O550" i="10" s="1"/>
  <c r="S550" i="10" a="1"/>
  <c r="S550" i="10" s="1"/>
  <c r="R550" i="10" a="1"/>
  <c r="R550" i="10" s="1"/>
  <c r="P550" i="10" a="1"/>
  <c r="P550" i="10" s="1"/>
  <c r="U550" i="10"/>
  <c r="V550" i="10" a="1"/>
  <c r="V550" i="10" s="1"/>
  <c r="S551" i="10" a="1"/>
  <c r="S551" i="10" s="1"/>
  <c r="V551" i="10" a="1"/>
  <c r="V551" i="10" s="1"/>
  <c r="Q551" i="10" a="1"/>
  <c r="Q551" i="10" s="1"/>
  <c r="T551" i="10" a="1"/>
  <c r="T551" i="10" s="1"/>
  <c r="R551" i="10" a="1"/>
  <c r="R551" i="10" s="1"/>
  <c r="O551" i="10" a="1"/>
  <c r="O551" i="10" s="1"/>
  <c r="U551" i="10"/>
  <c r="P551" i="10" a="1"/>
  <c r="P551" i="10" s="1"/>
  <c r="P552" i="10" a="1"/>
  <c r="P552" i="10" s="1"/>
  <c r="T552" i="10" a="1"/>
  <c r="T552" i="10" s="1"/>
  <c r="O552" i="10" a="1"/>
  <c r="O552" i="10" s="1"/>
  <c r="S552" i="10" a="1"/>
  <c r="S552" i="10" s="1"/>
  <c r="U552" i="10"/>
  <c r="V552" i="10" a="1"/>
  <c r="V552" i="10" s="1"/>
  <c r="Q552" i="10" a="1"/>
  <c r="Q552" i="10" s="1"/>
  <c r="R552" i="10" a="1"/>
  <c r="R552" i="10" s="1"/>
  <c r="S553" i="10" a="1"/>
  <c r="S553" i="10" s="1"/>
  <c r="O553" i="10" a="1"/>
  <c r="O553" i="10" s="1"/>
  <c r="R553" i="10" a="1"/>
  <c r="R553" i="10" s="1"/>
  <c r="Q553" i="10" a="1"/>
  <c r="Q553" i="10" s="1"/>
  <c r="P553" i="10" a="1"/>
  <c r="P553" i="10" s="1"/>
  <c r="U553" i="10"/>
  <c r="V553" i="10" a="1"/>
  <c r="V553" i="10" s="1"/>
  <c r="T553" i="10" a="1"/>
  <c r="T553" i="10" s="1"/>
  <c r="Q554" i="10" a="1"/>
  <c r="Q554" i="10" s="1"/>
  <c r="S554" i="10" a="1"/>
  <c r="S554" i="10" s="1"/>
  <c r="U554" i="10"/>
  <c r="P554" i="10" a="1"/>
  <c r="P554" i="10" s="1"/>
  <c r="R554" i="10" a="1"/>
  <c r="R554" i="10" s="1"/>
  <c r="V554" i="10" a="1"/>
  <c r="V554" i="10" s="1"/>
  <c r="O554" i="10" a="1"/>
  <c r="O554" i="10" s="1"/>
  <c r="T554" i="10" a="1"/>
  <c r="T554" i="10" s="1"/>
  <c r="U555" i="10"/>
  <c r="Q555" i="10" a="1"/>
  <c r="Q555" i="10" s="1"/>
  <c r="V555" i="10" a="1"/>
  <c r="V555" i="10" s="1"/>
  <c r="R555" i="10" a="1"/>
  <c r="R555" i="10" s="1"/>
  <c r="S555" i="10" a="1"/>
  <c r="S555" i="10" s="1"/>
  <c r="P555" i="10" a="1"/>
  <c r="P555" i="10" s="1"/>
  <c r="O555" i="10" a="1"/>
  <c r="O555" i="10" s="1"/>
  <c r="T555" i="10" a="1"/>
  <c r="T555" i="10" s="1"/>
  <c r="T556" i="10" a="1"/>
  <c r="T556" i="10" s="1"/>
  <c r="R556" i="10" a="1"/>
  <c r="R556" i="10" s="1"/>
  <c r="V556" i="10" a="1"/>
  <c r="V556" i="10" s="1"/>
  <c r="O556" i="10" a="1"/>
  <c r="O556" i="10" s="1"/>
  <c r="P556" i="10" a="1"/>
  <c r="P556" i="10" s="1"/>
  <c r="S556" i="10" a="1"/>
  <c r="S556" i="10" s="1"/>
  <c r="Q556" i="10" a="1"/>
  <c r="Q556" i="10" s="1"/>
  <c r="U556" i="10"/>
  <c r="Q557" i="10" a="1"/>
  <c r="Q557" i="10" s="1"/>
  <c r="P557" i="10" a="1"/>
  <c r="P557" i="10" s="1"/>
  <c r="R557" i="10" a="1"/>
  <c r="R557" i="10" s="1"/>
  <c r="O557" i="10" a="1"/>
  <c r="O557" i="10" s="1"/>
  <c r="U557" i="10"/>
  <c r="V557" i="10" a="1"/>
  <c r="V557" i="10" s="1"/>
  <c r="S557" i="10" a="1"/>
  <c r="S557" i="10" s="1"/>
  <c r="T557" i="10" a="1"/>
  <c r="T557" i="10" s="1"/>
  <c r="R558" i="10" a="1"/>
  <c r="R558" i="10" s="1"/>
  <c r="U558" i="10"/>
  <c r="O558" i="10" a="1"/>
  <c r="O558" i="10" s="1"/>
  <c r="V558" i="10" a="1"/>
  <c r="V558" i="10" s="1"/>
  <c r="P558" i="10" a="1"/>
  <c r="P558" i="10" s="1"/>
  <c r="Q558" i="10" a="1"/>
  <c r="Q558" i="10" s="1"/>
  <c r="T558" i="10" a="1"/>
  <c r="T558" i="10" s="1"/>
  <c r="S558" i="10" a="1"/>
  <c r="S558" i="10" s="1"/>
  <c r="O559" i="10" a="1"/>
  <c r="O559" i="10" s="1"/>
  <c r="Q559" i="10" a="1"/>
  <c r="Q559" i="10" s="1"/>
  <c r="S559" i="10" a="1"/>
  <c r="S559" i="10" s="1"/>
  <c r="P559" i="10" a="1"/>
  <c r="P559" i="10" s="1"/>
  <c r="T559" i="10" a="1"/>
  <c r="T559" i="10" s="1"/>
  <c r="U559" i="10"/>
  <c r="R559" i="10" a="1"/>
  <c r="R559" i="10" s="1"/>
  <c r="V559" i="10" a="1"/>
  <c r="V559" i="10" s="1"/>
  <c r="T560" i="10" a="1"/>
  <c r="T560" i="10" s="1"/>
  <c r="Q560" i="10" a="1"/>
  <c r="Q560" i="10" s="1"/>
  <c r="O560" i="10" a="1"/>
  <c r="O560" i="10" s="1"/>
  <c r="R560" i="10" a="1"/>
  <c r="R560" i="10" s="1"/>
  <c r="U560" i="10"/>
  <c r="V560" i="10" a="1"/>
  <c r="V560" i="10" s="1"/>
  <c r="S560" i="10" a="1"/>
  <c r="S560" i="10" s="1"/>
  <c r="P560" i="10" a="1"/>
  <c r="P560" i="10" s="1"/>
  <c r="P561" i="10" a="1"/>
  <c r="P561" i="10" s="1"/>
  <c r="O561" i="10" a="1"/>
  <c r="O561" i="10" s="1"/>
  <c r="V561" i="10" a="1"/>
  <c r="V561" i="10" s="1"/>
  <c r="U561" i="10"/>
  <c r="T561" i="10" a="1"/>
  <c r="T561" i="10" s="1"/>
  <c r="R561" i="10" a="1"/>
  <c r="R561" i="10" s="1"/>
  <c r="S561" i="10" a="1"/>
  <c r="S561" i="10" s="1"/>
  <c r="Q561" i="10" a="1"/>
  <c r="Q561" i="10" s="1"/>
  <c r="U562" i="10"/>
  <c r="P562" i="10" a="1"/>
  <c r="P562" i="10" s="1"/>
  <c r="R562" i="10" a="1"/>
  <c r="R562" i="10" s="1"/>
  <c r="V562" i="10" a="1"/>
  <c r="V562" i="10" s="1"/>
  <c r="Q562" i="10" a="1"/>
  <c r="Q562" i="10" s="1"/>
  <c r="S562" i="10" a="1"/>
  <c r="S562" i="10" s="1"/>
  <c r="T562" i="10" a="1"/>
  <c r="T562" i="10" s="1"/>
  <c r="O562" i="10" a="1"/>
  <c r="O562" i="10" s="1"/>
  <c r="V563" i="10" a="1"/>
  <c r="V563" i="10" s="1"/>
  <c r="T563" i="10" a="1"/>
  <c r="T563" i="10" s="1"/>
  <c r="S563" i="10" a="1"/>
  <c r="S563" i="10" s="1"/>
  <c r="Q563" i="10" a="1"/>
  <c r="Q563" i="10" s="1"/>
  <c r="R563" i="10" a="1"/>
  <c r="R563" i="10" s="1"/>
  <c r="O563" i="10" a="1"/>
  <c r="O563" i="10" s="1"/>
  <c r="P563" i="10" a="1"/>
  <c r="P563" i="10" s="1"/>
  <c r="U563" i="10"/>
  <c r="T564" i="10" a="1"/>
  <c r="T564" i="10" s="1"/>
  <c r="V564" i="10" a="1"/>
  <c r="V564" i="10" s="1"/>
  <c r="Q564" i="10" a="1"/>
  <c r="Q564" i="10" s="1"/>
  <c r="S564" i="10" a="1"/>
  <c r="S564" i="10" s="1"/>
  <c r="O564" i="10" a="1"/>
  <c r="O564" i="10" s="1"/>
  <c r="U564" i="10"/>
  <c r="P564" i="10" a="1"/>
  <c r="P564" i="10" s="1"/>
  <c r="R564" i="10" a="1"/>
  <c r="R564" i="10" s="1"/>
  <c r="Q565" i="10" a="1"/>
  <c r="Q565" i="10" s="1"/>
  <c r="U565" i="10"/>
  <c r="R565" i="10" a="1"/>
  <c r="R565" i="10" s="1"/>
  <c r="O565" i="10" a="1"/>
  <c r="O565" i="10" s="1"/>
  <c r="P565" i="10" a="1"/>
  <c r="P565" i="10" s="1"/>
  <c r="S565" i="10" a="1"/>
  <c r="S565" i="10" s="1"/>
  <c r="V565" i="10" a="1"/>
  <c r="V565" i="10" s="1"/>
  <c r="T565" i="10" a="1"/>
  <c r="T565" i="10" s="1"/>
  <c r="U566" i="10"/>
  <c r="S566" i="10" a="1"/>
  <c r="S566" i="10" s="1"/>
  <c r="V566" i="10" a="1"/>
  <c r="V566" i="10" s="1"/>
  <c r="O566" i="10" a="1"/>
  <c r="O566" i="10" s="1"/>
  <c r="T566" i="10" a="1"/>
  <c r="T566" i="10" s="1"/>
  <c r="R566" i="10" a="1"/>
  <c r="R566" i="10" s="1"/>
  <c r="Q566" i="10" a="1"/>
  <c r="Q566" i="10" s="1"/>
  <c r="P566" i="10" a="1"/>
  <c r="P566" i="10" s="1"/>
  <c r="O567" i="10" a="1"/>
  <c r="O567" i="10" s="1"/>
  <c r="S567" i="10" a="1"/>
  <c r="S567" i="10" s="1"/>
  <c r="P567" i="10" a="1"/>
  <c r="P567" i="10" s="1"/>
  <c r="V567" i="10" a="1"/>
  <c r="V567" i="10" s="1"/>
  <c r="T567" i="10" a="1"/>
  <c r="T567" i="10" s="1"/>
  <c r="Q567" i="10" a="1"/>
  <c r="Q567" i="10" s="1"/>
  <c r="U567" i="10"/>
  <c r="R567" i="10" a="1"/>
  <c r="R567" i="10" s="1"/>
  <c r="U568" i="10"/>
  <c r="R568" i="10" a="1"/>
  <c r="R568" i="10" s="1"/>
  <c r="T568" i="10" a="1"/>
  <c r="T568" i="10" s="1"/>
  <c r="O568" i="10" a="1"/>
  <c r="O568" i="10" s="1"/>
  <c r="S568" i="10" a="1"/>
  <c r="S568" i="10" s="1"/>
  <c r="Q568" i="10" a="1"/>
  <c r="Q568" i="10" s="1"/>
  <c r="V568" i="10" a="1"/>
  <c r="V568" i="10" s="1"/>
  <c r="P568" i="10" a="1"/>
  <c r="P568" i="10" s="1"/>
  <c r="V569" i="10" a="1"/>
  <c r="V569" i="10" s="1"/>
  <c r="T569" i="10" a="1"/>
  <c r="T569" i="10" s="1"/>
  <c r="U569" i="10"/>
  <c r="O569" i="10" a="1"/>
  <c r="O569" i="10" s="1"/>
  <c r="R569" i="10" a="1"/>
  <c r="R569" i="10" s="1"/>
  <c r="P569" i="10" a="1"/>
  <c r="P569" i="10" s="1"/>
  <c r="Q569" i="10" a="1"/>
  <c r="Q569" i="10" s="1"/>
  <c r="S569" i="10" a="1"/>
  <c r="S569" i="10" s="1"/>
  <c r="S570" i="10" a="1"/>
  <c r="S570" i="10" s="1"/>
  <c r="R570" i="10" a="1"/>
  <c r="R570" i="10" s="1"/>
  <c r="U570" i="10"/>
  <c r="Q570" i="10" a="1"/>
  <c r="Q570" i="10" s="1"/>
  <c r="V570" i="10" a="1"/>
  <c r="V570" i="10" s="1"/>
  <c r="P570" i="10" a="1"/>
  <c r="P570" i="10" s="1"/>
  <c r="O570" i="10" a="1"/>
  <c r="O570" i="10" s="1"/>
  <c r="T570" i="10" a="1"/>
  <c r="T570" i="10" s="1"/>
  <c r="V571" i="10" a="1"/>
  <c r="V571" i="10" s="1"/>
  <c r="P571" i="10" a="1"/>
  <c r="P571" i="10" s="1"/>
  <c r="S571" i="10" a="1"/>
  <c r="S571" i="10" s="1"/>
  <c r="U571" i="10"/>
  <c r="T571" i="10" a="1"/>
  <c r="T571" i="10" s="1"/>
  <c r="R571" i="10" a="1"/>
  <c r="R571" i="10" s="1"/>
  <c r="O571" i="10" a="1"/>
  <c r="O571" i="10" s="1"/>
  <c r="Q571" i="10" a="1"/>
  <c r="Q571" i="10" s="1"/>
  <c r="R572" i="10" a="1"/>
  <c r="R572" i="10" s="1"/>
  <c r="P572" i="10" a="1"/>
  <c r="P572" i="10" s="1"/>
  <c r="T572" i="10" a="1"/>
  <c r="T572" i="10" s="1"/>
  <c r="O572" i="10" a="1"/>
  <c r="O572" i="10" s="1"/>
  <c r="S572" i="10" a="1"/>
  <c r="S572" i="10" s="1"/>
  <c r="Q572" i="10" a="1"/>
  <c r="Q572" i="10" s="1"/>
  <c r="V572" i="10" a="1"/>
  <c r="V572" i="10" s="1"/>
  <c r="U572" i="10"/>
  <c r="S573" i="10" a="1"/>
  <c r="S573" i="10" s="1"/>
  <c r="T573" i="10" a="1"/>
  <c r="T573" i="10" s="1"/>
  <c r="Q573" i="10" a="1"/>
  <c r="Q573" i="10" s="1"/>
  <c r="O573" i="10" a="1"/>
  <c r="O573" i="10" s="1"/>
  <c r="V573" i="10" a="1"/>
  <c r="V573" i="10" s="1"/>
  <c r="R573" i="10" a="1"/>
  <c r="R573" i="10" s="1"/>
  <c r="P573" i="10" a="1"/>
  <c r="P573" i="10" s="1"/>
  <c r="U573" i="10"/>
  <c r="P574" i="10" a="1"/>
  <c r="P574" i="10" s="1"/>
  <c r="R574" i="10" a="1"/>
  <c r="R574" i="10" s="1"/>
  <c r="S574" i="10" a="1"/>
  <c r="S574" i="10" s="1"/>
  <c r="Q574" i="10" a="1"/>
  <c r="Q574" i="10" s="1"/>
  <c r="V574" i="10" a="1"/>
  <c r="V574" i="10" s="1"/>
  <c r="O574" i="10" a="1"/>
  <c r="O574" i="10" s="1"/>
  <c r="T574" i="10" a="1"/>
  <c r="T574" i="10" s="1"/>
  <c r="U574" i="10"/>
  <c r="Q575" i="10" a="1"/>
  <c r="Q575" i="10" s="1"/>
  <c r="T575" i="10" a="1"/>
  <c r="T575" i="10" s="1"/>
  <c r="S575" i="10" a="1"/>
  <c r="S575" i="10" s="1"/>
  <c r="P575" i="10" a="1"/>
  <c r="P575" i="10" s="1"/>
  <c r="O575" i="10" a="1"/>
  <c r="O575" i="10" s="1"/>
  <c r="V575" i="10" a="1"/>
  <c r="V575" i="10" s="1"/>
  <c r="R575" i="10" a="1"/>
  <c r="R575" i="10" s="1"/>
  <c r="U575" i="10"/>
  <c r="U576" i="10"/>
  <c r="V576" i="10" a="1"/>
  <c r="V576" i="10" s="1"/>
  <c r="P576" i="10" a="1"/>
  <c r="P576" i="10" s="1"/>
  <c r="T576" i="10" a="1"/>
  <c r="T576" i="10" s="1"/>
  <c r="Q576" i="10" a="1"/>
  <c r="Q576" i="10" s="1"/>
  <c r="O576" i="10" a="1"/>
  <c r="O576" i="10" s="1"/>
  <c r="R576" i="10" a="1"/>
  <c r="R576" i="10" s="1"/>
  <c r="S576" i="10" a="1"/>
  <c r="S576" i="10" s="1"/>
  <c r="R577" i="10" a="1"/>
  <c r="R577" i="10" s="1"/>
  <c r="T577" i="10" a="1"/>
  <c r="T577" i="10" s="1"/>
  <c r="O577" i="10" a="1"/>
  <c r="O577" i="10" s="1"/>
  <c r="P577" i="10" a="1"/>
  <c r="P577" i="10" s="1"/>
  <c r="Q577" i="10" a="1"/>
  <c r="Q577" i="10" s="1"/>
  <c r="U577" i="10"/>
  <c r="S577" i="10" a="1"/>
  <c r="S577" i="10" s="1"/>
  <c r="V577" i="10" a="1"/>
  <c r="V577" i="10" s="1"/>
  <c r="S578" i="10" a="1"/>
  <c r="S578" i="10" s="1"/>
  <c r="V578" i="10" a="1"/>
  <c r="V578" i="10" s="1"/>
  <c r="U578" i="10"/>
  <c r="Q578" i="10" a="1"/>
  <c r="Q578" i="10" s="1"/>
  <c r="O578" i="10" a="1"/>
  <c r="O578" i="10" s="1"/>
  <c r="P578" i="10" a="1"/>
  <c r="P578" i="10" s="1"/>
  <c r="T578" i="10" a="1"/>
  <c r="T578" i="10" s="1"/>
  <c r="R578" i="10" a="1"/>
  <c r="R578" i="10" s="1"/>
  <c r="P579" i="10" a="1"/>
  <c r="P579" i="10" s="1"/>
  <c r="T579" i="10" a="1"/>
  <c r="T579" i="10" s="1"/>
  <c r="O579" i="10" a="1"/>
  <c r="O579" i="10" s="1"/>
  <c r="V579" i="10" a="1"/>
  <c r="V579" i="10" s="1"/>
  <c r="S579" i="10" a="1"/>
  <c r="S579" i="10" s="1"/>
  <c r="U579" i="10"/>
  <c r="Q579" i="10" a="1"/>
  <c r="Q579" i="10" s="1"/>
  <c r="R579" i="10" a="1"/>
  <c r="R579" i="10" s="1"/>
  <c r="P580" i="10" a="1"/>
  <c r="P580" i="10" s="1"/>
  <c r="V580" i="10" a="1"/>
  <c r="V580" i="10" s="1"/>
  <c r="Q580" i="10" a="1"/>
  <c r="Q580" i="10" s="1"/>
  <c r="R580" i="10" a="1"/>
  <c r="R580" i="10" s="1"/>
  <c r="O580" i="10" a="1"/>
  <c r="O580" i="10" s="1"/>
  <c r="T580" i="10" a="1"/>
  <c r="T580" i="10" s="1"/>
  <c r="S580" i="10" a="1"/>
  <c r="S580" i="10" s="1"/>
  <c r="U580" i="10"/>
  <c r="S581" i="10" a="1"/>
  <c r="S581" i="10" s="1"/>
  <c r="P581" i="10" a="1"/>
  <c r="P581" i="10" s="1"/>
  <c r="O581" i="10" a="1"/>
  <c r="O581" i="10" s="1"/>
  <c r="V581" i="10" a="1"/>
  <c r="V581" i="10" s="1"/>
  <c r="R581" i="10" a="1"/>
  <c r="R581" i="10" s="1"/>
  <c r="U581" i="10"/>
  <c r="Q581" i="10" a="1"/>
  <c r="Q581" i="10" s="1"/>
  <c r="T581" i="10" a="1"/>
  <c r="T581" i="10" s="1"/>
  <c r="R582" i="10" a="1"/>
  <c r="R582" i="10" s="1"/>
  <c r="O582" i="10" a="1"/>
  <c r="O582" i="10" s="1"/>
  <c r="S582" i="10" a="1"/>
  <c r="S582" i="10" s="1"/>
  <c r="P582" i="10" a="1"/>
  <c r="P582" i="10" s="1"/>
  <c r="U582" i="10"/>
  <c r="Q582" i="10" a="1"/>
  <c r="Q582" i="10" s="1"/>
  <c r="V582" i="10" a="1"/>
  <c r="V582" i="10" s="1"/>
  <c r="T582" i="10" a="1"/>
  <c r="T582" i="10" s="1"/>
  <c r="P583" i="10" a="1"/>
  <c r="P583" i="10" s="1"/>
  <c r="Q583" i="10" a="1"/>
  <c r="Q583" i="10" s="1"/>
  <c r="R583" i="10" a="1"/>
  <c r="R583" i="10" s="1"/>
  <c r="U583" i="10"/>
  <c r="T583" i="10" a="1"/>
  <c r="T583" i="10" s="1"/>
  <c r="S583" i="10" a="1"/>
  <c r="S583" i="10" s="1"/>
  <c r="V583" i="10" a="1"/>
  <c r="V583" i="10" s="1"/>
  <c r="O583" i="10" a="1"/>
  <c r="O583" i="10" s="1"/>
  <c r="V584" i="10" a="1"/>
  <c r="V584" i="10" s="1"/>
  <c r="T584" i="10" a="1"/>
  <c r="T584" i="10" s="1"/>
  <c r="O584" i="10" a="1"/>
  <c r="O584" i="10" s="1"/>
  <c r="P584" i="10" a="1"/>
  <c r="P584" i="10" s="1"/>
  <c r="S584" i="10" a="1"/>
  <c r="S584" i="10" s="1"/>
  <c r="U584" i="10"/>
  <c r="Q584" i="10" a="1"/>
  <c r="Q584" i="10" s="1"/>
  <c r="R584" i="10" a="1"/>
  <c r="R584" i="10" s="1"/>
  <c r="U585" i="10"/>
  <c r="R585" i="10" a="1"/>
  <c r="R585" i="10" s="1"/>
  <c r="O585" i="10" a="1"/>
  <c r="O585" i="10" s="1"/>
  <c r="Q585" i="10" a="1"/>
  <c r="Q585" i="10" s="1"/>
  <c r="P585" i="10" a="1"/>
  <c r="P585" i="10" s="1"/>
  <c r="T585" i="10" a="1"/>
  <c r="T585" i="10" s="1"/>
  <c r="V585" i="10" a="1"/>
  <c r="V585" i="10" s="1"/>
  <c r="S585" i="10" a="1"/>
  <c r="S585" i="10" s="1"/>
  <c r="O586" i="10" a="1"/>
  <c r="O586" i="10" s="1"/>
  <c r="Q586" i="10" a="1"/>
  <c r="Q586" i="10" s="1"/>
  <c r="V586" i="10" a="1"/>
  <c r="V586" i="10" s="1"/>
  <c r="P586" i="10" a="1"/>
  <c r="P586" i="10" s="1"/>
  <c r="U586" i="10"/>
  <c r="T586" i="10" a="1"/>
  <c r="T586" i="10" s="1"/>
  <c r="R586" i="10" a="1"/>
  <c r="R586" i="10" s="1"/>
  <c r="S586" i="10" a="1"/>
  <c r="S586" i="10" s="1"/>
  <c r="O587" i="10" a="1"/>
  <c r="O587" i="10" s="1"/>
  <c r="V587" i="10" a="1"/>
  <c r="V587" i="10" s="1"/>
  <c r="P587" i="10" a="1"/>
  <c r="P587" i="10" s="1"/>
  <c r="Q587" i="10" a="1"/>
  <c r="Q587" i="10" s="1"/>
  <c r="S587" i="10" a="1"/>
  <c r="S587" i="10" s="1"/>
  <c r="U587" i="10"/>
  <c r="T587" i="10" a="1"/>
  <c r="T587" i="10" s="1"/>
  <c r="R587" i="10" a="1"/>
  <c r="R587" i="10" s="1"/>
  <c r="S588" i="10" a="1"/>
  <c r="S588" i="10" s="1"/>
  <c r="O588" i="10" a="1"/>
  <c r="O588" i="10" s="1"/>
  <c r="V588" i="10" a="1"/>
  <c r="V588" i="10" s="1"/>
  <c r="R588" i="10" a="1"/>
  <c r="R588" i="10" s="1"/>
  <c r="Q588" i="10" a="1"/>
  <c r="Q588" i="10" s="1"/>
  <c r="P588" i="10" a="1"/>
  <c r="P588" i="10" s="1"/>
  <c r="T588" i="10" a="1"/>
  <c r="T588" i="10" s="1"/>
  <c r="U588" i="10"/>
  <c r="P589" i="10" a="1"/>
  <c r="P589" i="10" s="1"/>
  <c r="U589" i="10"/>
  <c r="O589" i="10" a="1"/>
  <c r="O589" i="10" s="1"/>
  <c r="Q589" i="10" a="1"/>
  <c r="Q589" i="10" s="1"/>
  <c r="T589" i="10" a="1"/>
  <c r="T589" i="10" s="1"/>
  <c r="V589" i="10" a="1"/>
  <c r="V589" i="10" s="1"/>
  <c r="S589" i="10" a="1"/>
  <c r="S589" i="10" s="1"/>
  <c r="R589" i="10" a="1"/>
  <c r="R589" i="10" s="1"/>
  <c r="O590" i="10" a="1"/>
  <c r="O590" i="10" s="1"/>
  <c r="V590" i="10" a="1"/>
  <c r="V590" i="10" s="1"/>
  <c r="Q590" i="10" a="1"/>
  <c r="Q590" i="10" s="1"/>
  <c r="T590" i="10" a="1"/>
  <c r="T590" i="10" s="1"/>
  <c r="U590" i="10"/>
  <c r="P590" i="10" a="1"/>
  <c r="P590" i="10" s="1"/>
  <c r="S590" i="10" a="1"/>
  <c r="S590" i="10" s="1"/>
  <c r="R590" i="10" a="1"/>
  <c r="R590" i="10" s="1"/>
  <c r="R591" i="10" a="1"/>
  <c r="R591" i="10" s="1"/>
  <c r="S591" i="10" a="1"/>
  <c r="S591" i="10" s="1"/>
  <c r="O591" i="10" a="1"/>
  <c r="O591" i="10" s="1"/>
  <c r="T591" i="10" a="1"/>
  <c r="T591" i="10" s="1"/>
  <c r="U591" i="10"/>
  <c r="Q591" i="10" a="1"/>
  <c r="Q591" i="10" s="1"/>
  <c r="V591" i="10" a="1"/>
  <c r="V591" i="10" s="1"/>
  <c r="P591" i="10" a="1"/>
  <c r="P591" i="10" s="1"/>
  <c r="S592" i="10" a="1"/>
  <c r="S592" i="10" s="1"/>
  <c r="T592" i="10" a="1"/>
  <c r="T592" i="10" s="1"/>
  <c r="O592" i="10" a="1"/>
  <c r="O592" i="10" s="1"/>
  <c r="V592" i="10" a="1"/>
  <c r="V592" i="10" s="1"/>
  <c r="Q592" i="10" a="1"/>
  <c r="Q592" i="10" s="1"/>
  <c r="P592" i="10" a="1"/>
  <c r="P592" i="10" s="1"/>
  <c r="R592" i="10" a="1"/>
  <c r="R592" i="10" s="1"/>
  <c r="U592" i="10"/>
  <c r="O593" i="10" a="1"/>
  <c r="O593" i="10" s="1"/>
  <c r="U593" i="10"/>
  <c r="R593" i="10" a="1"/>
  <c r="R593" i="10" s="1"/>
  <c r="V593" i="10" a="1"/>
  <c r="V593" i="10" s="1"/>
  <c r="P593" i="10" a="1"/>
  <c r="P593" i="10" s="1"/>
  <c r="T593" i="10" a="1"/>
  <c r="T593" i="10" s="1"/>
  <c r="S593" i="10" a="1"/>
  <c r="S593" i="10" s="1"/>
  <c r="Q593" i="10" a="1"/>
  <c r="Q593" i="10" s="1"/>
  <c r="P594" i="10" a="1"/>
  <c r="P594" i="10" s="1"/>
  <c r="U594" i="10"/>
  <c r="T594" i="10" a="1"/>
  <c r="T594" i="10" s="1"/>
  <c r="O594" i="10" a="1"/>
  <c r="O594" i="10" s="1"/>
  <c r="V594" i="10" a="1"/>
  <c r="V594" i="10" s="1"/>
  <c r="Q594" i="10" a="1"/>
  <c r="Q594" i="10" s="1"/>
  <c r="S594" i="10" a="1"/>
  <c r="S594" i="10" s="1"/>
  <c r="R594" i="10" a="1"/>
  <c r="R594" i="10" s="1"/>
  <c r="V595" i="10" a="1"/>
  <c r="V595" i="10" s="1"/>
  <c r="R595" i="10" a="1"/>
  <c r="R595" i="10" s="1"/>
  <c r="O595" i="10" a="1"/>
  <c r="O595" i="10" s="1"/>
  <c r="S595" i="10" a="1"/>
  <c r="S595" i="10" s="1"/>
  <c r="Q595" i="10" a="1"/>
  <c r="Q595" i="10" s="1"/>
  <c r="T595" i="10" a="1"/>
  <c r="T595" i="10" s="1"/>
  <c r="U595" i="10"/>
  <c r="P595" i="10" a="1"/>
  <c r="P595" i="10" s="1"/>
  <c r="R596" i="10" a="1"/>
  <c r="R596" i="10" s="1"/>
  <c r="P596" i="10" a="1"/>
  <c r="P596" i="10" s="1"/>
  <c r="O596" i="10" a="1"/>
  <c r="O596" i="10" s="1"/>
  <c r="S596" i="10" a="1"/>
  <c r="S596" i="10" s="1"/>
  <c r="V596" i="10" a="1"/>
  <c r="V596" i="10" s="1"/>
  <c r="U596" i="10"/>
  <c r="Q596" i="10" a="1"/>
  <c r="Q596" i="10" s="1"/>
  <c r="T596" i="10" a="1"/>
  <c r="T596" i="10" s="1"/>
  <c r="T597" i="10" a="1"/>
  <c r="T597" i="10" s="1"/>
  <c r="Q597" i="10" a="1"/>
  <c r="Q597" i="10" s="1"/>
  <c r="V597" i="10" a="1"/>
  <c r="V597" i="10" s="1"/>
  <c r="P597" i="10" a="1"/>
  <c r="P597" i="10" s="1"/>
  <c r="U597" i="10"/>
  <c r="S597" i="10" a="1"/>
  <c r="S597" i="10" s="1"/>
  <c r="R597" i="10" a="1"/>
  <c r="R597" i="10" s="1"/>
  <c r="O597" i="10" a="1"/>
  <c r="O597" i="10" s="1"/>
  <c r="U598" i="10"/>
  <c r="S598" i="10" a="1"/>
  <c r="S598" i="10" s="1"/>
  <c r="T598" i="10" a="1"/>
  <c r="T598" i="10" s="1"/>
  <c r="O598" i="10" a="1"/>
  <c r="O598" i="10" s="1"/>
  <c r="Q598" i="10" a="1"/>
  <c r="Q598" i="10" s="1"/>
  <c r="P598" i="10" a="1"/>
  <c r="P598" i="10" s="1"/>
  <c r="V598" i="10" a="1"/>
  <c r="V598" i="10" s="1"/>
  <c r="R598" i="10" a="1"/>
  <c r="R598" i="10" s="1"/>
  <c r="O599" i="10" a="1"/>
  <c r="O599" i="10" s="1"/>
  <c r="P599" i="10" a="1"/>
  <c r="P599" i="10" s="1"/>
  <c r="R599" i="10" a="1"/>
  <c r="R599" i="10" s="1"/>
  <c r="Q599" i="10" a="1"/>
  <c r="Q599" i="10" s="1"/>
  <c r="V599" i="10" a="1"/>
  <c r="V599" i="10" s="1"/>
  <c r="S599" i="10" a="1"/>
  <c r="S599" i="10" s="1"/>
  <c r="U599" i="10"/>
  <c r="T599" i="10" a="1"/>
  <c r="T599" i="10" s="1"/>
  <c r="O600" i="10" a="1"/>
  <c r="O600" i="10" s="1"/>
  <c r="Q600" i="10" a="1"/>
  <c r="Q600" i="10" s="1"/>
  <c r="V600" i="10" a="1"/>
  <c r="V600" i="10" s="1"/>
  <c r="T600" i="10" a="1"/>
  <c r="T600" i="10" s="1"/>
  <c r="U600" i="10"/>
  <c r="R600" i="10" a="1"/>
  <c r="R600" i="10" s="1"/>
  <c r="P600" i="10" a="1"/>
  <c r="P600" i="10" s="1"/>
  <c r="S600" i="10" a="1"/>
  <c r="S600" i="10" s="1"/>
  <c r="O601" i="10" a="1"/>
  <c r="O601" i="10" s="1"/>
  <c r="T601" i="10" a="1"/>
  <c r="T601" i="10" s="1"/>
  <c r="V601" i="10" a="1"/>
  <c r="V601" i="10" s="1"/>
  <c r="U601" i="10"/>
  <c r="Q601" i="10" a="1"/>
  <c r="Q601" i="10" s="1"/>
  <c r="P601" i="10" a="1"/>
  <c r="P601" i="10" s="1"/>
  <c r="S601" i="10" a="1"/>
  <c r="S601" i="10" s="1"/>
  <c r="R601" i="10" a="1"/>
  <c r="R601" i="10" s="1"/>
  <c r="P602" i="10" a="1"/>
  <c r="P602" i="10" s="1"/>
  <c r="R602" i="10" a="1"/>
  <c r="R602" i="10" s="1"/>
  <c r="T602" i="10" a="1"/>
  <c r="T602" i="10" s="1"/>
  <c r="O602" i="10" a="1"/>
  <c r="O602" i="10" s="1"/>
  <c r="Q602" i="10" a="1"/>
  <c r="Q602" i="10" s="1"/>
  <c r="V602" i="10" a="1"/>
  <c r="V602" i="10" s="1"/>
  <c r="S602" i="10" a="1"/>
  <c r="S602" i="10" s="1"/>
  <c r="U602" i="10"/>
  <c r="T603" i="10" a="1"/>
  <c r="T603" i="10" s="1"/>
  <c r="V603" i="10" a="1"/>
  <c r="V603" i="10" s="1"/>
  <c r="P603" i="10" a="1"/>
  <c r="P603" i="10" s="1"/>
  <c r="O603" i="10" a="1"/>
  <c r="O603" i="10" s="1"/>
  <c r="R603" i="10" a="1"/>
  <c r="R603" i="10" s="1"/>
  <c r="Q603" i="10" a="1"/>
  <c r="Q603" i="10" s="1"/>
  <c r="U603" i="10"/>
  <c r="S603" i="10" a="1"/>
  <c r="S603" i="10" s="1"/>
  <c r="U604" i="10"/>
  <c r="P604" i="10" a="1"/>
  <c r="P604" i="10" s="1"/>
  <c r="T604" i="10" a="1"/>
  <c r="T604" i="10" s="1"/>
  <c r="S604" i="10" a="1"/>
  <c r="S604" i="10" s="1"/>
  <c r="V604" i="10" a="1"/>
  <c r="V604" i="10" s="1"/>
  <c r="R604" i="10" a="1"/>
  <c r="R604" i="10" s="1"/>
  <c r="O604" i="10" a="1"/>
  <c r="O604" i="10" s="1"/>
  <c r="Q604" i="10" a="1"/>
  <c r="Q604" i="10" s="1"/>
  <c r="O605" i="10" a="1"/>
  <c r="O605" i="10" s="1"/>
  <c r="U605" i="10"/>
  <c r="Q605" i="10" a="1"/>
  <c r="Q605" i="10" s="1"/>
  <c r="R605" i="10" a="1"/>
  <c r="R605" i="10" s="1"/>
  <c r="T605" i="10" a="1"/>
  <c r="T605" i="10" s="1"/>
  <c r="V605" i="10" a="1"/>
  <c r="V605" i="10" s="1"/>
  <c r="S605" i="10" a="1"/>
  <c r="S605" i="10" s="1"/>
  <c r="P605" i="10" a="1"/>
  <c r="P605" i="10" s="1"/>
  <c r="Q606" i="10" a="1"/>
  <c r="Q606" i="10" s="1"/>
  <c r="R606" i="10" a="1"/>
  <c r="R606" i="10" s="1"/>
  <c r="S606" i="10" a="1"/>
  <c r="S606" i="10" s="1"/>
  <c r="T606" i="10" a="1"/>
  <c r="T606" i="10" s="1"/>
  <c r="P606" i="10" a="1"/>
  <c r="P606" i="10" s="1"/>
  <c r="V606" i="10" a="1"/>
  <c r="V606" i="10" s="1"/>
  <c r="O606" i="10" a="1"/>
  <c r="O606" i="10" s="1"/>
  <c r="U606" i="10"/>
  <c r="P607" i="10" a="1"/>
  <c r="P607" i="10" s="1"/>
  <c r="R607" i="10" a="1"/>
  <c r="R607" i="10" s="1"/>
  <c r="V607" i="10" a="1"/>
  <c r="V607" i="10" s="1"/>
  <c r="U607" i="10"/>
  <c r="S607" i="10" a="1"/>
  <c r="S607" i="10" s="1"/>
  <c r="T607" i="10" a="1"/>
  <c r="T607" i="10" s="1"/>
  <c r="Q607" i="10" a="1"/>
  <c r="Q607" i="10" s="1"/>
  <c r="O607" i="10" a="1"/>
  <c r="O607" i="10" s="1"/>
  <c r="Q608" i="10" a="1"/>
  <c r="Q608" i="10" s="1"/>
  <c r="T608" i="10" a="1"/>
  <c r="T608" i="10" s="1"/>
  <c r="O608" i="10" a="1"/>
  <c r="O608" i="10" s="1"/>
  <c r="V608" i="10" a="1"/>
  <c r="V608" i="10" s="1"/>
  <c r="P608" i="10" a="1"/>
  <c r="P608" i="10" s="1"/>
  <c r="S608" i="10" a="1"/>
  <c r="S608" i="10" s="1"/>
  <c r="R608" i="10" a="1"/>
  <c r="R608" i="10" s="1"/>
  <c r="U608" i="10"/>
  <c r="P609" i="10" a="1"/>
  <c r="P609" i="10" s="1"/>
  <c r="V609" i="10" a="1"/>
  <c r="V609" i="10" s="1"/>
  <c r="O609" i="10" a="1"/>
  <c r="O609" i="10" s="1"/>
  <c r="R609" i="10" a="1"/>
  <c r="R609" i="10" s="1"/>
  <c r="Q609" i="10" a="1"/>
  <c r="Q609" i="10" s="1"/>
  <c r="T609" i="10" a="1"/>
  <c r="T609" i="10" s="1"/>
  <c r="S609" i="10" a="1"/>
  <c r="S609" i="10" s="1"/>
  <c r="U609" i="10"/>
  <c r="V610" i="10" a="1"/>
  <c r="V610" i="10" s="1"/>
  <c r="O610" i="10" a="1"/>
  <c r="O610" i="10" s="1"/>
  <c r="U610" i="10"/>
  <c r="Q610" i="10" a="1"/>
  <c r="Q610" i="10" s="1"/>
  <c r="T610" i="10" a="1"/>
  <c r="T610" i="10" s="1"/>
  <c r="R610" i="10" a="1"/>
  <c r="R610" i="10" s="1"/>
  <c r="P610" i="10" a="1"/>
  <c r="P610" i="10" s="1"/>
  <c r="S610" i="10" a="1"/>
  <c r="S610" i="10" s="1"/>
  <c r="U611" i="10"/>
  <c r="S611" i="10" a="1"/>
  <c r="S611" i="10" s="1"/>
  <c r="V611" i="10" a="1"/>
  <c r="V611" i="10" s="1"/>
  <c r="P611" i="10" a="1"/>
  <c r="P611" i="10" s="1"/>
  <c r="T611" i="10" a="1"/>
  <c r="T611" i="10" s="1"/>
  <c r="O611" i="10" a="1"/>
  <c r="O611" i="10" s="1"/>
  <c r="Q611" i="10" a="1"/>
  <c r="Q611" i="10" s="1"/>
  <c r="R611" i="10" a="1"/>
  <c r="R611" i="10" s="1"/>
  <c r="R612" i="10" a="1"/>
  <c r="R612" i="10" s="1"/>
  <c r="V612" i="10" a="1"/>
  <c r="V612" i="10" s="1"/>
  <c r="U612" i="10"/>
  <c r="T612" i="10" a="1"/>
  <c r="T612" i="10" s="1"/>
  <c r="S612" i="10" a="1"/>
  <c r="S612" i="10" s="1"/>
  <c r="P612" i="10" a="1"/>
  <c r="P612" i="10" s="1"/>
  <c r="O612" i="10" a="1"/>
  <c r="O612" i="10" s="1"/>
  <c r="Q612" i="10" a="1"/>
  <c r="Q612" i="10" s="1"/>
  <c r="U613" i="10"/>
  <c r="P613" i="10" a="1"/>
  <c r="P613" i="10" s="1"/>
  <c r="Q613" i="10" a="1"/>
  <c r="Q613" i="10" s="1"/>
  <c r="S613" i="10" a="1"/>
  <c r="S613" i="10" s="1"/>
  <c r="V613" i="10" a="1"/>
  <c r="V613" i="10" s="1"/>
  <c r="O613" i="10" a="1"/>
  <c r="O613" i="10" s="1"/>
  <c r="T613" i="10" a="1"/>
  <c r="T613" i="10" s="1"/>
  <c r="R613" i="10" a="1"/>
  <c r="R613" i="10" s="1"/>
  <c r="S614" i="10" a="1"/>
  <c r="S614" i="10" s="1"/>
  <c r="Q614" i="10" a="1"/>
  <c r="Q614" i="10" s="1"/>
  <c r="T614" i="10" a="1"/>
  <c r="T614" i="10" s="1"/>
  <c r="U614" i="10"/>
  <c r="V614" i="10" a="1"/>
  <c r="V614" i="10" s="1"/>
  <c r="P614" i="10" a="1"/>
  <c r="P614" i="10" s="1"/>
  <c r="O614" i="10" a="1"/>
  <c r="O614" i="10" s="1"/>
  <c r="R614" i="10" a="1"/>
  <c r="R614" i="10" s="1"/>
  <c r="Q615" i="10" a="1"/>
  <c r="Q615" i="10" s="1"/>
  <c r="P615" i="10" a="1"/>
  <c r="P615" i="10" s="1"/>
  <c r="S615" i="10" a="1"/>
  <c r="S615" i="10" s="1"/>
  <c r="R615" i="10" a="1"/>
  <c r="R615" i="10" s="1"/>
  <c r="U615" i="10"/>
  <c r="V615" i="10" a="1"/>
  <c r="V615" i="10" s="1"/>
  <c r="O615" i="10" a="1"/>
  <c r="O615" i="10" s="1"/>
  <c r="T615" i="10" a="1"/>
  <c r="T615" i="10" s="1"/>
  <c r="T616" i="10" a="1"/>
  <c r="T616" i="10" s="1"/>
  <c r="Q616" i="10" a="1"/>
  <c r="Q616" i="10" s="1"/>
  <c r="V616" i="10" a="1"/>
  <c r="V616" i="10" s="1"/>
  <c r="R616" i="10" a="1"/>
  <c r="R616" i="10" s="1"/>
  <c r="U616" i="10"/>
  <c r="P616" i="10" a="1"/>
  <c r="P616" i="10" s="1"/>
  <c r="O616" i="10" a="1"/>
  <c r="O616" i="10" s="1"/>
  <c r="S616" i="10" a="1"/>
  <c r="S616" i="10" s="1"/>
  <c r="V617" i="10" a="1"/>
  <c r="V617" i="10" s="1"/>
  <c r="T617" i="10" a="1"/>
  <c r="T617" i="10" s="1"/>
  <c r="O617" i="10" a="1"/>
  <c r="O617" i="10" s="1"/>
  <c r="S617" i="10" a="1"/>
  <c r="S617" i="10" s="1"/>
  <c r="P617" i="10" a="1"/>
  <c r="P617" i="10" s="1"/>
  <c r="R617" i="10" a="1"/>
  <c r="R617" i="10" s="1"/>
  <c r="Q617" i="10" a="1"/>
  <c r="Q617" i="10" s="1"/>
  <c r="U617" i="10"/>
  <c r="V618" i="10" a="1"/>
  <c r="V618" i="10" s="1"/>
  <c r="R618" i="10" a="1"/>
  <c r="R618" i="10" s="1"/>
  <c r="P618" i="10" a="1"/>
  <c r="P618" i="10" s="1"/>
  <c r="U618" i="10"/>
  <c r="O618" i="10" a="1"/>
  <c r="O618" i="10" s="1"/>
  <c r="Q618" i="10" a="1"/>
  <c r="Q618" i="10" s="1"/>
  <c r="T618" i="10" a="1"/>
  <c r="T618" i="10" s="1"/>
  <c r="S618" i="10" a="1"/>
  <c r="S618" i="10" s="1"/>
  <c r="T619" i="10" a="1"/>
  <c r="T619" i="10" s="1"/>
  <c r="V619" i="10" a="1"/>
  <c r="V619" i="10" s="1"/>
  <c r="S619" i="10" a="1"/>
  <c r="S619" i="10" s="1"/>
  <c r="U619" i="10"/>
  <c r="O619" i="10" a="1"/>
  <c r="O619" i="10" s="1"/>
  <c r="Q619" i="10" a="1"/>
  <c r="Q619" i="10" s="1"/>
  <c r="R619" i="10" a="1"/>
  <c r="R619" i="10" s="1"/>
  <c r="P619" i="10" a="1"/>
  <c r="P619" i="10" s="1"/>
  <c r="V620" i="10" a="1"/>
  <c r="V620" i="10" s="1"/>
  <c r="Q620" i="10" a="1"/>
  <c r="Q620" i="10" s="1"/>
  <c r="R620" i="10" a="1"/>
  <c r="R620" i="10" s="1"/>
  <c r="T620" i="10" a="1"/>
  <c r="T620" i="10" s="1"/>
  <c r="U620" i="10"/>
  <c r="P620" i="10" a="1"/>
  <c r="P620" i="10" s="1"/>
  <c r="O620" i="10" a="1"/>
  <c r="O620" i="10" s="1"/>
  <c r="S620" i="10" a="1"/>
  <c r="S620" i="10" s="1"/>
  <c r="U621" i="10"/>
  <c r="Q621" i="10" a="1"/>
  <c r="Q621" i="10" s="1"/>
  <c r="O621" i="10" a="1"/>
  <c r="O621" i="10" s="1"/>
  <c r="P621" i="10" a="1"/>
  <c r="P621" i="10" s="1"/>
  <c r="T621" i="10" a="1"/>
  <c r="T621" i="10" s="1"/>
  <c r="V621" i="10" a="1"/>
  <c r="V621" i="10" s="1"/>
  <c r="R621" i="10" a="1"/>
  <c r="R621" i="10" s="1"/>
  <c r="S621" i="10" a="1"/>
  <c r="S621" i="10" s="1"/>
  <c r="Q622" i="10" a="1"/>
  <c r="Q622" i="10" s="1"/>
  <c r="R622" i="10" a="1"/>
  <c r="R622" i="10" s="1"/>
  <c r="V622" i="10" a="1"/>
  <c r="V622" i="10" s="1"/>
  <c r="S622" i="10" a="1"/>
  <c r="S622" i="10" s="1"/>
  <c r="U622" i="10"/>
  <c r="T622" i="10" a="1"/>
  <c r="T622" i="10" s="1"/>
  <c r="P622" i="10" a="1"/>
  <c r="P622" i="10" s="1"/>
  <c r="O622" i="10" a="1"/>
  <c r="O622" i="10" s="1"/>
  <c r="S623" i="10" a="1"/>
  <c r="S623" i="10" s="1"/>
  <c r="R623" i="10" a="1"/>
  <c r="R623" i="10" s="1"/>
  <c r="P623" i="10" a="1"/>
  <c r="P623" i="10" s="1"/>
  <c r="U623" i="10"/>
  <c r="Q623" i="10" a="1"/>
  <c r="Q623" i="10" s="1"/>
  <c r="T623" i="10" a="1"/>
  <c r="T623" i="10" s="1"/>
  <c r="O623" i="10" a="1"/>
  <c r="O623" i="10" s="1"/>
  <c r="V623" i="10" a="1"/>
  <c r="V623" i="10" s="1"/>
  <c r="T624" i="10" a="1"/>
  <c r="T624" i="10" s="1"/>
  <c r="Q624" i="10" a="1"/>
  <c r="Q624" i="10" s="1"/>
  <c r="U624" i="10"/>
  <c r="V624" i="10" a="1"/>
  <c r="V624" i="10" s="1"/>
  <c r="P624" i="10" a="1"/>
  <c r="P624" i="10" s="1"/>
  <c r="O624" i="10" a="1"/>
  <c r="O624" i="10" s="1"/>
  <c r="R624" i="10" a="1"/>
  <c r="R624" i="10" s="1"/>
  <c r="S624" i="10" a="1"/>
  <c r="S624" i="10" s="1"/>
  <c r="V625" i="10" a="1"/>
  <c r="V625" i="10" s="1"/>
  <c r="U625" i="10"/>
  <c r="O625" i="10" a="1"/>
  <c r="O625" i="10" s="1"/>
  <c r="P625" i="10" a="1"/>
  <c r="P625" i="10" s="1"/>
  <c r="S625" i="10" a="1"/>
  <c r="S625" i="10" s="1"/>
  <c r="T625" i="10" a="1"/>
  <c r="T625" i="10" s="1"/>
  <c r="Q625" i="10" a="1"/>
  <c r="Q625" i="10" s="1"/>
  <c r="R625" i="10" a="1"/>
  <c r="R625" i="10" s="1"/>
  <c r="Q626" i="10" a="1"/>
  <c r="Q626" i="10" s="1"/>
  <c r="U626" i="10"/>
  <c r="T626" i="10" a="1"/>
  <c r="T626" i="10" s="1"/>
  <c r="S626" i="10" a="1"/>
  <c r="S626" i="10" s="1"/>
  <c r="V626" i="10" a="1"/>
  <c r="V626" i="10" s="1"/>
  <c r="R626" i="10" a="1"/>
  <c r="R626" i="10" s="1"/>
  <c r="O626" i="10" a="1"/>
  <c r="O626" i="10" s="1"/>
  <c r="P626" i="10" a="1"/>
  <c r="P626" i="10" s="1"/>
  <c r="T627" i="10" a="1"/>
  <c r="T627" i="10" s="1"/>
  <c r="V627" i="10" a="1"/>
  <c r="V627" i="10" s="1"/>
  <c r="R627" i="10" a="1"/>
  <c r="R627" i="10" s="1"/>
  <c r="O627" i="10" a="1"/>
  <c r="O627" i="10" s="1"/>
  <c r="U627" i="10"/>
  <c r="S627" i="10" a="1"/>
  <c r="S627" i="10" s="1"/>
  <c r="P627" i="10" a="1"/>
  <c r="P627" i="10" s="1"/>
  <c r="Q627" i="10" a="1"/>
  <c r="Q627" i="10" s="1"/>
  <c r="S628" i="10" a="1"/>
  <c r="S628" i="10" s="1"/>
  <c r="V628" i="10" a="1"/>
  <c r="V628" i="10" s="1"/>
  <c r="U628" i="10"/>
  <c r="O628" i="10" a="1"/>
  <c r="O628" i="10" s="1"/>
  <c r="P628" i="10" a="1"/>
  <c r="P628" i="10" s="1"/>
  <c r="T628" i="10" a="1"/>
  <c r="T628" i="10" s="1"/>
  <c r="R628" i="10" a="1"/>
  <c r="R628" i="10" s="1"/>
  <c r="Q628" i="10" a="1"/>
  <c r="Q628" i="10" s="1"/>
  <c r="V629" i="10" a="1"/>
  <c r="V629" i="10" s="1"/>
  <c r="S629" i="10" a="1"/>
  <c r="S629" i="10" s="1"/>
  <c r="T629" i="10" a="1"/>
  <c r="T629" i="10" s="1"/>
  <c r="U629" i="10"/>
  <c r="R629" i="10" a="1"/>
  <c r="R629" i="10" s="1"/>
  <c r="P629" i="10" a="1"/>
  <c r="P629" i="10" s="1"/>
  <c r="O629" i="10" a="1"/>
  <c r="O629" i="10" s="1"/>
  <c r="Q629" i="10" a="1"/>
  <c r="Q629" i="10" s="1"/>
  <c r="U630" i="10"/>
  <c r="T630" i="10" a="1"/>
  <c r="T630" i="10" s="1"/>
  <c r="O630" i="10" a="1"/>
  <c r="O630" i="10" s="1"/>
  <c r="R630" i="10" a="1"/>
  <c r="R630" i="10" s="1"/>
  <c r="P630" i="10" a="1"/>
  <c r="P630" i="10" s="1"/>
  <c r="V630" i="10" a="1"/>
  <c r="V630" i="10" s="1"/>
  <c r="Q630" i="10" a="1"/>
  <c r="Q630" i="10" s="1"/>
  <c r="S630" i="10" a="1"/>
  <c r="S630" i="10" s="1"/>
  <c r="U631" i="10"/>
  <c r="R631" i="10" a="1"/>
  <c r="R631" i="10" s="1"/>
  <c r="T631" i="10" a="1"/>
  <c r="T631" i="10" s="1"/>
  <c r="O631" i="10" a="1"/>
  <c r="O631" i="10" s="1"/>
  <c r="V631" i="10" a="1"/>
  <c r="V631" i="10" s="1"/>
  <c r="P631" i="10" a="1"/>
  <c r="P631" i="10" s="1"/>
  <c r="Q631" i="10" a="1"/>
  <c r="Q631" i="10" s="1"/>
  <c r="S631" i="10" a="1"/>
  <c r="S631" i="10" s="1"/>
  <c r="S632" i="10" a="1"/>
  <c r="S632" i="10" s="1"/>
  <c r="T632" i="10" a="1"/>
  <c r="T632" i="10" s="1"/>
  <c r="O632" i="10" a="1"/>
  <c r="O632" i="10" s="1"/>
  <c r="V632" i="10" a="1"/>
  <c r="V632" i="10" s="1"/>
  <c r="P632" i="10" a="1"/>
  <c r="P632" i="10" s="1"/>
  <c r="Q632" i="10" a="1"/>
  <c r="Q632" i="10" s="1"/>
  <c r="U632" i="10"/>
  <c r="R632" i="10" a="1"/>
  <c r="R632" i="10" s="1"/>
  <c r="Q633" i="10" a="1"/>
  <c r="Q633" i="10" s="1"/>
  <c r="S633" i="10" a="1"/>
  <c r="S633" i="10" s="1"/>
  <c r="U633" i="10"/>
  <c r="T633" i="10" a="1"/>
  <c r="T633" i="10" s="1"/>
  <c r="P633" i="10" a="1"/>
  <c r="P633" i="10" s="1"/>
  <c r="V633" i="10" a="1"/>
  <c r="V633" i="10" s="1"/>
  <c r="O633" i="10" a="1"/>
  <c r="O633" i="10" s="1"/>
  <c r="R633" i="10" a="1"/>
  <c r="R633" i="10" s="1"/>
  <c r="P634" i="10" a="1"/>
  <c r="P634" i="10" s="1"/>
  <c r="U634" i="10"/>
  <c r="O634" i="10" a="1"/>
  <c r="O634" i="10" s="1"/>
  <c r="R634" i="10" a="1"/>
  <c r="R634" i="10" s="1"/>
  <c r="Q634" i="10" a="1"/>
  <c r="Q634" i="10" s="1"/>
  <c r="S634" i="10" a="1"/>
  <c r="S634" i="10" s="1"/>
  <c r="V634" i="10" a="1"/>
  <c r="V634" i="10" s="1"/>
  <c r="T634" i="10" a="1"/>
  <c r="T634" i="10" s="1"/>
  <c r="R635" i="10" a="1"/>
  <c r="R635" i="10" s="1"/>
  <c r="U635" i="10"/>
  <c r="Q635" i="10" a="1"/>
  <c r="Q635" i="10" s="1"/>
  <c r="O635" i="10" a="1"/>
  <c r="O635" i="10" s="1"/>
  <c r="P635" i="10" a="1"/>
  <c r="P635" i="10" s="1"/>
  <c r="V635" i="10" a="1"/>
  <c r="V635" i="10" s="1"/>
  <c r="S635" i="10" a="1"/>
  <c r="S635" i="10" s="1"/>
  <c r="T635" i="10" a="1"/>
  <c r="T635" i="10" s="1"/>
  <c r="R636" i="10" a="1"/>
  <c r="R636" i="10" s="1"/>
  <c r="U636" i="10"/>
  <c r="S636" i="10" a="1"/>
  <c r="S636" i="10" s="1"/>
  <c r="O636" i="10" a="1"/>
  <c r="O636" i="10" s="1"/>
  <c r="Q636" i="10" a="1"/>
  <c r="Q636" i="10" s="1"/>
  <c r="V636" i="10" a="1"/>
  <c r="V636" i="10" s="1"/>
  <c r="P636" i="10" a="1"/>
  <c r="P636" i="10" s="1"/>
  <c r="T636" i="10" a="1"/>
  <c r="T636" i="10" s="1"/>
  <c r="O637" i="10" a="1"/>
  <c r="O637" i="10" s="1"/>
  <c r="R637" i="10" a="1"/>
  <c r="R637" i="10" s="1"/>
  <c r="V637" i="10" a="1"/>
  <c r="V637" i="10" s="1"/>
  <c r="S637" i="10" a="1"/>
  <c r="S637" i="10" s="1"/>
  <c r="T637" i="10" a="1"/>
  <c r="T637" i="10" s="1"/>
  <c r="Q637" i="10" a="1"/>
  <c r="Q637" i="10" s="1"/>
  <c r="P637" i="10" a="1"/>
  <c r="P637" i="10" s="1"/>
  <c r="U637" i="10"/>
  <c r="T638" i="10" a="1"/>
  <c r="T638" i="10" s="1"/>
  <c r="Q638" i="10" a="1"/>
  <c r="Q638" i="10" s="1"/>
  <c r="P638" i="10" a="1"/>
  <c r="P638" i="10" s="1"/>
  <c r="U638" i="10"/>
  <c r="O638" i="10" a="1"/>
  <c r="O638" i="10" s="1"/>
  <c r="V638" i="10" a="1"/>
  <c r="V638" i="10" s="1"/>
  <c r="R638" i="10" a="1"/>
  <c r="R638" i="10" s="1"/>
  <c r="S638" i="10" a="1"/>
  <c r="S638" i="10" s="1"/>
  <c r="U639" i="10"/>
  <c r="Q639" i="10" a="1"/>
  <c r="Q639" i="10" s="1"/>
  <c r="T639" i="10" a="1"/>
  <c r="T639" i="10" s="1"/>
  <c r="O639" i="10" a="1"/>
  <c r="O639" i="10" s="1"/>
  <c r="P639" i="10" a="1"/>
  <c r="P639" i="10" s="1"/>
  <c r="R639" i="10" a="1"/>
  <c r="R639" i="10" s="1"/>
  <c r="S639" i="10" a="1"/>
  <c r="S639" i="10" s="1"/>
  <c r="V639" i="10" a="1"/>
  <c r="V639" i="10" s="1"/>
  <c r="S640" i="10" a="1"/>
  <c r="S640" i="10" s="1"/>
  <c r="P640" i="10" a="1"/>
  <c r="P640" i="10" s="1"/>
  <c r="U640" i="10"/>
  <c r="Q640" i="10" a="1"/>
  <c r="Q640" i="10" s="1"/>
  <c r="R640" i="10" a="1"/>
  <c r="R640" i="10" s="1"/>
  <c r="O640" i="10" a="1"/>
  <c r="O640" i="10" s="1"/>
  <c r="V640" i="10" a="1"/>
  <c r="V640" i="10" s="1"/>
  <c r="T640" i="10" a="1"/>
  <c r="T640" i="10" s="1"/>
  <c r="T641" i="10" a="1"/>
  <c r="T641" i="10" s="1"/>
  <c r="R641" i="10" a="1"/>
  <c r="R641" i="10" s="1"/>
  <c r="O641" i="10" a="1"/>
  <c r="O641" i="10" s="1"/>
  <c r="U641" i="10"/>
  <c r="S641" i="10" a="1"/>
  <c r="S641" i="10" s="1"/>
  <c r="V641" i="10" a="1"/>
  <c r="V641" i="10" s="1"/>
  <c r="P641" i="10" a="1"/>
  <c r="P641" i="10" s="1"/>
  <c r="Q641" i="10" a="1"/>
  <c r="Q641" i="10" s="1"/>
  <c r="P642" i="10" a="1"/>
  <c r="P642" i="10" s="1"/>
  <c r="O642" i="10" a="1"/>
  <c r="O642" i="10" s="1"/>
  <c r="R642" i="10" a="1"/>
  <c r="R642" i="10" s="1"/>
  <c r="V642" i="10" a="1"/>
  <c r="V642" i="10" s="1"/>
  <c r="Q642" i="10" a="1"/>
  <c r="Q642" i="10" s="1"/>
  <c r="T642" i="10" a="1"/>
  <c r="T642" i="10" s="1"/>
  <c r="U642" i="10"/>
  <c r="S642" i="10" a="1"/>
  <c r="S642" i="10" s="1"/>
  <c r="O643" i="10" a="1"/>
  <c r="O643" i="10" s="1"/>
  <c r="P643" i="10" a="1"/>
  <c r="P643" i="10" s="1"/>
  <c r="Q643" i="10" a="1"/>
  <c r="Q643" i="10" s="1"/>
  <c r="T643" i="10" a="1"/>
  <c r="T643" i="10" s="1"/>
  <c r="R643" i="10" a="1"/>
  <c r="R643" i="10" s="1"/>
  <c r="U643" i="10"/>
  <c r="V643" i="10" a="1"/>
  <c r="V643" i="10" s="1"/>
  <c r="S643" i="10" a="1"/>
  <c r="S643" i="10" s="1"/>
  <c r="Q644" i="10" a="1"/>
  <c r="Q644" i="10" s="1"/>
  <c r="S644" i="10" a="1"/>
  <c r="S644" i="10" s="1"/>
  <c r="V644" i="10" a="1"/>
  <c r="V644" i="10" s="1"/>
  <c r="R644" i="10" a="1"/>
  <c r="R644" i="10" s="1"/>
  <c r="U644" i="10"/>
  <c r="O644" i="10" a="1"/>
  <c r="O644" i="10" s="1"/>
  <c r="P644" i="10" a="1"/>
  <c r="P644" i="10" s="1"/>
  <c r="T644" i="10" a="1"/>
  <c r="T644" i="10" s="1"/>
  <c r="V645" i="10" a="1"/>
  <c r="V645" i="10" s="1"/>
  <c r="T645" i="10" a="1"/>
  <c r="T645" i="10" s="1"/>
  <c r="O645" i="10" a="1"/>
  <c r="O645" i="10" s="1"/>
  <c r="S645" i="10" a="1"/>
  <c r="S645" i="10" s="1"/>
  <c r="P645" i="10" a="1"/>
  <c r="P645" i="10" s="1"/>
  <c r="R645" i="10" a="1"/>
  <c r="R645" i="10" s="1"/>
  <c r="U645" i="10"/>
  <c r="Q645" i="10" a="1"/>
  <c r="Q645" i="10" s="1"/>
  <c r="P646" i="10" a="1"/>
  <c r="P646" i="10" s="1"/>
  <c r="T646" i="10" a="1"/>
  <c r="T646" i="10" s="1"/>
  <c r="Q646" i="10" a="1"/>
  <c r="Q646" i="10" s="1"/>
  <c r="R646" i="10" a="1"/>
  <c r="R646" i="10" s="1"/>
  <c r="U646" i="10"/>
  <c r="S646" i="10" a="1"/>
  <c r="S646" i="10" s="1"/>
  <c r="V646" i="10" a="1"/>
  <c r="V646" i="10" s="1"/>
  <c r="O646" i="10" a="1"/>
  <c r="O646" i="10" s="1"/>
  <c r="O647" i="10" a="1"/>
  <c r="O647" i="10" s="1"/>
  <c r="P647" i="10" a="1"/>
  <c r="P647" i="10" s="1"/>
  <c r="V647" i="10" a="1"/>
  <c r="V647" i="10" s="1"/>
  <c r="Q647" i="10" a="1"/>
  <c r="Q647" i="10" s="1"/>
  <c r="U647" i="10"/>
  <c r="R647" i="10" a="1"/>
  <c r="R647" i="10" s="1"/>
  <c r="S647" i="10" a="1"/>
  <c r="S647" i="10" s="1"/>
  <c r="T647" i="10" a="1"/>
  <c r="T647" i="10" s="1"/>
  <c r="V648" i="10" a="1"/>
  <c r="V648" i="10" s="1"/>
  <c r="Q648" i="10" a="1"/>
  <c r="Q648" i="10" s="1"/>
  <c r="R648" i="10" a="1"/>
  <c r="R648" i="10" s="1"/>
  <c r="S648" i="10" a="1"/>
  <c r="S648" i="10" s="1"/>
  <c r="P648" i="10" a="1"/>
  <c r="P648" i="10" s="1"/>
  <c r="O648" i="10" a="1"/>
  <c r="O648" i="10" s="1"/>
  <c r="U648" i="10"/>
  <c r="T648" i="10" a="1"/>
  <c r="T648" i="10" s="1"/>
  <c r="O649" i="10" a="1"/>
  <c r="O649" i="10" s="1"/>
  <c r="V649" i="10" a="1"/>
  <c r="V649" i="10" s="1"/>
  <c r="U649" i="10"/>
  <c r="Q649" i="10" a="1"/>
  <c r="Q649" i="10" s="1"/>
  <c r="T649" i="10" a="1"/>
  <c r="T649" i="10" s="1"/>
  <c r="P649" i="10" a="1"/>
  <c r="P649" i="10" s="1"/>
  <c r="R649" i="10" a="1"/>
  <c r="R649" i="10" s="1"/>
  <c r="S649" i="10" a="1"/>
  <c r="S649" i="10" s="1"/>
  <c r="V650" i="10" a="1"/>
  <c r="V650" i="10" s="1"/>
  <c r="S650" i="10" a="1"/>
  <c r="S650" i="10" s="1"/>
  <c r="P650" i="10" a="1"/>
  <c r="P650" i="10" s="1"/>
  <c r="Q650" i="10" a="1"/>
  <c r="Q650" i="10" s="1"/>
  <c r="R650" i="10" a="1"/>
  <c r="R650" i="10" s="1"/>
  <c r="O650" i="10" a="1"/>
  <c r="O650" i="10" s="1"/>
  <c r="U650" i="10"/>
  <c r="T650" i="10" a="1"/>
  <c r="T650" i="10" s="1"/>
  <c r="O651" i="10" a="1"/>
  <c r="O651" i="10" s="1"/>
  <c r="S651" i="10" a="1"/>
  <c r="S651" i="10" s="1"/>
  <c r="R651" i="10" a="1"/>
  <c r="R651" i="10" s="1"/>
  <c r="Q651" i="10" a="1"/>
  <c r="Q651" i="10" s="1"/>
  <c r="T651" i="10" a="1"/>
  <c r="T651" i="10" s="1"/>
  <c r="V651" i="10" a="1"/>
  <c r="V651" i="10" s="1"/>
  <c r="U651" i="10"/>
  <c r="P651" i="10" a="1"/>
  <c r="P651" i="10" s="1"/>
  <c r="T652" i="10" a="1"/>
  <c r="T652" i="10" s="1"/>
  <c r="Q652" i="10" a="1"/>
  <c r="Q652" i="10" s="1"/>
  <c r="R652" i="10" a="1"/>
  <c r="R652" i="10" s="1"/>
  <c r="O652" i="10" a="1"/>
  <c r="O652" i="10" s="1"/>
  <c r="V652" i="10" a="1"/>
  <c r="V652" i="10" s="1"/>
  <c r="P652" i="10" a="1"/>
  <c r="P652" i="10" s="1"/>
  <c r="U652" i="10"/>
  <c r="S652" i="10" a="1"/>
  <c r="S652" i="10" s="1"/>
  <c r="Q653" i="10" a="1"/>
  <c r="Q653" i="10" s="1"/>
  <c r="R653" i="10" a="1"/>
  <c r="R653" i="10" s="1"/>
  <c r="V653" i="10" a="1"/>
  <c r="V653" i="10" s="1"/>
  <c r="U653" i="10"/>
  <c r="O653" i="10" a="1"/>
  <c r="O653" i="10" s="1"/>
  <c r="S653" i="10" a="1"/>
  <c r="S653" i="10" s="1"/>
  <c r="T653" i="10" a="1"/>
  <c r="T653" i="10" s="1"/>
  <c r="P653" i="10" a="1"/>
  <c r="P653" i="10" s="1"/>
  <c r="R654" i="10" a="1"/>
  <c r="R654" i="10" s="1"/>
  <c r="Q654" i="10" a="1"/>
  <c r="Q654" i="10" s="1"/>
  <c r="S654" i="10" a="1"/>
  <c r="S654" i="10" s="1"/>
  <c r="U654" i="10"/>
  <c r="V654" i="10" a="1"/>
  <c r="V654" i="10" s="1"/>
  <c r="T654" i="10" a="1"/>
  <c r="T654" i="10" s="1"/>
  <c r="P654" i="10" a="1"/>
  <c r="P654" i="10" s="1"/>
  <c r="O654" i="10" a="1"/>
  <c r="O654" i="10" s="1"/>
  <c r="T655" i="10" a="1"/>
  <c r="T655" i="10" s="1"/>
  <c r="V655" i="10" a="1"/>
  <c r="V655" i="10" s="1"/>
  <c r="S655" i="10" a="1"/>
  <c r="S655" i="10" s="1"/>
  <c r="O655" i="10" a="1"/>
  <c r="O655" i="10" s="1"/>
  <c r="U655" i="10"/>
  <c r="Q655" i="10" a="1"/>
  <c r="Q655" i="10" s="1"/>
  <c r="R655" i="10" a="1"/>
  <c r="R655" i="10" s="1"/>
  <c r="P655" i="10" a="1"/>
  <c r="P655" i="10" s="1"/>
  <c r="U656" i="10"/>
  <c r="O656" i="10" a="1"/>
  <c r="O656" i="10" s="1"/>
  <c r="S656" i="10" a="1"/>
  <c r="S656" i="10" s="1"/>
  <c r="P656" i="10" a="1"/>
  <c r="P656" i="10" s="1"/>
  <c r="T656" i="10" a="1"/>
  <c r="T656" i="10" s="1"/>
  <c r="V656" i="10" a="1"/>
  <c r="V656" i="10" s="1"/>
  <c r="R656" i="10" a="1"/>
  <c r="R656" i="10" s="1"/>
  <c r="Q656" i="10" a="1"/>
  <c r="Q656" i="10" s="1"/>
  <c r="O657" i="10" a="1"/>
  <c r="O657" i="10" s="1"/>
  <c r="U657" i="10"/>
  <c r="Q657" i="10" a="1"/>
  <c r="Q657" i="10" s="1"/>
  <c r="T657" i="10" a="1"/>
  <c r="T657" i="10" s="1"/>
  <c r="P657" i="10" a="1"/>
  <c r="P657" i="10" s="1"/>
  <c r="R657" i="10" a="1"/>
  <c r="R657" i="10" s="1"/>
  <c r="V657" i="10" a="1"/>
  <c r="V657" i="10" s="1"/>
  <c r="S657" i="10" a="1"/>
  <c r="S657" i="10" s="1"/>
  <c r="V658" i="10" a="1"/>
  <c r="V658" i="10" s="1"/>
  <c r="O658" i="10" a="1"/>
  <c r="O658" i="10" s="1"/>
  <c r="U658" i="10"/>
  <c r="T658" i="10" a="1"/>
  <c r="T658" i="10" s="1"/>
  <c r="S658" i="10" a="1"/>
  <c r="S658" i="10" s="1"/>
  <c r="R658" i="10" a="1"/>
  <c r="R658" i="10" s="1"/>
  <c r="Q658" i="10" a="1"/>
  <c r="Q658" i="10" s="1"/>
  <c r="P658" i="10" a="1"/>
  <c r="P658" i="10" s="1"/>
  <c r="O659" i="10" a="1"/>
  <c r="O659" i="10" s="1"/>
  <c r="U659" i="10"/>
  <c r="S659" i="10" a="1"/>
  <c r="S659" i="10" s="1"/>
  <c r="Q659" i="10" a="1"/>
  <c r="Q659" i="10" s="1"/>
  <c r="R659" i="10" a="1"/>
  <c r="R659" i="10" s="1"/>
  <c r="V659" i="10" a="1"/>
  <c r="V659" i="10" s="1"/>
  <c r="P659" i="10" a="1"/>
  <c r="P659" i="10" s="1"/>
  <c r="T659" i="10" a="1"/>
  <c r="T659" i="10" s="1"/>
  <c r="Q660" i="10" a="1"/>
  <c r="Q660" i="10" s="1"/>
  <c r="R660" i="10" a="1"/>
  <c r="R660" i="10" s="1"/>
  <c r="T660" i="10" a="1"/>
  <c r="T660" i="10" s="1"/>
  <c r="O660" i="10" a="1"/>
  <c r="O660" i="10" s="1"/>
  <c r="V660" i="10" a="1"/>
  <c r="V660" i="10" s="1"/>
  <c r="S660" i="10" a="1"/>
  <c r="S660" i="10" s="1"/>
  <c r="P660" i="10" a="1"/>
  <c r="P660" i="10" s="1"/>
  <c r="U660" i="10"/>
  <c r="U661" i="10"/>
  <c r="V661" i="10" a="1"/>
  <c r="V661" i="10" s="1"/>
  <c r="S661" i="10" a="1"/>
  <c r="S661" i="10" s="1"/>
  <c r="O661" i="10" a="1"/>
  <c r="O661" i="10" s="1"/>
  <c r="T661" i="10" a="1"/>
  <c r="T661" i="10" s="1"/>
  <c r="R661" i="10" a="1"/>
  <c r="R661" i="10" s="1"/>
  <c r="P661" i="10" a="1"/>
  <c r="P661" i="10" s="1"/>
  <c r="Q661" i="10" a="1"/>
  <c r="Q661" i="10" s="1"/>
  <c r="R662" i="10" a="1"/>
  <c r="R662" i="10" s="1"/>
  <c r="P662" i="10" a="1"/>
  <c r="P662" i="10" s="1"/>
  <c r="S662" i="10" a="1"/>
  <c r="S662" i="10" s="1"/>
  <c r="T662" i="10" a="1"/>
  <c r="T662" i="10" s="1"/>
  <c r="V662" i="10" a="1"/>
  <c r="V662" i="10" s="1"/>
  <c r="Q662" i="10" a="1"/>
  <c r="Q662" i="10" s="1"/>
  <c r="U662" i="10"/>
  <c r="O662" i="10" a="1"/>
  <c r="O662" i="10" s="1"/>
  <c r="V663" i="10" a="1"/>
  <c r="V663" i="10" s="1"/>
  <c r="S663" i="10" a="1"/>
  <c r="S663" i="10" s="1"/>
  <c r="O663" i="10" a="1"/>
  <c r="O663" i="10" s="1"/>
  <c r="U663" i="10"/>
  <c r="P663" i="10" a="1"/>
  <c r="P663" i="10" s="1"/>
  <c r="R663" i="10" a="1"/>
  <c r="R663" i="10" s="1"/>
  <c r="Q663" i="10" a="1"/>
  <c r="Q663" i="10" s="1"/>
  <c r="T663" i="10" a="1"/>
  <c r="T663" i="10" s="1"/>
  <c r="Q664" i="10" a="1"/>
  <c r="Q664" i="10" s="1"/>
  <c r="O664" i="10" a="1"/>
  <c r="O664" i="10" s="1"/>
  <c r="S664" i="10" a="1"/>
  <c r="S664" i="10" s="1"/>
  <c r="T664" i="10" a="1"/>
  <c r="T664" i="10" s="1"/>
  <c r="U664" i="10"/>
  <c r="R664" i="10" a="1"/>
  <c r="R664" i="10" s="1"/>
  <c r="P664" i="10" a="1"/>
  <c r="P664" i="10" s="1"/>
  <c r="V664" i="10" a="1"/>
  <c r="V664" i="10" s="1"/>
  <c r="O665" i="10" a="1"/>
  <c r="O665" i="10" s="1"/>
  <c r="U665" i="10"/>
  <c r="P665" i="10" a="1"/>
  <c r="P665" i="10" s="1"/>
  <c r="R665" i="10" a="1"/>
  <c r="R665" i="10" s="1"/>
  <c r="Q665" i="10" a="1"/>
  <c r="Q665" i="10" s="1"/>
  <c r="T665" i="10" a="1"/>
  <c r="T665" i="10" s="1"/>
  <c r="V665" i="10" a="1"/>
  <c r="V665" i="10" s="1"/>
  <c r="S665" i="10" a="1"/>
  <c r="S665" i="10" s="1"/>
  <c r="V666" i="10" a="1"/>
  <c r="V666" i="10" s="1"/>
  <c r="Q666" i="10" a="1"/>
  <c r="Q666" i="10" s="1"/>
  <c r="O666" i="10" a="1"/>
  <c r="O666" i="10" s="1"/>
  <c r="T666" i="10" a="1"/>
  <c r="T666" i="10" s="1"/>
  <c r="S666" i="10" a="1"/>
  <c r="S666" i="10" s="1"/>
  <c r="R666" i="10" a="1"/>
  <c r="R666" i="10" s="1"/>
  <c r="U666" i="10"/>
  <c r="P666" i="10" a="1"/>
  <c r="P666" i="10" s="1"/>
  <c r="Q667" i="10" a="1"/>
  <c r="Q667" i="10" s="1"/>
  <c r="U667" i="10"/>
  <c r="R667" i="10" a="1"/>
  <c r="R667" i="10" s="1"/>
  <c r="S667" i="10" a="1"/>
  <c r="S667" i="10" s="1"/>
  <c r="T667" i="10" a="1"/>
  <c r="T667" i="10" s="1"/>
  <c r="V667" i="10" a="1"/>
  <c r="V667" i="10" s="1"/>
  <c r="P667" i="10" a="1"/>
  <c r="P667" i="10" s="1"/>
  <c r="O667" i="10" a="1"/>
  <c r="O667" i="10" s="1"/>
  <c r="R668" i="10" a="1"/>
  <c r="R668" i="10" s="1"/>
  <c r="Q668" i="10" a="1"/>
  <c r="Q668" i="10" s="1"/>
  <c r="S668" i="10" a="1"/>
  <c r="S668" i="10" s="1"/>
  <c r="V668" i="10" a="1"/>
  <c r="V668" i="10" s="1"/>
  <c r="T668" i="10" a="1"/>
  <c r="T668" i="10" s="1"/>
  <c r="P668" i="10" a="1"/>
  <c r="P668" i="10" s="1"/>
  <c r="U668" i="10"/>
  <c r="O668" i="10" a="1"/>
  <c r="O668" i="10" s="1"/>
  <c r="O669" i="10" a="1"/>
  <c r="O669" i="10" s="1"/>
  <c r="Q669" i="10" a="1"/>
  <c r="Q669" i="10" s="1"/>
  <c r="P669" i="10" a="1"/>
  <c r="P669" i="10" s="1"/>
  <c r="S669" i="10" a="1"/>
  <c r="S669" i="10" s="1"/>
  <c r="T669" i="10" a="1"/>
  <c r="T669" i="10" s="1"/>
  <c r="V669" i="10" a="1"/>
  <c r="V669" i="10" s="1"/>
  <c r="U669" i="10"/>
  <c r="R669" i="10" a="1"/>
  <c r="R669" i="10" s="1"/>
  <c r="V670" i="10" a="1"/>
  <c r="V670" i="10" s="1"/>
  <c r="S670" i="10" a="1"/>
  <c r="S670" i="10" s="1"/>
  <c r="U670" i="10"/>
  <c r="P670" i="10" a="1"/>
  <c r="P670" i="10" s="1"/>
  <c r="O670" i="10" a="1"/>
  <c r="O670" i="10" s="1"/>
  <c r="Q670" i="10" a="1"/>
  <c r="Q670" i="10" s="1"/>
  <c r="T670" i="10" a="1"/>
  <c r="T670" i="10" s="1"/>
  <c r="R670" i="10" a="1"/>
  <c r="R670" i="10" s="1"/>
  <c r="O671" i="10" a="1"/>
  <c r="O671" i="10" s="1"/>
  <c r="R671" i="10" a="1"/>
  <c r="R671" i="10" s="1"/>
  <c r="U671" i="10"/>
  <c r="T671" i="10" a="1"/>
  <c r="T671" i="10" s="1"/>
  <c r="V671" i="10" a="1"/>
  <c r="V671" i="10" s="1"/>
  <c r="P671" i="10" a="1"/>
  <c r="P671" i="10" s="1"/>
  <c r="S671" i="10" a="1"/>
  <c r="S671" i="10" s="1"/>
  <c r="Q671" i="10" a="1"/>
  <c r="Q671" i="10" s="1"/>
  <c r="R672" i="10" a="1"/>
  <c r="R672" i="10" s="1"/>
  <c r="T672" i="10" a="1"/>
  <c r="T672" i="10" s="1"/>
  <c r="P672" i="10" a="1"/>
  <c r="P672" i="10" s="1"/>
  <c r="V672" i="10" a="1"/>
  <c r="V672" i="10" s="1"/>
  <c r="S672" i="10" a="1"/>
  <c r="S672" i="10" s="1"/>
  <c r="Q672" i="10" a="1"/>
  <c r="Q672" i="10" s="1"/>
  <c r="U672" i="10"/>
  <c r="O672" i="10" a="1"/>
  <c r="O672" i="10" s="1"/>
  <c r="R673" i="10" a="1"/>
  <c r="R673" i="10" s="1"/>
  <c r="T673" i="10" a="1"/>
  <c r="T673" i="10" s="1"/>
  <c r="U673" i="10"/>
  <c r="P673" i="10" a="1"/>
  <c r="P673" i="10" s="1"/>
  <c r="Q673" i="10" a="1"/>
  <c r="Q673" i="10" s="1"/>
  <c r="V673" i="10" a="1"/>
  <c r="V673" i="10" s="1"/>
  <c r="S673" i="10" a="1"/>
  <c r="S673" i="10" s="1"/>
  <c r="O673" i="10" a="1"/>
  <c r="O673" i="10" s="1"/>
  <c r="O674" i="10" a="1"/>
  <c r="O674" i="10" s="1"/>
  <c r="Q674" i="10" a="1"/>
  <c r="Q674" i="10" s="1"/>
  <c r="S674" i="10" a="1"/>
  <c r="S674" i="10" s="1"/>
  <c r="R674" i="10" a="1"/>
  <c r="R674" i="10" s="1"/>
  <c r="P674" i="10" a="1"/>
  <c r="P674" i="10" s="1"/>
  <c r="U674" i="10"/>
  <c r="T674" i="10" a="1"/>
  <c r="T674" i="10" s="1"/>
  <c r="V674" i="10" a="1"/>
  <c r="V674" i="10" s="1"/>
  <c r="P675" i="10" a="1"/>
  <c r="P675" i="10" s="1"/>
  <c r="S675" i="10" a="1"/>
  <c r="S675" i="10" s="1"/>
  <c r="R675" i="10" a="1"/>
  <c r="R675" i="10" s="1"/>
  <c r="T675" i="10" a="1"/>
  <c r="T675" i="10" s="1"/>
  <c r="U675" i="10"/>
  <c r="V675" i="10" a="1"/>
  <c r="V675" i="10" s="1"/>
  <c r="O675" i="10" a="1"/>
  <c r="O675" i="10" s="1"/>
  <c r="Q675" i="10" a="1"/>
  <c r="Q675" i="10" s="1"/>
  <c r="T676" i="10" a="1"/>
  <c r="T676" i="10" s="1"/>
  <c r="S676" i="10" a="1"/>
  <c r="S676" i="10" s="1"/>
  <c r="P676" i="10" a="1"/>
  <c r="P676" i="10" s="1"/>
  <c r="V676" i="10" a="1"/>
  <c r="V676" i="10" s="1"/>
  <c r="O676" i="10" a="1"/>
  <c r="O676" i="10" s="1"/>
  <c r="R676" i="10" a="1"/>
  <c r="R676" i="10" s="1"/>
  <c r="Q676" i="10" a="1"/>
  <c r="Q676" i="10" s="1"/>
  <c r="U676" i="10"/>
  <c r="S677" i="10" a="1"/>
  <c r="S677" i="10" s="1"/>
  <c r="P677" i="10" a="1"/>
  <c r="P677" i="10" s="1"/>
  <c r="T677" i="10" a="1"/>
  <c r="T677" i="10" s="1"/>
  <c r="Q677" i="10" a="1"/>
  <c r="Q677" i="10" s="1"/>
  <c r="U677" i="10"/>
  <c r="O677" i="10" a="1"/>
  <c r="O677" i="10" s="1"/>
  <c r="V677" i="10" a="1"/>
  <c r="V677" i="10" s="1"/>
  <c r="R677" i="10" a="1"/>
  <c r="R677" i="10" s="1"/>
  <c r="O678" i="10" a="1"/>
  <c r="O678" i="10" s="1"/>
  <c r="R678" i="10" a="1"/>
  <c r="R678" i="10" s="1"/>
  <c r="V678" i="10" a="1"/>
  <c r="V678" i="10" s="1"/>
  <c r="Q678" i="10" a="1"/>
  <c r="Q678" i="10" s="1"/>
  <c r="U678" i="10"/>
  <c r="S678" i="10" a="1"/>
  <c r="S678" i="10" s="1"/>
  <c r="P678" i="10" a="1"/>
  <c r="P678" i="10" s="1"/>
  <c r="T678" i="10" a="1"/>
  <c r="T678" i="10" s="1"/>
  <c r="V679" i="10" a="1"/>
  <c r="V679" i="10" s="1"/>
  <c r="U679" i="10"/>
  <c r="T679" i="10" a="1"/>
  <c r="T679" i="10" s="1"/>
  <c r="R679" i="10" a="1"/>
  <c r="R679" i="10" s="1"/>
  <c r="O679" i="10" a="1"/>
  <c r="O679" i="10" s="1"/>
  <c r="P679" i="10" a="1"/>
  <c r="P679" i="10" s="1"/>
  <c r="Q679" i="10" a="1"/>
  <c r="Q679" i="10" s="1"/>
  <c r="S679" i="10" a="1"/>
  <c r="S679" i="10" s="1"/>
  <c r="S680" i="10" a="1"/>
  <c r="S680" i="10" s="1"/>
  <c r="V680" i="10" a="1"/>
  <c r="V680" i="10" s="1"/>
  <c r="Q680" i="10" a="1"/>
  <c r="Q680" i="10" s="1"/>
  <c r="R680" i="10" a="1"/>
  <c r="R680" i="10" s="1"/>
  <c r="O680" i="10" a="1"/>
  <c r="O680" i="10" s="1"/>
  <c r="T680" i="10" a="1"/>
  <c r="T680" i="10" s="1"/>
  <c r="P680" i="10" a="1"/>
  <c r="P680" i="10" s="1"/>
  <c r="U680" i="10"/>
  <c r="P681" i="10" a="1"/>
  <c r="P681" i="10" s="1"/>
  <c r="O681" i="10" a="1"/>
  <c r="O681" i="10" s="1"/>
  <c r="Q681" i="10" a="1"/>
  <c r="Q681" i="10" s="1"/>
  <c r="R681" i="10" a="1"/>
  <c r="R681" i="10" s="1"/>
  <c r="U681" i="10"/>
  <c r="T681" i="10" a="1"/>
  <c r="T681" i="10" s="1"/>
  <c r="S681" i="10" a="1"/>
  <c r="S681" i="10" s="1"/>
  <c r="V681" i="10" a="1"/>
  <c r="V681" i="10" s="1"/>
  <c r="U682" i="10"/>
  <c r="S682" i="10" a="1"/>
  <c r="S682" i="10" s="1"/>
  <c r="T682" i="10" a="1"/>
  <c r="T682" i="10" s="1"/>
  <c r="Q682" i="10" a="1"/>
  <c r="Q682" i="10" s="1"/>
  <c r="O682" i="10" a="1"/>
  <c r="O682" i="10" s="1"/>
  <c r="R682" i="10" a="1"/>
  <c r="R682" i="10" s="1"/>
  <c r="V682" i="10" a="1"/>
  <c r="V682" i="10" s="1"/>
  <c r="P682" i="10" a="1"/>
  <c r="P682" i="10" s="1"/>
  <c r="R683" i="10" a="1"/>
  <c r="R683" i="10" s="1"/>
  <c r="S683" i="10" a="1"/>
  <c r="S683" i="10" s="1"/>
  <c r="T683" i="10" a="1"/>
  <c r="T683" i="10" s="1"/>
  <c r="U683" i="10"/>
  <c r="Q683" i="10" a="1"/>
  <c r="Q683" i="10" s="1"/>
  <c r="V683" i="10" a="1"/>
  <c r="V683" i="10" s="1"/>
  <c r="P683" i="10" a="1"/>
  <c r="P683" i="10" s="1"/>
  <c r="O683" i="10" a="1"/>
  <c r="O683" i="10" s="1"/>
  <c r="Q684" i="10" a="1"/>
  <c r="Q684" i="10" s="1"/>
  <c r="O684" i="10" a="1"/>
  <c r="O684" i="10" s="1"/>
  <c r="U684" i="10"/>
  <c r="V684" i="10" a="1"/>
  <c r="V684" i="10" s="1"/>
  <c r="P684" i="10" a="1"/>
  <c r="P684" i="10" s="1"/>
  <c r="R684" i="10" a="1"/>
  <c r="R684" i="10" s="1"/>
  <c r="S684" i="10" a="1"/>
  <c r="S684" i="10" s="1"/>
  <c r="T684" i="10" a="1"/>
  <c r="T684" i="10" s="1"/>
  <c r="T685" i="10" a="1"/>
  <c r="T685" i="10" s="1"/>
  <c r="P685" i="10" a="1"/>
  <c r="P685" i="10" s="1"/>
  <c r="U685" i="10"/>
  <c r="O685" i="10" a="1"/>
  <c r="O685" i="10" s="1"/>
  <c r="V685" i="10" a="1"/>
  <c r="V685" i="10" s="1"/>
  <c r="R685" i="10" a="1"/>
  <c r="R685" i="10" s="1"/>
  <c r="Q685" i="10" a="1"/>
  <c r="Q685" i="10" s="1"/>
  <c r="S685" i="10" a="1"/>
  <c r="S685" i="10" s="1"/>
  <c r="R686" i="10" a="1"/>
  <c r="R686" i="10" s="1"/>
  <c r="V686" i="10" a="1"/>
  <c r="V686" i="10" s="1"/>
  <c r="O686" i="10" a="1"/>
  <c r="O686" i="10" s="1"/>
  <c r="U686" i="10"/>
  <c r="S686" i="10" a="1"/>
  <c r="S686" i="10" s="1"/>
  <c r="Q686" i="10" a="1"/>
  <c r="Q686" i="10" s="1"/>
  <c r="T686" i="10" a="1"/>
  <c r="T686" i="10" s="1"/>
  <c r="P686" i="10" a="1"/>
  <c r="P686" i="10" s="1"/>
  <c r="P687" i="10" a="1"/>
  <c r="P687" i="10" s="1"/>
  <c r="V687" i="10" a="1"/>
  <c r="V687" i="10" s="1"/>
  <c r="S687" i="10" a="1"/>
  <c r="S687" i="10" s="1"/>
  <c r="O687" i="10" a="1"/>
  <c r="O687" i="10" s="1"/>
  <c r="Q687" i="10" a="1"/>
  <c r="Q687" i="10" s="1"/>
  <c r="R687" i="10" a="1"/>
  <c r="R687" i="10" s="1"/>
  <c r="U687" i="10"/>
  <c r="T687" i="10" a="1"/>
  <c r="T687" i="10" s="1"/>
  <c r="P688" i="10" a="1"/>
  <c r="P688" i="10" s="1"/>
  <c r="S688" i="10" a="1"/>
  <c r="S688" i="10" s="1"/>
  <c r="V688" i="10" a="1"/>
  <c r="V688" i="10" s="1"/>
  <c r="O688" i="10" a="1"/>
  <c r="O688" i="10" s="1"/>
  <c r="T688" i="10" a="1"/>
  <c r="T688" i="10" s="1"/>
  <c r="Q688" i="10" a="1"/>
  <c r="Q688" i="10" s="1"/>
  <c r="U688" i="10"/>
  <c r="R688" i="10" a="1"/>
  <c r="R688" i="10" s="1"/>
  <c r="V689" i="10" a="1"/>
  <c r="V689" i="10" s="1"/>
  <c r="R689" i="10" a="1"/>
  <c r="R689" i="10" s="1"/>
  <c r="Q689" i="10" a="1"/>
  <c r="Q689" i="10" s="1"/>
  <c r="T689" i="10" a="1"/>
  <c r="T689" i="10" s="1"/>
  <c r="U689" i="10"/>
  <c r="O689" i="10" a="1"/>
  <c r="O689" i="10" s="1"/>
  <c r="S689" i="10" a="1"/>
  <c r="S689" i="10" s="1"/>
  <c r="P689" i="10" a="1"/>
  <c r="P689" i="10" s="1"/>
  <c r="T690" i="10" a="1"/>
  <c r="T690" i="10" s="1"/>
  <c r="P690" i="10" a="1"/>
  <c r="P690" i="10" s="1"/>
  <c r="Q690" i="10" a="1"/>
  <c r="Q690" i="10" s="1"/>
  <c r="U690" i="10"/>
  <c r="S690" i="10" a="1"/>
  <c r="S690" i="10" s="1"/>
  <c r="V690" i="10" a="1"/>
  <c r="V690" i="10" s="1"/>
  <c r="O690" i="10" a="1"/>
  <c r="O690" i="10" s="1"/>
  <c r="R690" i="10" a="1"/>
  <c r="R690" i="10" s="1"/>
  <c r="T691" i="10" a="1"/>
  <c r="T691" i="10" s="1"/>
  <c r="U691" i="10"/>
  <c r="Q691" i="10" a="1"/>
  <c r="Q691" i="10" s="1"/>
  <c r="O691" i="10" a="1"/>
  <c r="O691" i="10" s="1"/>
  <c r="P691" i="10" a="1"/>
  <c r="P691" i="10" s="1"/>
  <c r="V691" i="10" a="1"/>
  <c r="V691" i="10" s="1"/>
  <c r="S691" i="10" a="1"/>
  <c r="S691" i="10" s="1"/>
  <c r="R691" i="10" a="1"/>
  <c r="R691" i="10" s="1"/>
  <c r="T692" i="10" a="1"/>
  <c r="T692" i="10" s="1"/>
  <c r="U692" i="10"/>
  <c r="Q692" i="10" a="1"/>
  <c r="Q692" i="10" s="1"/>
  <c r="R692" i="10" a="1"/>
  <c r="R692" i="10" s="1"/>
  <c r="V692" i="10" a="1"/>
  <c r="V692" i="10" s="1"/>
  <c r="O692" i="10" a="1"/>
  <c r="O692" i="10" s="1"/>
  <c r="S692" i="10" a="1"/>
  <c r="S692" i="10" s="1"/>
  <c r="P692" i="10" a="1"/>
  <c r="P692" i="10" s="1"/>
  <c r="Q693" i="10" a="1"/>
  <c r="Q693" i="10" s="1"/>
  <c r="S693" i="10" a="1"/>
  <c r="S693" i="10" s="1"/>
  <c r="O693" i="10" a="1"/>
  <c r="O693" i="10" s="1"/>
  <c r="V693" i="10" a="1"/>
  <c r="V693" i="10" s="1"/>
  <c r="R693" i="10" a="1"/>
  <c r="R693" i="10" s="1"/>
  <c r="T693" i="10" a="1"/>
  <c r="T693" i="10" s="1"/>
  <c r="U693" i="10"/>
  <c r="P693" i="10" a="1"/>
  <c r="P693" i="10" s="1"/>
  <c r="R694" i="10" a="1"/>
  <c r="R694" i="10" s="1"/>
  <c r="T694" i="10" a="1"/>
  <c r="T694" i="10" s="1"/>
  <c r="Q694" i="10" a="1"/>
  <c r="Q694" i="10" s="1"/>
  <c r="O694" i="10" a="1"/>
  <c r="O694" i="10" s="1"/>
  <c r="V694" i="10" a="1"/>
  <c r="V694" i="10" s="1"/>
  <c r="S694" i="10" a="1"/>
  <c r="S694" i="10" s="1"/>
  <c r="U694" i="10"/>
  <c r="P694" i="10" a="1"/>
  <c r="P694" i="10" s="1"/>
  <c r="O695" i="10" a="1"/>
  <c r="O695" i="10" s="1"/>
  <c r="V695" i="10" a="1"/>
  <c r="V695" i="10" s="1"/>
  <c r="R695" i="10" a="1"/>
  <c r="R695" i="10" s="1"/>
  <c r="T695" i="10" a="1"/>
  <c r="T695" i="10" s="1"/>
  <c r="S695" i="10" a="1"/>
  <c r="S695" i="10" s="1"/>
  <c r="Q695" i="10" a="1"/>
  <c r="Q695" i="10" s="1"/>
  <c r="P695" i="10" a="1"/>
  <c r="P695" i="10" s="1"/>
  <c r="U695" i="10"/>
  <c r="Q696" i="10" a="1"/>
  <c r="Q696" i="10" s="1"/>
  <c r="O696" i="10" a="1"/>
  <c r="O696" i="10" s="1"/>
  <c r="T696" i="10" a="1"/>
  <c r="T696" i="10" s="1"/>
  <c r="P696" i="10" a="1"/>
  <c r="P696" i="10" s="1"/>
  <c r="S696" i="10" a="1"/>
  <c r="S696" i="10" s="1"/>
  <c r="U696" i="10"/>
  <c r="V696" i="10" a="1"/>
  <c r="V696" i="10" s="1"/>
  <c r="R696" i="10" a="1"/>
  <c r="R696" i="10" s="1"/>
  <c r="T697" i="10" a="1"/>
  <c r="T697" i="10" s="1"/>
  <c r="R697" i="10" a="1"/>
  <c r="R697" i="10" s="1"/>
  <c r="P697" i="10" a="1"/>
  <c r="P697" i="10" s="1"/>
  <c r="O697" i="10" a="1"/>
  <c r="O697" i="10" s="1"/>
  <c r="V697" i="10" a="1"/>
  <c r="V697" i="10" s="1"/>
  <c r="U697" i="10"/>
  <c r="Q697" i="10" a="1"/>
  <c r="Q697" i="10" s="1"/>
  <c r="S697" i="10" a="1"/>
  <c r="S697" i="10" s="1"/>
  <c r="S698" i="10" a="1"/>
  <c r="S698" i="10" s="1"/>
  <c r="O698" i="10" a="1"/>
  <c r="O698" i="10" s="1"/>
  <c r="V698" i="10" a="1"/>
  <c r="V698" i="10" s="1"/>
  <c r="R698" i="10" a="1"/>
  <c r="R698" i="10" s="1"/>
  <c r="T698" i="10" a="1"/>
  <c r="T698" i="10" s="1"/>
  <c r="P698" i="10" a="1"/>
  <c r="P698" i="10" s="1"/>
  <c r="Q698" i="10" a="1"/>
  <c r="Q698" i="10" s="1"/>
  <c r="U698" i="10"/>
  <c r="S699" i="10" a="1"/>
  <c r="S699" i="10" s="1"/>
  <c r="T699" i="10" a="1"/>
  <c r="T699" i="10" s="1"/>
  <c r="P699" i="10" a="1"/>
  <c r="P699" i="10" s="1"/>
  <c r="U699" i="10"/>
  <c r="V699" i="10" a="1"/>
  <c r="V699" i="10" s="1"/>
  <c r="O699" i="10" a="1"/>
  <c r="O699" i="10" s="1"/>
  <c r="R699" i="10" a="1"/>
  <c r="R699" i="10" s="1"/>
  <c r="Q699" i="10" a="1"/>
  <c r="Q699" i="10" s="1"/>
  <c r="R700" i="10" a="1"/>
  <c r="R700" i="10" s="1"/>
  <c r="Q700" i="10" a="1"/>
  <c r="Q700" i="10" s="1"/>
  <c r="V700" i="10" a="1"/>
  <c r="V700" i="10" s="1"/>
  <c r="O700" i="10" a="1"/>
  <c r="O700" i="10" s="1"/>
  <c r="P700" i="10" a="1"/>
  <c r="P700" i="10" s="1"/>
  <c r="T700" i="10" a="1"/>
  <c r="T700" i="10" s="1"/>
  <c r="S700" i="10" a="1"/>
  <c r="S700" i="10" s="1"/>
  <c r="U700" i="10"/>
  <c r="R701" i="10" a="1"/>
  <c r="R701" i="10" s="1"/>
  <c r="U701" i="10"/>
  <c r="P701" i="10" a="1"/>
  <c r="P701" i="10" s="1"/>
  <c r="Q701" i="10" a="1"/>
  <c r="Q701" i="10" s="1"/>
  <c r="S701" i="10" a="1"/>
  <c r="S701" i="10" s="1"/>
  <c r="O701" i="10" a="1"/>
  <c r="O701" i="10" s="1"/>
  <c r="V701" i="10" a="1"/>
  <c r="V701" i="10" s="1"/>
  <c r="T701" i="10" a="1"/>
  <c r="T701" i="10" s="1"/>
  <c r="O702" i="10" a="1"/>
  <c r="O702" i="10" s="1"/>
  <c r="U702" i="10"/>
  <c r="S702" i="10" a="1"/>
  <c r="S702" i="10" s="1"/>
  <c r="R702" i="10" a="1"/>
  <c r="R702" i="10" s="1"/>
  <c r="Q702" i="10" a="1"/>
  <c r="Q702" i="10" s="1"/>
  <c r="V702" i="10" a="1"/>
  <c r="V702" i="10" s="1"/>
  <c r="T702" i="10" a="1"/>
  <c r="T702" i="10" s="1"/>
  <c r="P702" i="10" a="1"/>
  <c r="P702" i="10" s="1"/>
  <c r="O703" i="10" a="1"/>
  <c r="O703" i="10" s="1"/>
  <c r="V703" i="10" a="1"/>
  <c r="V703" i="10" s="1"/>
  <c r="U703" i="10"/>
  <c r="R703" i="10" a="1"/>
  <c r="R703" i="10" s="1"/>
  <c r="T703" i="10" a="1"/>
  <c r="T703" i="10" s="1"/>
  <c r="P703" i="10" a="1"/>
  <c r="P703" i="10" s="1"/>
  <c r="Q703" i="10" a="1"/>
  <c r="Q703" i="10" s="1"/>
  <c r="S703" i="10" a="1"/>
  <c r="S703" i="10" s="1"/>
  <c r="Q704" i="10" a="1"/>
  <c r="Q704" i="10" s="1"/>
  <c r="O704" i="10" a="1"/>
  <c r="O704" i="10" s="1"/>
  <c r="P704" i="10" a="1"/>
  <c r="P704" i="10" s="1"/>
  <c r="S704" i="10" a="1"/>
  <c r="S704" i="10" s="1"/>
  <c r="R704" i="10" a="1"/>
  <c r="R704" i="10" s="1"/>
  <c r="U704" i="10"/>
  <c r="T704" i="10" a="1"/>
  <c r="T704" i="10" s="1"/>
  <c r="V704" i="10" a="1"/>
  <c r="V704" i="10" s="1"/>
  <c r="O705" i="10" a="1"/>
  <c r="O705" i="10" s="1"/>
  <c r="R705" i="10" a="1"/>
  <c r="R705" i="10" s="1"/>
  <c r="V705" i="10" a="1"/>
  <c r="V705" i="10" s="1"/>
  <c r="S705" i="10" a="1"/>
  <c r="S705" i="10" s="1"/>
  <c r="T705" i="10" a="1"/>
  <c r="T705" i="10" s="1"/>
  <c r="U705" i="10"/>
  <c r="Q705" i="10" a="1"/>
  <c r="Q705" i="10" s="1"/>
  <c r="P705" i="10" a="1"/>
  <c r="P705" i="10" s="1"/>
  <c r="R706" i="10" a="1"/>
  <c r="R706" i="10" s="1"/>
  <c r="U706" i="10"/>
  <c r="T706" i="10" a="1"/>
  <c r="T706" i="10" s="1"/>
  <c r="S706" i="10" a="1"/>
  <c r="S706" i="10" s="1"/>
  <c r="Q706" i="10" a="1"/>
  <c r="Q706" i="10" s="1"/>
  <c r="O706" i="10" a="1"/>
  <c r="O706" i="10" s="1"/>
  <c r="V706" i="10" a="1"/>
  <c r="V706" i="10" s="1"/>
  <c r="P706" i="10" a="1"/>
  <c r="P706" i="10" s="1"/>
  <c r="S707" i="10" a="1"/>
  <c r="S707" i="10" s="1"/>
  <c r="P707" i="10" a="1"/>
  <c r="P707" i="10" s="1"/>
  <c r="T707" i="10" a="1"/>
  <c r="T707" i="10" s="1"/>
  <c r="O707" i="10" a="1"/>
  <c r="O707" i="10" s="1"/>
  <c r="Q707" i="10" a="1"/>
  <c r="Q707" i="10" s="1"/>
  <c r="R707" i="10" a="1"/>
  <c r="R707" i="10" s="1"/>
  <c r="U707" i="10"/>
  <c r="V707" i="10" a="1"/>
  <c r="V707" i="10" s="1"/>
  <c r="T708" i="10" a="1"/>
  <c r="T708" i="10" s="1"/>
  <c r="Q708" i="10" a="1"/>
  <c r="Q708" i="10" s="1"/>
  <c r="V708" i="10" a="1"/>
  <c r="V708" i="10" s="1"/>
  <c r="O708" i="10" a="1"/>
  <c r="O708" i="10" s="1"/>
  <c r="S708" i="10" a="1"/>
  <c r="S708" i="10" s="1"/>
  <c r="U708" i="10"/>
  <c r="P708" i="10" a="1"/>
  <c r="P708" i="10" s="1"/>
  <c r="R708" i="10" a="1"/>
  <c r="R708" i="10" s="1"/>
  <c r="U709" i="10"/>
  <c r="Q709" i="10" a="1"/>
  <c r="Q709" i="10" s="1"/>
  <c r="V709" i="10" a="1"/>
  <c r="V709" i="10" s="1"/>
  <c r="T709" i="10" a="1"/>
  <c r="T709" i="10" s="1"/>
  <c r="P709" i="10" a="1"/>
  <c r="P709" i="10" s="1"/>
  <c r="O709" i="10" a="1"/>
  <c r="O709" i="10" s="1"/>
  <c r="R709" i="10" a="1"/>
  <c r="R709" i="10" s="1"/>
  <c r="S709" i="10" a="1"/>
  <c r="S709" i="10" s="1"/>
  <c r="S710" i="10" a="1"/>
  <c r="S710" i="10" s="1"/>
  <c r="O710" i="10" a="1"/>
  <c r="O710" i="10" s="1"/>
  <c r="T710" i="10" a="1"/>
  <c r="T710" i="10" s="1"/>
  <c r="U710" i="10"/>
  <c r="P710" i="10" a="1"/>
  <c r="P710" i="10" s="1"/>
  <c r="R710" i="10" a="1"/>
  <c r="R710" i="10" s="1"/>
  <c r="V710" i="10" a="1"/>
  <c r="V710" i="10" s="1"/>
  <c r="Q710" i="10" a="1"/>
  <c r="Q710" i="10" s="1"/>
  <c r="V711" i="10" a="1"/>
  <c r="V711" i="10" s="1"/>
  <c r="O711" i="10" a="1"/>
  <c r="O711" i="10" s="1"/>
  <c r="S711" i="10" a="1"/>
  <c r="S711" i="10" s="1"/>
  <c r="P711" i="10" a="1"/>
  <c r="P711" i="10" s="1"/>
  <c r="R711" i="10" a="1"/>
  <c r="R711" i="10" s="1"/>
  <c r="U711" i="10"/>
  <c r="T711" i="10" a="1"/>
  <c r="T711" i="10" s="1"/>
  <c r="Q711" i="10" a="1"/>
  <c r="Q711" i="10" s="1"/>
  <c r="V712" i="10" a="1"/>
  <c r="V712" i="10" s="1"/>
  <c r="R712" i="10" a="1"/>
  <c r="R712" i="10" s="1"/>
  <c r="O712" i="10" a="1"/>
  <c r="O712" i="10" s="1"/>
  <c r="S712" i="10" a="1"/>
  <c r="S712" i="10" s="1"/>
  <c r="P712" i="10" a="1"/>
  <c r="P712" i="10" s="1"/>
  <c r="U712" i="10"/>
  <c r="Q712" i="10" a="1"/>
  <c r="Q712" i="10" s="1"/>
  <c r="T712" i="10" a="1"/>
  <c r="T712" i="10" s="1"/>
  <c r="S713" i="10" a="1"/>
  <c r="S713" i="10" s="1"/>
  <c r="T713" i="10" a="1"/>
  <c r="T713" i="10" s="1"/>
  <c r="R713" i="10" a="1"/>
  <c r="R713" i="10" s="1"/>
  <c r="Q713" i="10" a="1"/>
  <c r="Q713" i="10" s="1"/>
  <c r="U713" i="10"/>
  <c r="P713" i="10" a="1"/>
  <c r="P713" i="10" s="1"/>
  <c r="O713" i="10" a="1"/>
  <c r="O713" i="10" s="1"/>
  <c r="V713" i="10" a="1"/>
  <c r="V713" i="10" s="1"/>
  <c r="U714" i="10"/>
  <c r="T714" i="10" a="1"/>
  <c r="T714" i="10" s="1"/>
  <c r="R714" i="10" a="1"/>
  <c r="R714" i="10" s="1"/>
  <c r="P714" i="10" a="1"/>
  <c r="P714" i="10" s="1"/>
  <c r="V714" i="10" a="1"/>
  <c r="V714" i="10" s="1"/>
  <c r="Q714" i="10" a="1"/>
  <c r="Q714" i="10" s="1"/>
  <c r="S714" i="10" a="1"/>
  <c r="S714" i="10" s="1"/>
  <c r="O714" i="10" a="1"/>
  <c r="O714" i="10" s="1"/>
  <c r="O715" i="10" a="1"/>
  <c r="O715" i="10" s="1"/>
  <c r="P715" i="10" a="1"/>
  <c r="P715" i="10" s="1"/>
  <c r="S715" i="10" a="1"/>
  <c r="S715" i="10" s="1"/>
  <c r="V715" i="10" a="1"/>
  <c r="V715" i="10" s="1"/>
  <c r="R715" i="10" a="1"/>
  <c r="R715" i="10" s="1"/>
  <c r="Q715" i="10" a="1"/>
  <c r="Q715" i="10" s="1"/>
  <c r="T715" i="10" a="1"/>
  <c r="T715" i="10" s="1"/>
  <c r="U715" i="10"/>
  <c r="V716" i="10" a="1"/>
  <c r="V716" i="10" s="1"/>
  <c r="U716" i="10"/>
  <c r="Q716" i="10" a="1"/>
  <c r="Q716" i="10" s="1"/>
  <c r="P716" i="10" a="1"/>
  <c r="P716" i="10" s="1"/>
  <c r="S716" i="10" a="1"/>
  <c r="S716" i="10" s="1"/>
  <c r="O716" i="10" a="1"/>
  <c r="O716" i="10" s="1"/>
  <c r="T716" i="10" a="1"/>
  <c r="T716" i="10" s="1"/>
  <c r="R716" i="10" a="1"/>
  <c r="R716" i="10" s="1"/>
  <c r="V717" i="10" a="1"/>
  <c r="V717" i="10" s="1"/>
  <c r="Q717" i="10" a="1"/>
  <c r="Q717" i="10" s="1"/>
  <c r="R717" i="10" a="1"/>
  <c r="R717" i="10" s="1"/>
  <c r="U717" i="10"/>
  <c r="S717" i="10" a="1"/>
  <c r="S717" i="10" s="1"/>
  <c r="P717" i="10" a="1"/>
  <c r="P717" i="10" s="1"/>
  <c r="O717" i="10" a="1"/>
  <c r="O717" i="10" s="1"/>
  <c r="T717" i="10" a="1"/>
  <c r="T717" i="10" s="1"/>
  <c r="T718" i="10" a="1"/>
  <c r="T718" i="10" s="1"/>
  <c r="O718" i="10" a="1"/>
  <c r="O718" i="10" s="1"/>
  <c r="S718" i="10" a="1"/>
  <c r="S718" i="10" s="1"/>
  <c r="U718" i="10"/>
  <c r="R718" i="10" a="1"/>
  <c r="R718" i="10" s="1"/>
  <c r="P718" i="10" a="1"/>
  <c r="P718" i="10" s="1"/>
  <c r="Q718" i="10" a="1"/>
  <c r="Q718" i="10" s="1"/>
  <c r="V718" i="10" a="1"/>
  <c r="V718" i="10" s="1"/>
  <c r="O719" i="10" a="1"/>
  <c r="O719" i="10" s="1"/>
  <c r="Q719" i="10" a="1"/>
  <c r="Q719" i="10" s="1"/>
  <c r="P719" i="10" a="1"/>
  <c r="P719" i="10" s="1"/>
  <c r="S719" i="10" a="1"/>
  <c r="S719" i="10" s="1"/>
  <c r="T719" i="10" a="1"/>
  <c r="T719" i="10" s="1"/>
  <c r="V719" i="10" a="1"/>
  <c r="V719" i="10" s="1"/>
  <c r="R719" i="10" a="1"/>
  <c r="R719" i="10" s="1"/>
  <c r="U719" i="10"/>
  <c r="R720" i="10" a="1"/>
  <c r="R720" i="10" s="1"/>
  <c r="O720" i="10" a="1"/>
  <c r="O720" i="10" s="1"/>
  <c r="U720" i="10"/>
  <c r="T720" i="10" a="1"/>
  <c r="T720" i="10" s="1"/>
  <c r="V720" i="10" a="1"/>
  <c r="V720" i="10" s="1"/>
  <c r="P720" i="10" a="1"/>
  <c r="P720" i="10" s="1"/>
  <c r="S720" i="10" a="1"/>
  <c r="S720" i="10" s="1"/>
  <c r="Q720" i="10" a="1"/>
  <c r="Q720" i="10" s="1"/>
  <c r="R721" i="10" a="1"/>
  <c r="R721" i="10" s="1"/>
  <c r="O721" i="10" a="1"/>
  <c r="O721" i="10" s="1"/>
  <c r="U721" i="10"/>
  <c r="P721" i="10" a="1"/>
  <c r="P721" i="10" s="1"/>
  <c r="S721" i="10" a="1"/>
  <c r="S721" i="10" s="1"/>
  <c r="Q721" i="10" a="1"/>
  <c r="Q721" i="10" s="1"/>
  <c r="V721" i="10" a="1"/>
  <c r="V721" i="10" s="1"/>
  <c r="T721" i="10" a="1"/>
  <c r="T721" i="10" s="1"/>
  <c r="Q722" i="10" a="1"/>
  <c r="Q722" i="10" s="1"/>
  <c r="U722" i="10"/>
  <c r="T722" i="10" a="1"/>
  <c r="T722" i="10" s="1"/>
  <c r="P722" i="10" a="1"/>
  <c r="P722" i="10" s="1"/>
  <c r="V722" i="10" a="1"/>
  <c r="V722" i="10" s="1"/>
  <c r="S722" i="10" a="1"/>
  <c r="S722" i="10" s="1"/>
  <c r="R722" i="10" a="1"/>
  <c r="R722" i="10" s="1"/>
  <c r="O722" i="10" a="1"/>
  <c r="O722" i="10" s="1"/>
  <c r="V723" i="10" a="1"/>
  <c r="V723" i="10" s="1"/>
  <c r="R723" i="10" a="1"/>
  <c r="R723" i="10" s="1"/>
  <c r="T723" i="10" a="1"/>
  <c r="T723" i="10" s="1"/>
  <c r="U723" i="10"/>
  <c r="P723" i="10" a="1"/>
  <c r="P723" i="10" s="1"/>
  <c r="S723" i="10" a="1"/>
  <c r="S723" i="10" s="1"/>
  <c r="O723" i="10" a="1"/>
  <c r="O723" i="10" s="1"/>
  <c r="Q723" i="10" a="1"/>
  <c r="Q723" i="10" s="1"/>
  <c r="O724" i="10" a="1"/>
  <c r="O724" i="10" s="1"/>
  <c r="U724" i="10"/>
  <c r="S724" i="10" a="1"/>
  <c r="S724" i="10" s="1"/>
  <c r="Q724" i="10" a="1"/>
  <c r="Q724" i="10" s="1"/>
  <c r="V724" i="10" a="1"/>
  <c r="V724" i="10" s="1"/>
  <c r="P724" i="10" a="1"/>
  <c r="P724" i="10" s="1"/>
  <c r="T724" i="10" a="1"/>
  <c r="T724" i="10" s="1"/>
  <c r="R724" i="10" a="1"/>
  <c r="R724" i="10" s="1"/>
  <c r="U725" i="10"/>
  <c r="V725" i="10" a="1"/>
  <c r="V725" i="10" s="1"/>
  <c r="P725" i="10" a="1"/>
  <c r="P725" i="10" s="1"/>
  <c r="R725" i="10" a="1"/>
  <c r="R725" i="10" s="1"/>
  <c r="O725" i="10" a="1"/>
  <c r="O725" i="10" s="1"/>
  <c r="S725" i="10" a="1"/>
  <c r="S725" i="10" s="1"/>
  <c r="Q725" i="10" a="1"/>
  <c r="Q725" i="10" s="1"/>
  <c r="T725" i="10" a="1"/>
  <c r="T725" i="10" s="1"/>
  <c r="O726" i="10" a="1"/>
  <c r="O726" i="10" s="1"/>
  <c r="U726" i="10"/>
  <c r="Q726" i="10" a="1"/>
  <c r="Q726" i="10" s="1"/>
  <c r="P726" i="10" a="1"/>
  <c r="P726" i="10" s="1"/>
  <c r="T726" i="10" a="1"/>
  <c r="T726" i="10" s="1"/>
  <c r="S726" i="10" a="1"/>
  <c r="S726" i="10" s="1"/>
  <c r="V726" i="10" a="1"/>
  <c r="V726" i="10" s="1"/>
  <c r="R726" i="10" a="1"/>
  <c r="R726" i="10" s="1"/>
  <c r="U727" i="10"/>
  <c r="Q727" i="10" a="1"/>
  <c r="Q727" i="10" s="1"/>
  <c r="S727" i="10" a="1"/>
  <c r="S727" i="10" s="1"/>
  <c r="R727" i="10" a="1"/>
  <c r="R727" i="10" s="1"/>
  <c r="V727" i="10" a="1"/>
  <c r="V727" i="10" s="1"/>
  <c r="O727" i="10" a="1"/>
  <c r="O727" i="10" s="1"/>
  <c r="T727" i="10" a="1"/>
  <c r="T727" i="10" s="1"/>
  <c r="P727" i="10" a="1"/>
  <c r="P727" i="10" s="1"/>
  <c r="R728" i="10" a="1"/>
  <c r="R728" i="10" s="1"/>
  <c r="T728" i="10" a="1"/>
  <c r="T728" i="10" s="1"/>
  <c r="S728" i="10" a="1"/>
  <c r="S728" i="10" s="1"/>
  <c r="Q728" i="10" a="1"/>
  <c r="Q728" i="10" s="1"/>
  <c r="O728" i="10" a="1"/>
  <c r="O728" i="10" s="1"/>
  <c r="V728" i="10" a="1"/>
  <c r="V728" i="10" s="1"/>
  <c r="U728" i="10"/>
  <c r="P728" i="10" a="1"/>
  <c r="P728" i="10" s="1"/>
  <c r="S729" i="10" a="1"/>
  <c r="S729" i="10" s="1"/>
  <c r="R729" i="10" a="1"/>
  <c r="R729" i="10" s="1"/>
  <c r="T729" i="10" a="1"/>
  <c r="T729" i="10" s="1"/>
  <c r="P729" i="10" a="1"/>
  <c r="P729" i="10" s="1"/>
  <c r="V729" i="10" a="1"/>
  <c r="V729" i="10" s="1"/>
  <c r="O729" i="10" a="1"/>
  <c r="O729" i="10" s="1"/>
  <c r="Q729" i="10" a="1"/>
  <c r="Q729" i="10" s="1"/>
  <c r="U729" i="10"/>
  <c r="V731" i="10" a="1"/>
  <c r="V731" i="10" s="1"/>
  <c r="P731" i="10" a="1"/>
  <c r="P731" i="10" s="1"/>
  <c r="U731" i="10"/>
  <c r="Q731" i="10" a="1"/>
  <c r="Q731" i="10" s="1"/>
  <c r="O731" i="10" a="1"/>
  <c r="O731" i="10" s="1"/>
  <c r="S731" i="10" a="1"/>
  <c r="S731" i="10" s="1"/>
  <c r="T731" i="10" a="1"/>
  <c r="T731" i="10" s="1"/>
  <c r="R731" i="10" a="1"/>
  <c r="R731" i="10" s="1"/>
  <c r="T732" i="10" a="1"/>
  <c r="T732" i="10" s="1"/>
  <c r="V732" i="10" a="1"/>
  <c r="V732" i="10" s="1"/>
  <c r="P732" i="10" a="1"/>
  <c r="P732" i="10" s="1"/>
  <c r="Q732" i="10" a="1"/>
  <c r="Q732" i="10" s="1"/>
  <c r="S732" i="10" a="1"/>
  <c r="S732" i="10" s="1"/>
  <c r="O732" i="10" a="1"/>
  <c r="O732" i="10" s="1"/>
  <c r="R732" i="10" a="1"/>
  <c r="R732" i="10" s="1"/>
  <c r="U732" i="10"/>
  <c r="P733" i="10" a="1"/>
  <c r="P733" i="10" s="1"/>
  <c r="T733" i="10" a="1"/>
  <c r="T733" i="10" s="1"/>
  <c r="Q733" i="10" a="1"/>
  <c r="Q733" i="10" s="1"/>
  <c r="V733" i="10" a="1"/>
  <c r="V733" i="10" s="1"/>
  <c r="O733" i="10" a="1"/>
  <c r="O733" i="10" s="1"/>
  <c r="S733" i="10" a="1"/>
  <c r="S733" i="10" s="1"/>
  <c r="U733" i="10"/>
  <c r="R733" i="10" a="1"/>
  <c r="R733" i="10" s="1"/>
  <c r="V734" i="10" a="1"/>
  <c r="V734" i="10" s="1"/>
  <c r="S734" i="10" a="1"/>
  <c r="S734" i="10" s="1"/>
  <c r="O734" i="10" a="1"/>
  <c r="O734" i="10" s="1"/>
  <c r="T734" i="10" a="1"/>
  <c r="T734" i="10" s="1"/>
  <c r="P734" i="10" a="1"/>
  <c r="P734" i="10" s="1"/>
  <c r="U734" i="10"/>
  <c r="R734" i="10" a="1"/>
  <c r="R734" i="10" s="1"/>
  <c r="Q734" i="10" a="1"/>
  <c r="Q734" i="10" s="1"/>
  <c r="S735" i="10" a="1"/>
  <c r="S735" i="10" s="1"/>
  <c r="Q735" i="10" a="1"/>
  <c r="Q735" i="10" s="1"/>
  <c r="T735" i="10" a="1"/>
  <c r="T735" i="10" s="1"/>
  <c r="O735" i="10" a="1"/>
  <c r="O735" i="10" s="1"/>
  <c r="P735" i="10" a="1"/>
  <c r="P735" i="10" s="1"/>
  <c r="V735" i="10" a="1"/>
  <c r="V735" i="10" s="1"/>
  <c r="U735" i="10"/>
  <c r="R735" i="10" a="1"/>
  <c r="R735" i="10" s="1"/>
  <c r="V736" i="10" a="1"/>
  <c r="V736" i="10" s="1"/>
  <c r="O736" i="10" a="1"/>
  <c r="O736" i="10" s="1"/>
  <c r="Q736" i="10" a="1"/>
  <c r="Q736" i="10" s="1"/>
  <c r="U736" i="10"/>
  <c r="R736" i="10" a="1"/>
  <c r="R736" i="10" s="1"/>
  <c r="T736" i="10" a="1"/>
  <c r="T736" i="10" s="1"/>
  <c r="P736" i="10" a="1"/>
  <c r="P736" i="10" s="1"/>
  <c r="S736" i="10" a="1"/>
  <c r="S736" i="10" s="1"/>
  <c r="Q737" i="10" a="1"/>
  <c r="Q737" i="10" s="1"/>
  <c r="R737" i="10" a="1"/>
  <c r="R737" i="10" s="1"/>
  <c r="T737" i="10" a="1"/>
  <c r="T737" i="10" s="1"/>
  <c r="V737" i="10" a="1"/>
  <c r="V737" i="10" s="1"/>
  <c r="O737" i="10" a="1"/>
  <c r="O737" i="10" s="1"/>
  <c r="S737" i="10" a="1"/>
  <c r="S737" i="10" s="1"/>
  <c r="P737" i="10" a="1"/>
  <c r="P737" i="10" s="1"/>
  <c r="U737" i="10"/>
  <c r="P738" i="10" a="1"/>
  <c r="P738" i="10" s="1"/>
  <c r="S738" i="10" a="1"/>
  <c r="S738" i="10" s="1"/>
  <c r="U738" i="10"/>
  <c r="O738" i="10" a="1"/>
  <c r="O738" i="10" s="1"/>
  <c r="R738" i="10" a="1"/>
  <c r="R738" i="10" s="1"/>
  <c r="V738" i="10" a="1"/>
  <c r="V738" i="10" s="1"/>
  <c r="T738" i="10" a="1"/>
  <c r="T738" i="10" s="1"/>
  <c r="Q738" i="10" a="1"/>
  <c r="Q738" i="10" s="1"/>
  <c r="T739" i="10" a="1"/>
  <c r="T739" i="10" s="1"/>
  <c r="P739" i="10" a="1"/>
  <c r="P739" i="10" s="1"/>
  <c r="S739" i="10" a="1"/>
  <c r="S739" i="10" s="1"/>
  <c r="U739" i="10"/>
  <c r="O739" i="10" a="1"/>
  <c r="O739" i="10" s="1"/>
  <c r="V739" i="10" a="1"/>
  <c r="V739" i="10" s="1"/>
  <c r="R739" i="10" a="1"/>
  <c r="R739" i="10" s="1"/>
  <c r="Q739" i="10" a="1"/>
  <c r="Q739" i="10" s="1"/>
  <c r="S740" i="10" a="1"/>
  <c r="S740" i="10" s="1"/>
  <c r="V740" i="10" a="1"/>
  <c r="V740" i="10" s="1"/>
  <c r="R740" i="10" a="1"/>
  <c r="R740" i="10" s="1"/>
  <c r="Q740" i="10" a="1"/>
  <c r="Q740" i="10" s="1"/>
  <c r="P740" i="10" a="1"/>
  <c r="P740" i="10" s="1"/>
  <c r="O740" i="10" a="1"/>
  <c r="O740" i="10" s="1"/>
  <c r="U740" i="10"/>
  <c r="T740" i="10" a="1"/>
  <c r="T740" i="10" s="1"/>
  <c r="R741" i="10" a="1"/>
  <c r="R741" i="10" s="1"/>
  <c r="S741" i="10" a="1"/>
  <c r="S741" i="10" s="1"/>
  <c r="T741" i="10" a="1"/>
  <c r="T741" i="10" s="1"/>
  <c r="V741" i="10" a="1"/>
  <c r="V741" i="10" s="1"/>
  <c r="O741" i="10" a="1"/>
  <c r="O741" i="10" s="1"/>
  <c r="U741" i="10"/>
  <c r="P741" i="10" a="1"/>
  <c r="P741" i="10" s="1"/>
  <c r="Q741" i="10" a="1"/>
  <c r="Q741" i="10" s="1"/>
  <c r="V742" i="10" a="1"/>
  <c r="V742" i="10" s="1"/>
  <c r="S742" i="10" a="1"/>
  <c r="S742" i="10" s="1"/>
  <c r="O742" i="10" a="1"/>
  <c r="O742" i="10" s="1"/>
  <c r="R742" i="10" a="1"/>
  <c r="R742" i="10" s="1"/>
  <c r="T742" i="10" a="1"/>
  <c r="T742" i="10" s="1"/>
  <c r="Q742" i="10" a="1"/>
  <c r="Q742" i="10" s="1"/>
  <c r="P742" i="10" a="1"/>
  <c r="P742" i="10" s="1"/>
  <c r="U742" i="10"/>
  <c r="S743" i="10" a="1"/>
  <c r="S743" i="10" s="1"/>
  <c r="U743" i="10"/>
  <c r="O743" i="10" a="1"/>
  <c r="O743" i="10" s="1"/>
  <c r="R743" i="10" a="1"/>
  <c r="R743" i="10" s="1"/>
  <c r="P743" i="10" a="1"/>
  <c r="P743" i="10" s="1"/>
  <c r="Q743" i="10" a="1"/>
  <c r="Q743" i="10" s="1"/>
  <c r="V743" i="10" a="1"/>
  <c r="V743" i="10" s="1"/>
  <c r="T743" i="10" a="1"/>
  <c r="T743" i="10" s="1"/>
  <c r="O744" i="10" a="1"/>
  <c r="O744" i="10" s="1"/>
  <c r="T744" i="10" a="1"/>
  <c r="T744" i="10" s="1"/>
  <c r="R744" i="10" a="1"/>
  <c r="R744" i="10" s="1"/>
  <c r="Q744" i="10" a="1"/>
  <c r="Q744" i="10" s="1"/>
  <c r="U744" i="10"/>
  <c r="V744" i="10" a="1"/>
  <c r="V744" i="10" s="1"/>
  <c r="P744" i="10" a="1"/>
  <c r="P744" i="10" s="1"/>
  <c r="S744" i="10" a="1"/>
  <c r="S744" i="10" s="1"/>
  <c r="P745" i="10" a="1"/>
  <c r="P745" i="10" s="1"/>
  <c r="U745" i="10"/>
  <c r="S745" i="10" a="1"/>
  <c r="S745" i="10" s="1"/>
  <c r="O745" i="10" a="1"/>
  <c r="O745" i="10" s="1"/>
  <c r="V745" i="10" a="1"/>
  <c r="V745" i="10" s="1"/>
  <c r="R745" i="10" a="1"/>
  <c r="R745" i="10" s="1"/>
  <c r="Q745" i="10" a="1"/>
  <c r="Q745" i="10" s="1"/>
  <c r="T745" i="10" a="1"/>
  <c r="T745" i="10" s="1"/>
  <c r="U746" i="10"/>
  <c r="S746" i="10" a="1"/>
  <c r="S746" i="10" s="1"/>
  <c r="R746" i="10" a="1"/>
  <c r="R746" i="10" s="1"/>
  <c r="Q746" i="10" a="1"/>
  <c r="Q746" i="10" s="1"/>
  <c r="O746" i="10" a="1"/>
  <c r="O746" i="10" s="1"/>
  <c r="V746" i="10" a="1"/>
  <c r="V746" i="10" s="1"/>
  <c r="T746" i="10" a="1"/>
  <c r="T746" i="10" s="1"/>
  <c r="P746" i="10" a="1"/>
  <c r="P746" i="10" s="1"/>
  <c r="U747" i="10"/>
  <c r="R747" i="10" a="1"/>
  <c r="R747" i="10" s="1"/>
  <c r="Q747" i="10" a="1"/>
  <c r="Q747" i="10" s="1"/>
  <c r="V747" i="10" a="1"/>
  <c r="V747" i="10" s="1"/>
  <c r="P747" i="10" a="1"/>
  <c r="P747" i="10" s="1"/>
  <c r="T747" i="10" a="1"/>
  <c r="T747" i="10" s="1"/>
  <c r="O747" i="10" a="1"/>
  <c r="O747" i="10" s="1"/>
  <c r="S747" i="10" a="1"/>
  <c r="S747" i="10" s="1"/>
  <c r="R748" i="10" a="1"/>
  <c r="R748" i="10" s="1"/>
  <c r="Q748" i="10" a="1"/>
  <c r="Q748" i="10" s="1"/>
  <c r="O748" i="10" a="1"/>
  <c r="O748" i="10" s="1"/>
  <c r="V748" i="10" a="1"/>
  <c r="V748" i="10" s="1"/>
  <c r="U748" i="10"/>
  <c r="P748" i="10" a="1"/>
  <c r="P748" i="10" s="1"/>
  <c r="S748" i="10" a="1"/>
  <c r="S748" i="10" s="1"/>
  <c r="T748" i="10" a="1"/>
  <c r="T748" i="10" s="1"/>
  <c r="P749" i="10" a="1"/>
  <c r="P749" i="10" s="1"/>
  <c r="S749" i="10" a="1"/>
  <c r="S749" i="10" s="1"/>
  <c r="R749" i="10" a="1"/>
  <c r="R749" i="10" s="1"/>
  <c r="V749" i="10" a="1"/>
  <c r="V749" i="10" s="1"/>
  <c r="Q749" i="10" a="1"/>
  <c r="Q749" i="10" s="1"/>
  <c r="O749" i="10" a="1"/>
  <c r="O749" i="10" s="1"/>
  <c r="T749" i="10" a="1"/>
  <c r="T749" i="10" s="1"/>
  <c r="U749" i="10"/>
  <c r="P750" i="10" a="1"/>
  <c r="P750" i="10" s="1"/>
  <c r="S750" i="10" a="1"/>
  <c r="S750" i="10" s="1"/>
  <c r="Q750" i="10" a="1"/>
  <c r="Q750" i="10" s="1"/>
  <c r="R750" i="10" a="1"/>
  <c r="R750" i="10" s="1"/>
  <c r="O750" i="10" a="1"/>
  <c r="O750" i="10" s="1"/>
  <c r="V750" i="10" a="1"/>
  <c r="V750" i="10" s="1"/>
  <c r="T750" i="10" a="1"/>
  <c r="T750" i="10" s="1"/>
  <c r="U750" i="10"/>
  <c r="T751" i="10" a="1"/>
  <c r="T751" i="10" s="1"/>
  <c r="U751" i="10"/>
  <c r="O751" i="10" a="1"/>
  <c r="O751" i="10" s="1"/>
  <c r="V751" i="10" a="1"/>
  <c r="V751" i="10" s="1"/>
  <c r="R751" i="10" a="1"/>
  <c r="R751" i="10" s="1"/>
  <c r="Q751" i="10" a="1"/>
  <c r="Q751" i="10" s="1"/>
  <c r="P751" i="10" a="1"/>
  <c r="P751" i="10" s="1"/>
  <c r="S751" i="10" a="1"/>
  <c r="S751" i="10" s="1"/>
  <c r="O752" i="10" a="1"/>
  <c r="O752" i="10" s="1"/>
  <c r="P752" i="10" a="1"/>
  <c r="P752" i="10" s="1"/>
  <c r="S752" i="10" a="1"/>
  <c r="S752" i="10" s="1"/>
  <c r="T752" i="10" a="1"/>
  <c r="T752" i="10" s="1"/>
  <c r="R752" i="10" a="1"/>
  <c r="R752" i="10" s="1"/>
  <c r="U752" i="10"/>
  <c r="V752" i="10" a="1"/>
  <c r="V752" i="10" s="1"/>
  <c r="Q752" i="10" a="1"/>
  <c r="Q752" i="10" s="1"/>
  <c r="O753" i="10" a="1"/>
  <c r="O753" i="10" s="1"/>
  <c r="R753" i="10" a="1"/>
  <c r="R753" i="10" s="1"/>
  <c r="Q753" i="10" a="1"/>
  <c r="Q753" i="10" s="1"/>
  <c r="U753" i="10"/>
  <c r="S753" i="10" a="1"/>
  <c r="S753" i="10" s="1"/>
  <c r="T753" i="10" a="1"/>
  <c r="T753" i="10" s="1"/>
  <c r="V753" i="10" a="1"/>
  <c r="V753" i="10" s="1"/>
  <c r="P753" i="10" a="1"/>
  <c r="P753" i="10" s="1"/>
  <c r="P754" i="10" a="1"/>
  <c r="P754" i="10" s="1"/>
  <c r="V754" i="10" a="1"/>
  <c r="V754" i="10" s="1"/>
  <c r="S754" i="10" a="1"/>
  <c r="S754" i="10" s="1"/>
  <c r="T754" i="10" a="1"/>
  <c r="T754" i="10" s="1"/>
  <c r="Q754" i="10" a="1"/>
  <c r="Q754" i="10" s="1"/>
  <c r="O754" i="10" a="1"/>
  <c r="O754" i="10" s="1"/>
  <c r="U754" i="10"/>
  <c r="R754" i="10" a="1"/>
  <c r="R754" i="10" s="1"/>
  <c r="T755" i="10" a="1"/>
  <c r="T755" i="10" s="1"/>
  <c r="P755" i="10" a="1"/>
  <c r="P755" i="10" s="1"/>
  <c r="S755" i="10" a="1"/>
  <c r="S755" i="10" s="1"/>
  <c r="V755" i="10" a="1"/>
  <c r="V755" i="10" s="1"/>
  <c r="Q755" i="10" a="1"/>
  <c r="Q755" i="10" s="1"/>
  <c r="U755" i="10"/>
  <c r="O755" i="10" a="1"/>
  <c r="O755" i="10" s="1"/>
  <c r="R755" i="10" a="1"/>
  <c r="R755" i="10" s="1"/>
  <c r="S756" i="10" a="1"/>
  <c r="S756" i="10" s="1"/>
  <c r="O756" i="10" a="1"/>
  <c r="O756" i="10" s="1"/>
  <c r="U756" i="10"/>
  <c r="Q756" i="10" a="1"/>
  <c r="Q756" i="10" s="1"/>
  <c r="T756" i="10" a="1"/>
  <c r="T756" i="10" s="1"/>
  <c r="R756" i="10" a="1"/>
  <c r="R756" i="10" s="1"/>
  <c r="P756" i="10" a="1"/>
  <c r="P756" i="10" s="1"/>
  <c r="V756" i="10" a="1"/>
  <c r="V756" i="10" s="1"/>
  <c r="O757" i="10" a="1"/>
  <c r="O757" i="10" s="1"/>
  <c r="S757" i="10" a="1"/>
  <c r="S757" i="10" s="1"/>
  <c r="P757" i="10" a="1"/>
  <c r="P757" i="10" s="1"/>
  <c r="U757" i="10"/>
  <c r="R757" i="10" a="1"/>
  <c r="R757" i="10" s="1"/>
  <c r="T757" i="10" a="1"/>
  <c r="T757" i="10" s="1"/>
  <c r="V757" i="10" a="1"/>
  <c r="V757" i="10" s="1"/>
  <c r="Q757" i="10" a="1"/>
  <c r="Q757" i="10" s="1"/>
  <c r="O758" i="10" a="1"/>
  <c r="O758" i="10" s="1"/>
  <c r="P758" i="10" a="1"/>
  <c r="P758" i="10" s="1"/>
  <c r="T758" i="10" a="1"/>
  <c r="T758" i="10" s="1"/>
  <c r="V758" i="10" a="1"/>
  <c r="V758" i="10" s="1"/>
  <c r="U758" i="10"/>
  <c r="Q758" i="10" a="1"/>
  <c r="Q758" i="10" s="1"/>
  <c r="R758" i="10" a="1"/>
  <c r="R758" i="10" s="1"/>
  <c r="S758" i="10" a="1"/>
  <c r="S758" i="10" s="1"/>
  <c r="O759" i="10" a="1"/>
  <c r="O759" i="10" s="1"/>
  <c r="P759" i="10" a="1"/>
  <c r="P759" i="10" s="1"/>
  <c r="U759" i="10"/>
  <c r="T759" i="10" a="1"/>
  <c r="T759" i="10" s="1"/>
  <c r="Q759" i="10" a="1"/>
  <c r="Q759" i="10" s="1"/>
  <c r="R759" i="10" a="1"/>
  <c r="R759" i="10" s="1"/>
  <c r="S759" i="10" a="1"/>
  <c r="S759" i="10" s="1"/>
  <c r="V759" i="10" a="1"/>
  <c r="V759" i="10" s="1"/>
  <c r="R760" i="10" a="1"/>
  <c r="R760" i="10" s="1"/>
  <c r="V760" i="10" a="1"/>
  <c r="V760" i="10" s="1"/>
  <c r="O760" i="10" a="1"/>
  <c r="O760" i="10" s="1"/>
  <c r="Q760" i="10" a="1"/>
  <c r="Q760" i="10" s="1"/>
  <c r="P760" i="10" a="1"/>
  <c r="P760" i="10" s="1"/>
  <c r="T760" i="10" a="1"/>
  <c r="T760" i="10" s="1"/>
  <c r="S760" i="10" a="1"/>
  <c r="S760" i="10" s="1"/>
  <c r="U760" i="10"/>
  <c r="P761" i="10" a="1"/>
  <c r="P761" i="10" s="1"/>
  <c r="V761" i="10" a="1"/>
  <c r="V761" i="10" s="1"/>
  <c r="Q761" i="10" a="1"/>
  <c r="Q761" i="10" s="1"/>
  <c r="S761" i="10" a="1"/>
  <c r="S761" i="10" s="1"/>
  <c r="T761" i="10" a="1"/>
  <c r="T761" i="10" s="1"/>
  <c r="U761" i="10"/>
  <c r="O761" i="10" a="1"/>
  <c r="O761" i="10" s="1"/>
  <c r="R761" i="10" a="1"/>
  <c r="R761" i="10" s="1"/>
  <c r="O762" i="10" a="1"/>
  <c r="O762" i="10" s="1"/>
  <c r="R762" i="10" a="1"/>
  <c r="R762" i="10" s="1"/>
  <c r="U762" i="10"/>
  <c r="P762" i="10" a="1"/>
  <c r="P762" i="10" s="1"/>
  <c r="T762" i="10" a="1"/>
  <c r="T762" i="10" s="1"/>
  <c r="V762" i="10" a="1"/>
  <c r="V762" i="10" s="1"/>
  <c r="S762" i="10" a="1"/>
  <c r="S762" i="10" s="1"/>
  <c r="Q762" i="10" a="1"/>
  <c r="Q762" i="10" s="1"/>
  <c r="S763" i="10" a="1"/>
  <c r="S763" i="10" s="1"/>
  <c r="O763" i="10" a="1"/>
  <c r="O763" i="10" s="1"/>
  <c r="Q763" i="10" a="1"/>
  <c r="Q763" i="10" s="1"/>
  <c r="T763" i="10" a="1"/>
  <c r="T763" i="10" s="1"/>
  <c r="U763" i="10"/>
  <c r="V763" i="10" a="1"/>
  <c r="V763" i="10" s="1"/>
  <c r="R763" i="10" a="1"/>
  <c r="R763" i="10" s="1"/>
  <c r="P763" i="10" a="1"/>
  <c r="P763" i="10" s="1"/>
  <c r="T764" i="10" a="1"/>
  <c r="T764" i="10" s="1"/>
  <c r="Q764" i="10" a="1"/>
  <c r="Q764" i="10" s="1"/>
  <c r="U764" i="10"/>
  <c r="S764" i="10" a="1"/>
  <c r="S764" i="10" s="1"/>
  <c r="P764" i="10" a="1"/>
  <c r="P764" i="10" s="1"/>
  <c r="V764" i="10" a="1"/>
  <c r="V764" i="10" s="1"/>
  <c r="R764" i="10" a="1"/>
  <c r="R764" i="10" s="1"/>
  <c r="O764" i="10" a="1"/>
  <c r="O764" i="10" s="1"/>
  <c r="O765" i="10" a="1"/>
  <c r="O765" i="10" s="1"/>
  <c r="U765" i="10"/>
  <c r="S765" i="10" a="1"/>
  <c r="S765" i="10" s="1"/>
  <c r="Q765" i="10" a="1"/>
  <c r="Q765" i="10" s="1"/>
  <c r="T765" i="10" a="1"/>
  <c r="T765" i="10" s="1"/>
  <c r="V765" i="10" a="1"/>
  <c r="V765" i="10" s="1"/>
  <c r="R765" i="10" a="1"/>
  <c r="R765" i="10" s="1"/>
  <c r="P765" i="10" a="1"/>
  <c r="P765" i="10" s="1"/>
  <c r="S766" i="10" a="1"/>
  <c r="S766" i="10" s="1"/>
  <c r="R766" i="10" a="1"/>
  <c r="R766" i="10" s="1"/>
  <c r="T766" i="10" a="1"/>
  <c r="T766" i="10" s="1"/>
  <c r="V766" i="10" a="1"/>
  <c r="V766" i="10" s="1"/>
  <c r="O766" i="10" a="1"/>
  <c r="O766" i="10" s="1"/>
  <c r="P766" i="10" a="1"/>
  <c r="P766" i="10" s="1"/>
  <c r="Q766" i="10" a="1"/>
  <c r="Q766" i="10" s="1"/>
  <c r="U766" i="10"/>
  <c r="S767" i="10" a="1"/>
  <c r="S767" i="10" s="1"/>
  <c r="P767" i="10" a="1"/>
  <c r="P767" i="10" s="1"/>
  <c r="R767" i="10" a="1"/>
  <c r="R767" i="10" s="1"/>
  <c r="V767" i="10" a="1"/>
  <c r="V767" i="10" s="1"/>
  <c r="Q767" i="10" a="1"/>
  <c r="Q767" i="10" s="1"/>
  <c r="O767" i="10" a="1"/>
  <c r="O767" i="10" s="1"/>
  <c r="U767" i="10"/>
  <c r="T767" i="10" a="1"/>
  <c r="T767" i="10" s="1"/>
  <c r="O768" i="10" a="1"/>
  <c r="O768" i="10" s="1"/>
  <c r="Q768" i="10" a="1"/>
  <c r="Q768" i="10" s="1"/>
  <c r="U768" i="10"/>
  <c r="P768" i="10" a="1"/>
  <c r="P768" i="10" s="1"/>
  <c r="S768" i="10" a="1"/>
  <c r="S768" i="10" s="1"/>
  <c r="R768" i="10" a="1"/>
  <c r="R768" i="10" s="1"/>
  <c r="T768" i="10" a="1"/>
  <c r="T768" i="10" s="1"/>
  <c r="V768" i="10" a="1"/>
  <c r="V768" i="10" s="1"/>
  <c r="O769" i="10" a="1"/>
  <c r="O769" i="10" s="1"/>
  <c r="Q769" i="10" a="1"/>
  <c r="Q769" i="10" s="1"/>
  <c r="S769" i="10" a="1"/>
  <c r="S769" i="10" s="1"/>
  <c r="U769" i="10"/>
  <c r="P769" i="10" a="1"/>
  <c r="P769" i="10" s="1"/>
  <c r="T769" i="10" a="1"/>
  <c r="T769" i="10" s="1"/>
  <c r="R769" i="10" a="1"/>
  <c r="R769" i="10" s="1"/>
  <c r="V769" i="10" a="1"/>
  <c r="V769" i="10" s="1"/>
  <c r="S770" i="10" a="1"/>
  <c r="S770" i="10" s="1"/>
  <c r="P770" i="10" a="1"/>
  <c r="P770" i="10" s="1"/>
  <c r="Q770" i="10" a="1"/>
  <c r="Q770" i="10" s="1"/>
  <c r="V770" i="10" a="1"/>
  <c r="V770" i="10" s="1"/>
  <c r="O770" i="10" a="1"/>
  <c r="O770" i="10" s="1"/>
  <c r="T770" i="10" a="1"/>
  <c r="T770" i="10" s="1"/>
  <c r="R770" i="10" a="1"/>
  <c r="R770" i="10" s="1"/>
  <c r="U770" i="10"/>
  <c r="Q771" i="10" a="1"/>
  <c r="Q771" i="10" s="1"/>
  <c r="T771" i="10" a="1"/>
  <c r="T771" i="10" s="1"/>
  <c r="S771" i="10" a="1"/>
  <c r="S771" i="10" s="1"/>
  <c r="V771" i="10" a="1"/>
  <c r="V771" i="10" s="1"/>
  <c r="P771" i="10" a="1"/>
  <c r="P771" i="10" s="1"/>
  <c r="U771" i="10"/>
  <c r="O771" i="10" a="1"/>
  <c r="O771" i="10" s="1"/>
  <c r="R771" i="10" a="1"/>
  <c r="R771" i="10" s="1"/>
  <c r="Q772" i="10" a="1"/>
  <c r="Q772" i="10" s="1"/>
  <c r="S772" i="10" a="1"/>
  <c r="S772" i="10" s="1"/>
  <c r="P772" i="10" a="1"/>
  <c r="P772" i="10" s="1"/>
  <c r="T772" i="10" a="1"/>
  <c r="T772" i="10" s="1"/>
  <c r="V772" i="10" a="1"/>
  <c r="V772" i="10" s="1"/>
  <c r="O772" i="10" a="1"/>
  <c r="O772" i="10" s="1"/>
  <c r="R772" i="10" a="1"/>
  <c r="R772" i="10" s="1"/>
  <c r="U772" i="10"/>
  <c r="Q773" i="10" a="1"/>
  <c r="Q773" i="10" s="1"/>
  <c r="U773" i="10"/>
  <c r="V773" i="10" a="1"/>
  <c r="V773" i="10" s="1"/>
  <c r="O773" i="10" a="1"/>
  <c r="O773" i="10" s="1"/>
  <c r="R773" i="10" a="1"/>
  <c r="R773" i="10" s="1"/>
  <c r="S773" i="10" a="1"/>
  <c r="S773" i="10" s="1"/>
  <c r="P773" i="10" a="1"/>
  <c r="P773" i="10" s="1"/>
  <c r="T773" i="10" a="1"/>
  <c r="T773" i="10" s="1"/>
  <c r="P774" i="10" a="1"/>
  <c r="P774" i="10" s="1"/>
  <c r="V774" i="10" a="1"/>
  <c r="V774" i="10" s="1"/>
  <c r="O774" i="10" a="1"/>
  <c r="O774" i="10" s="1"/>
  <c r="Q774" i="10" a="1"/>
  <c r="Q774" i="10" s="1"/>
  <c r="T774" i="10" a="1"/>
  <c r="T774" i="10" s="1"/>
  <c r="U774" i="10"/>
  <c r="R774" i="10" a="1"/>
  <c r="R774" i="10" s="1"/>
  <c r="S774" i="10" a="1"/>
  <c r="S774" i="10" s="1"/>
  <c r="R775" i="10" a="1"/>
  <c r="R775" i="10" s="1"/>
  <c r="S775" i="10" a="1"/>
  <c r="S775" i="10" s="1"/>
  <c r="P775" i="10" a="1"/>
  <c r="P775" i="10" s="1"/>
  <c r="O775" i="10" a="1"/>
  <c r="O775" i="10" s="1"/>
  <c r="Q775" i="10" a="1"/>
  <c r="Q775" i="10" s="1"/>
  <c r="U775" i="10"/>
  <c r="T775" i="10" a="1"/>
  <c r="T775" i="10" s="1"/>
  <c r="V775" i="10" a="1"/>
  <c r="V775" i="10" s="1"/>
  <c r="S776" i="10" a="1"/>
  <c r="S776" i="10" s="1"/>
  <c r="T776" i="10" a="1"/>
  <c r="T776" i="10" s="1"/>
  <c r="U776" i="10"/>
  <c r="P776" i="10" a="1"/>
  <c r="P776" i="10" s="1"/>
  <c r="R776" i="10" a="1"/>
  <c r="R776" i="10" s="1"/>
  <c r="Q776" i="10" a="1"/>
  <c r="Q776" i="10" s="1"/>
  <c r="V776" i="10" a="1"/>
  <c r="V776" i="10" s="1"/>
  <c r="O776" i="10" a="1"/>
  <c r="O776" i="10" s="1"/>
  <c r="R777" i="10" a="1"/>
  <c r="R777" i="10" s="1"/>
  <c r="P777" i="10" a="1"/>
  <c r="P777" i="10" s="1"/>
  <c r="T777" i="10" a="1"/>
  <c r="T777" i="10" s="1"/>
  <c r="U777" i="10"/>
  <c r="S777" i="10" a="1"/>
  <c r="S777" i="10" s="1"/>
  <c r="V777" i="10" a="1"/>
  <c r="V777" i="10" s="1"/>
  <c r="O777" i="10" a="1"/>
  <c r="O777" i="10" s="1"/>
  <c r="Q777" i="10" a="1"/>
  <c r="Q777" i="10" s="1"/>
  <c r="U778" i="10"/>
  <c r="Q778" i="10" a="1"/>
  <c r="Q778" i="10" s="1"/>
  <c r="R778" i="10" a="1"/>
  <c r="R778" i="10" s="1"/>
  <c r="T778" i="10" a="1"/>
  <c r="T778" i="10" s="1"/>
  <c r="P778" i="10" a="1"/>
  <c r="P778" i="10" s="1"/>
  <c r="S778" i="10" a="1"/>
  <c r="S778" i="10" s="1"/>
  <c r="O778" i="10" a="1"/>
  <c r="O778" i="10" s="1"/>
  <c r="V778" i="10" a="1"/>
  <c r="V778" i="10" s="1"/>
  <c r="R779" i="10" a="1"/>
  <c r="R779" i="10" s="1"/>
  <c r="P779" i="10" a="1"/>
  <c r="P779" i="10" s="1"/>
  <c r="S779" i="10" a="1"/>
  <c r="S779" i="10" s="1"/>
  <c r="Q779" i="10" a="1"/>
  <c r="Q779" i="10" s="1"/>
  <c r="T779" i="10" a="1"/>
  <c r="T779" i="10" s="1"/>
  <c r="O779" i="10" a="1"/>
  <c r="O779" i="10" s="1"/>
  <c r="U779" i="10"/>
  <c r="V779" i="10" a="1"/>
  <c r="V779" i="10" s="1"/>
  <c r="U780" i="10"/>
  <c r="S780" i="10" a="1"/>
  <c r="S780" i="10" s="1"/>
  <c r="T780" i="10" a="1"/>
  <c r="T780" i="10" s="1"/>
  <c r="R780" i="10" a="1"/>
  <c r="R780" i="10" s="1"/>
  <c r="P780" i="10" a="1"/>
  <c r="P780" i="10" s="1"/>
  <c r="Q780" i="10" a="1"/>
  <c r="Q780" i="10" s="1"/>
  <c r="V780" i="10" a="1"/>
  <c r="V780" i="10" s="1"/>
  <c r="O780" i="10" a="1"/>
  <c r="O780" i="10" s="1"/>
  <c r="T781" i="10" a="1"/>
  <c r="T781" i="10" s="1"/>
  <c r="Q781" i="10" a="1"/>
  <c r="Q781" i="10" s="1"/>
  <c r="P781" i="10" a="1"/>
  <c r="P781" i="10" s="1"/>
  <c r="R781" i="10" a="1"/>
  <c r="R781" i="10" s="1"/>
  <c r="V781" i="10" a="1"/>
  <c r="V781" i="10" s="1"/>
  <c r="O781" i="10" a="1"/>
  <c r="O781" i="10" s="1"/>
  <c r="U781" i="10"/>
  <c r="S781" i="10" a="1"/>
  <c r="S781" i="10" s="1"/>
  <c r="Q782" i="10" a="1"/>
  <c r="Q782" i="10" s="1"/>
  <c r="V782" i="10" a="1"/>
  <c r="V782" i="10" s="1"/>
  <c r="O782" i="10" a="1"/>
  <c r="O782" i="10" s="1"/>
  <c r="T782" i="10" a="1"/>
  <c r="T782" i="10" s="1"/>
  <c r="U782" i="10"/>
  <c r="R782" i="10" a="1"/>
  <c r="R782" i="10" s="1"/>
  <c r="S782" i="10" a="1"/>
  <c r="S782" i="10" s="1"/>
  <c r="P782" i="10" a="1"/>
  <c r="P782" i="10" s="1"/>
  <c r="P783" i="10" a="1"/>
  <c r="P783" i="10" s="1"/>
  <c r="S783" i="10" a="1"/>
  <c r="S783" i="10" s="1"/>
  <c r="R783" i="10" a="1"/>
  <c r="R783" i="10" s="1"/>
  <c r="T783" i="10" a="1"/>
  <c r="T783" i="10" s="1"/>
  <c r="Q783" i="10" a="1"/>
  <c r="Q783" i="10" s="1"/>
  <c r="O783" i="10" a="1"/>
  <c r="O783" i="10" s="1"/>
  <c r="U783" i="10"/>
  <c r="V783" i="10" a="1"/>
  <c r="V783" i="10" s="1"/>
  <c r="U784" i="10"/>
  <c r="R784" i="10" a="1"/>
  <c r="R784" i="10" s="1"/>
  <c r="T784" i="10" a="1"/>
  <c r="T784" i="10" s="1"/>
  <c r="S784" i="10" a="1"/>
  <c r="S784" i="10" s="1"/>
  <c r="Q784" i="10" a="1"/>
  <c r="Q784" i="10" s="1"/>
  <c r="P784" i="10" a="1"/>
  <c r="P784" i="10" s="1"/>
  <c r="V784" i="10" a="1"/>
  <c r="V784" i="10" s="1"/>
  <c r="O784" i="10" a="1"/>
  <c r="O784" i="10" s="1"/>
  <c r="P785" i="10" a="1"/>
  <c r="P785" i="10" s="1"/>
  <c r="R785" i="10" a="1"/>
  <c r="R785" i="10" s="1"/>
  <c r="S785" i="10" a="1"/>
  <c r="S785" i="10" s="1"/>
  <c r="Q785" i="10" a="1"/>
  <c r="Q785" i="10" s="1"/>
  <c r="V785" i="10" a="1"/>
  <c r="V785" i="10" s="1"/>
  <c r="O785" i="10" a="1"/>
  <c r="O785" i="10" s="1"/>
  <c r="T785" i="10" a="1"/>
  <c r="T785" i="10" s="1"/>
  <c r="U785" i="10"/>
  <c r="Q786" i="10" a="1"/>
  <c r="Q786" i="10" s="1"/>
  <c r="V786" i="10" a="1"/>
  <c r="V786" i="10" s="1"/>
  <c r="O786" i="10" a="1"/>
  <c r="O786" i="10" s="1"/>
  <c r="T786" i="10" a="1"/>
  <c r="T786" i="10" s="1"/>
  <c r="R786" i="10" a="1"/>
  <c r="R786" i="10" s="1"/>
  <c r="P786" i="10" a="1"/>
  <c r="P786" i="10" s="1"/>
  <c r="U786" i="10"/>
  <c r="S786" i="10" a="1"/>
  <c r="S786" i="10" s="1"/>
  <c r="V787" i="10" a="1"/>
  <c r="V787" i="10" s="1"/>
  <c r="R787" i="10" a="1"/>
  <c r="R787" i="10" s="1"/>
  <c r="O787" i="10" a="1"/>
  <c r="O787" i="10" s="1"/>
  <c r="S787" i="10" a="1"/>
  <c r="S787" i="10" s="1"/>
  <c r="Q787" i="10" a="1"/>
  <c r="Q787" i="10" s="1"/>
  <c r="U787" i="10"/>
  <c r="P787" i="10" a="1"/>
  <c r="P787" i="10" s="1"/>
  <c r="T787" i="10" a="1"/>
  <c r="T787" i="10" s="1"/>
  <c r="P788" i="10" a="1"/>
  <c r="P788" i="10" s="1"/>
  <c r="S788" i="10" a="1"/>
  <c r="S788" i="10" s="1"/>
  <c r="V788" i="10" a="1"/>
  <c r="V788" i="10" s="1"/>
  <c r="O788" i="10" a="1"/>
  <c r="O788" i="10" s="1"/>
  <c r="Q788" i="10" a="1"/>
  <c r="Q788" i="10" s="1"/>
  <c r="U788" i="10"/>
  <c r="R788" i="10" a="1"/>
  <c r="R788" i="10" s="1"/>
  <c r="T788" i="10" a="1"/>
  <c r="T788" i="10" s="1"/>
  <c r="V789" i="10" a="1"/>
  <c r="V789" i="10" s="1"/>
  <c r="O789" i="10" a="1"/>
  <c r="O789" i="10" s="1"/>
  <c r="S789" i="10" a="1"/>
  <c r="S789" i="10" s="1"/>
  <c r="U789" i="10"/>
  <c r="T789" i="10" a="1"/>
  <c r="T789" i="10" s="1"/>
  <c r="R789" i="10" a="1"/>
  <c r="R789" i="10" s="1"/>
  <c r="Q789" i="10" a="1"/>
  <c r="Q789" i="10" s="1"/>
  <c r="P789" i="10" a="1"/>
  <c r="P789" i="10" s="1"/>
  <c r="P790" i="10" a="1"/>
  <c r="P790" i="10" s="1"/>
  <c r="V790" i="10" a="1"/>
  <c r="V790" i="10" s="1"/>
  <c r="O790" i="10" a="1"/>
  <c r="O790" i="10" s="1"/>
  <c r="U790" i="10"/>
  <c r="T790" i="10" a="1"/>
  <c r="T790" i="10" s="1"/>
  <c r="R790" i="10" a="1"/>
  <c r="R790" i="10" s="1"/>
  <c r="S790" i="10" a="1"/>
  <c r="S790" i="10" s="1"/>
  <c r="Q790" i="10" a="1"/>
  <c r="Q790" i="10" s="1"/>
  <c r="U791" i="10"/>
  <c r="O791" i="10" a="1"/>
  <c r="O791" i="10" s="1"/>
  <c r="S791" i="10" a="1"/>
  <c r="S791" i="10" s="1"/>
  <c r="Q791" i="10" a="1"/>
  <c r="Q791" i="10" s="1"/>
  <c r="R791" i="10" a="1"/>
  <c r="R791" i="10" s="1"/>
  <c r="T791" i="10" a="1"/>
  <c r="T791" i="10" s="1"/>
  <c r="P791" i="10" a="1"/>
  <c r="P791" i="10" s="1"/>
  <c r="V791" i="10" a="1"/>
  <c r="V791" i="10" s="1"/>
  <c r="Q1215" i="10" a="1"/>
  <c r="Q1215" i="10" s="1"/>
  <c r="V1215" i="10" a="1"/>
  <c r="V1215" i="10" s="1"/>
  <c r="P1215" i="10" a="1"/>
  <c r="P1215" i="10" s="1"/>
  <c r="Q1223" i="10" a="1"/>
  <c r="Q1223" i="10" s="1"/>
  <c r="V1223" i="10" a="1"/>
  <c r="V1223" i="10" s="1"/>
  <c r="P1223" i="10" a="1"/>
  <c r="P1223" i="10" s="1"/>
  <c r="V1231" i="10" a="1"/>
  <c r="V1231" i="10" s="1"/>
  <c r="Q1231" i="10" a="1"/>
  <c r="Q1231" i="10" s="1"/>
  <c r="P1231" i="10" a="1"/>
  <c r="P1231" i="10" s="1"/>
  <c r="R792" i="10" a="1"/>
  <c r="R792" i="10" s="1"/>
  <c r="S792" i="10" a="1"/>
  <c r="S792" i="10" s="1"/>
  <c r="Q792" i="10" a="1"/>
  <c r="Q792" i="10" s="1"/>
  <c r="U792" i="10"/>
  <c r="T792" i="10" a="1"/>
  <c r="T792" i="10" s="1"/>
  <c r="P792" i="10" a="1"/>
  <c r="P792" i="10" s="1"/>
  <c r="O792" i="10" a="1"/>
  <c r="O792" i="10" s="1"/>
  <c r="V792" i="10" a="1"/>
  <c r="V792" i="10" s="1"/>
  <c r="S793" i="10" a="1"/>
  <c r="S793" i="10" s="1"/>
  <c r="Q793" i="10" a="1"/>
  <c r="Q793" i="10" s="1"/>
  <c r="P793" i="10" a="1"/>
  <c r="P793" i="10" s="1"/>
  <c r="T793" i="10" a="1"/>
  <c r="T793" i="10" s="1"/>
  <c r="O793" i="10" a="1"/>
  <c r="O793" i="10" s="1"/>
  <c r="R793" i="10" a="1"/>
  <c r="R793" i="10" s="1"/>
  <c r="V793" i="10" a="1"/>
  <c r="V793" i="10" s="1"/>
  <c r="U793" i="10"/>
  <c r="T794" i="10" a="1"/>
  <c r="T794" i="10" s="1"/>
  <c r="U794" i="10"/>
  <c r="Q794" i="10" a="1"/>
  <c r="Q794" i="10" s="1"/>
  <c r="O794" i="10" a="1"/>
  <c r="O794" i="10" s="1"/>
  <c r="V794" i="10" a="1"/>
  <c r="V794" i="10" s="1"/>
  <c r="S794" i="10" a="1"/>
  <c r="S794" i="10" s="1"/>
  <c r="P794" i="10" a="1"/>
  <c r="P794" i="10" s="1"/>
  <c r="R794" i="10" a="1"/>
  <c r="R794" i="10" s="1"/>
  <c r="S795" i="10" a="1"/>
  <c r="S795" i="10" s="1"/>
  <c r="P795" i="10" a="1"/>
  <c r="P795" i="10" s="1"/>
  <c r="V795" i="10" a="1"/>
  <c r="V795" i="10" s="1"/>
  <c r="U795" i="10"/>
  <c r="R795" i="10" a="1"/>
  <c r="R795" i="10" s="1"/>
  <c r="T795" i="10" a="1"/>
  <c r="T795" i="10" s="1"/>
  <c r="Q795" i="10" a="1"/>
  <c r="Q795" i="10" s="1"/>
  <c r="O795" i="10" a="1"/>
  <c r="O795" i="10" s="1"/>
  <c r="T796" i="10" a="1"/>
  <c r="T796" i="10" s="1"/>
  <c r="S796" i="10" a="1"/>
  <c r="S796" i="10" s="1"/>
  <c r="U796" i="10"/>
  <c r="V796" i="10" a="1"/>
  <c r="V796" i="10" s="1"/>
  <c r="O796" i="10" a="1"/>
  <c r="O796" i="10" s="1"/>
  <c r="P796" i="10" a="1"/>
  <c r="P796" i="10" s="1"/>
  <c r="R796" i="10" a="1"/>
  <c r="R796" i="10" s="1"/>
  <c r="Q796" i="10" a="1"/>
  <c r="Q796" i="10" s="1"/>
  <c r="S797" i="10" a="1"/>
  <c r="S797" i="10" s="1"/>
  <c r="O797" i="10" a="1"/>
  <c r="O797" i="10" s="1"/>
  <c r="P797" i="10" a="1"/>
  <c r="P797" i="10" s="1"/>
  <c r="R797" i="10" a="1"/>
  <c r="R797" i="10" s="1"/>
  <c r="V797" i="10" a="1"/>
  <c r="V797" i="10" s="1"/>
  <c r="T797" i="10" a="1"/>
  <c r="T797" i="10" s="1"/>
  <c r="Q797" i="10" a="1"/>
  <c r="Q797" i="10" s="1"/>
  <c r="U797" i="10"/>
  <c r="V798" i="10" a="1"/>
  <c r="V798" i="10" s="1"/>
  <c r="O798" i="10" a="1"/>
  <c r="O798" i="10" s="1"/>
  <c r="T798" i="10" a="1"/>
  <c r="T798" i="10" s="1"/>
  <c r="S798" i="10" a="1"/>
  <c r="S798" i="10" s="1"/>
  <c r="P798" i="10" a="1"/>
  <c r="P798" i="10" s="1"/>
  <c r="R798" i="10" a="1"/>
  <c r="R798" i="10" s="1"/>
  <c r="Q798" i="10" a="1"/>
  <c r="Q798" i="10" s="1"/>
  <c r="U798" i="10"/>
  <c r="Q799" i="10" a="1"/>
  <c r="Q799" i="10" s="1"/>
  <c r="P799" i="10" a="1"/>
  <c r="P799" i="10" s="1"/>
  <c r="T799" i="10" a="1"/>
  <c r="T799" i="10" s="1"/>
  <c r="O799" i="10" a="1"/>
  <c r="O799" i="10" s="1"/>
  <c r="U799" i="10"/>
  <c r="R799" i="10" a="1"/>
  <c r="R799" i="10" s="1"/>
  <c r="V799" i="10" a="1"/>
  <c r="V799" i="10" s="1"/>
  <c r="S799" i="10" a="1"/>
  <c r="S799" i="10" s="1"/>
  <c r="Q800" i="10" a="1"/>
  <c r="Q800" i="10" s="1"/>
  <c r="R800" i="10" a="1"/>
  <c r="R800" i="10" s="1"/>
  <c r="S800" i="10" a="1"/>
  <c r="S800" i="10" s="1"/>
  <c r="P800" i="10" a="1"/>
  <c r="P800" i="10" s="1"/>
  <c r="U800" i="10"/>
  <c r="V800" i="10" a="1"/>
  <c r="V800" i="10" s="1"/>
  <c r="O800" i="10" a="1"/>
  <c r="O800" i="10" s="1"/>
  <c r="T800" i="10" a="1"/>
  <c r="T800" i="10" s="1"/>
  <c r="S801" i="10" a="1"/>
  <c r="S801" i="10" s="1"/>
  <c r="Q801" i="10" a="1"/>
  <c r="Q801" i="10" s="1"/>
  <c r="U801" i="10"/>
  <c r="V801" i="10" a="1"/>
  <c r="V801" i="10" s="1"/>
  <c r="P801" i="10" a="1"/>
  <c r="P801" i="10" s="1"/>
  <c r="R801" i="10" a="1"/>
  <c r="R801" i="10" s="1"/>
  <c r="O801" i="10" a="1"/>
  <c r="O801" i="10" s="1"/>
  <c r="T801" i="10" a="1"/>
  <c r="T801" i="10" s="1"/>
  <c r="U802" i="10"/>
  <c r="O802" i="10" a="1"/>
  <c r="O802" i="10" s="1"/>
  <c r="V802" i="10" a="1"/>
  <c r="V802" i="10" s="1"/>
  <c r="Q802" i="10" a="1"/>
  <c r="Q802" i="10" s="1"/>
  <c r="S802" i="10" a="1"/>
  <c r="S802" i="10" s="1"/>
  <c r="T802" i="10" a="1"/>
  <c r="T802" i="10" s="1"/>
  <c r="R802" i="10" a="1"/>
  <c r="R802" i="10" s="1"/>
  <c r="P802" i="10" a="1"/>
  <c r="P802" i="10" s="1"/>
  <c r="P803" i="10" a="1"/>
  <c r="P803" i="10" s="1"/>
  <c r="O803" i="10" a="1"/>
  <c r="O803" i="10" s="1"/>
  <c r="U803" i="10"/>
  <c r="S803" i="10" a="1"/>
  <c r="S803" i="10" s="1"/>
  <c r="V803" i="10" a="1"/>
  <c r="V803" i="10" s="1"/>
  <c r="T803" i="10" a="1"/>
  <c r="T803" i="10" s="1"/>
  <c r="Q803" i="10" a="1"/>
  <c r="Q803" i="10" s="1"/>
  <c r="R803" i="10" a="1"/>
  <c r="R803" i="10" s="1"/>
  <c r="R804" i="10" a="1"/>
  <c r="R804" i="10" s="1"/>
  <c r="S804" i="10" a="1"/>
  <c r="S804" i="10" s="1"/>
  <c r="U804" i="10"/>
  <c r="P804" i="10" a="1"/>
  <c r="P804" i="10" s="1"/>
  <c r="O804" i="10" a="1"/>
  <c r="O804" i="10" s="1"/>
  <c r="T804" i="10" a="1"/>
  <c r="T804" i="10" s="1"/>
  <c r="V804" i="10" a="1"/>
  <c r="V804" i="10" s="1"/>
  <c r="Q804" i="10" a="1"/>
  <c r="Q804" i="10" s="1"/>
  <c r="R805" i="10" a="1"/>
  <c r="R805" i="10" s="1"/>
  <c r="Q805" i="10" a="1"/>
  <c r="Q805" i="10" s="1"/>
  <c r="U805" i="10"/>
  <c r="V805" i="10" a="1"/>
  <c r="V805" i="10" s="1"/>
  <c r="P805" i="10" a="1"/>
  <c r="P805" i="10" s="1"/>
  <c r="S805" i="10" a="1"/>
  <c r="S805" i="10" s="1"/>
  <c r="T805" i="10" a="1"/>
  <c r="T805" i="10" s="1"/>
  <c r="O805" i="10" a="1"/>
  <c r="O805" i="10" s="1"/>
  <c r="Q806" i="10" a="1"/>
  <c r="Q806" i="10" s="1"/>
  <c r="P806" i="10" a="1"/>
  <c r="P806" i="10" s="1"/>
  <c r="S806" i="10" a="1"/>
  <c r="S806" i="10" s="1"/>
  <c r="U806" i="10"/>
  <c r="T806" i="10" a="1"/>
  <c r="T806" i="10" s="1"/>
  <c r="O806" i="10" a="1"/>
  <c r="O806" i="10" s="1"/>
  <c r="V806" i="10" a="1"/>
  <c r="V806" i="10" s="1"/>
  <c r="R806" i="10" a="1"/>
  <c r="R806" i="10" s="1"/>
  <c r="S807" i="10" a="1"/>
  <c r="S807" i="10" s="1"/>
  <c r="U807" i="10"/>
  <c r="V807" i="10" a="1"/>
  <c r="V807" i="10" s="1"/>
  <c r="O807" i="10" a="1"/>
  <c r="O807" i="10" s="1"/>
  <c r="P807" i="10" a="1"/>
  <c r="P807" i="10" s="1"/>
  <c r="T807" i="10" a="1"/>
  <c r="T807" i="10" s="1"/>
  <c r="R807" i="10" a="1"/>
  <c r="R807" i="10" s="1"/>
  <c r="Q807" i="10" a="1"/>
  <c r="Q807" i="10" s="1"/>
  <c r="V808" i="10" a="1"/>
  <c r="V808" i="10" s="1"/>
  <c r="Q808" i="10" a="1"/>
  <c r="Q808" i="10" s="1"/>
  <c r="O808" i="10" a="1"/>
  <c r="O808" i="10" s="1"/>
  <c r="S808" i="10" a="1"/>
  <c r="S808" i="10" s="1"/>
  <c r="T808" i="10" a="1"/>
  <c r="T808" i="10" s="1"/>
  <c r="U808" i="10"/>
  <c r="R808" i="10" a="1"/>
  <c r="R808" i="10" s="1"/>
  <c r="P808" i="10" a="1"/>
  <c r="P808" i="10" s="1"/>
  <c r="P809" i="10" a="1"/>
  <c r="P809" i="10" s="1"/>
  <c r="Q809" i="10" a="1"/>
  <c r="Q809" i="10" s="1"/>
  <c r="S809" i="10" a="1"/>
  <c r="S809" i="10" s="1"/>
  <c r="R809" i="10" a="1"/>
  <c r="R809" i="10" s="1"/>
  <c r="T809" i="10" a="1"/>
  <c r="T809" i="10" s="1"/>
  <c r="U809" i="10"/>
  <c r="V809" i="10" a="1"/>
  <c r="V809" i="10" s="1"/>
  <c r="O809" i="10" a="1"/>
  <c r="O809" i="10" s="1"/>
  <c r="S810" i="10" a="1"/>
  <c r="S810" i="10" s="1"/>
  <c r="Q810" i="10" a="1"/>
  <c r="Q810" i="10" s="1"/>
  <c r="V810" i="10" a="1"/>
  <c r="V810" i="10" s="1"/>
  <c r="U810" i="10"/>
  <c r="O810" i="10" a="1"/>
  <c r="O810" i="10" s="1"/>
  <c r="R810" i="10" a="1"/>
  <c r="R810" i="10" s="1"/>
  <c r="T810" i="10" a="1"/>
  <c r="T810" i="10" s="1"/>
  <c r="P810" i="10" a="1"/>
  <c r="P810" i="10" s="1"/>
  <c r="P811" i="10" a="1"/>
  <c r="P811" i="10" s="1"/>
  <c r="T811" i="10" a="1"/>
  <c r="T811" i="10" s="1"/>
  <c r="V811" i="10" a="1"/>
  <c r="V811" i="10" s="1"/>
  <c r="U811" i="10"/>
  <c r="Q811" i="10" a="1"/>
  <c r="Q811" i="10" s="1"/>
  <c r="S811" i="10" a="1"/>
  <c r="S811" i="10" s="1"/>
  <c r="R811" i="10" a="1"/>
  <c r="R811" i="10" s="1"/>
  <c r="O811" i="10" a="1"/>
  <c r="O811" i="10" s="1"/>
  <c r="U812" i="10"/>
  <c r="T812" i="10" a="1"/>
  <c r="T812" i="10" s="1"/>
  <c r="Q812" i="10" a="1"/>
  <c r="Q812" i="10" s="1"/>
  <c r="S812" i="10" a="1"/>
  <c r="S812" i="10" s="1"/>
  <c r="V812" i="10" a="1"/>
  <c r="V812" i="10" s="1"/>
  <c r="O812" i="10" a="1"/>
  <c r="O812" i="10" s="1"/>
  <c r="P812" i="10" a="1"/>
  <c r="P812" i="10" s="1"/>
  <c r="R812" i="10" a="1"/>
  <c r="R812" i="10" s="1"/>
  <c r="R813" i="10" a="1"/>
  <c r="R813" i="10" s="1"/>
  <c r="T813" i="10" a="1"/>
  <c r="T813" i="10" s="1"/>
  <c r="Q813" i="10" a="1"/>
  <c r="Q813" i="10" s="1"/>
  <c r="V813" i="10" a="1"/>
  <c r="V813" i="10" s="1"/>
  <c r="O813" i="10" a="1"/>
  <c r="O813" i="10" s="1"/>
  <c r="S813" i="10" a="1"/>
  <c r="S813" i="10" s="1"/>
  <c r="U813" i="10"/>
  <c r="P813" i="10" a="1"/>
  <c r="P813" i="10" s="1"/>
  <c r="U814" i="10"/>
  <c r="Q814" i="10" a="1"/>
  <c r="Q814" i="10" s="1"/>
  <c r="P814" i="10" a="1"/>
  <c r="P814" i="10" s="1"/>
  <c r="R814" i="10" a="1"/>
  <c r="R814" i="10" s="1"/>
  <c r="S814" i="10" a="1"/>
  <c r="S814" i="10" s="1"/>
  <c r="T814" i="10" a="1"/>
  <c r="T814" i="10" s="1"/>
  <c r="O814" i="10" a="1"/>
  <c r="O814" i="10" s="1"/>
  <c r="V814" i="10" a="1"/>
  <c r="V814" i="10" s="1"/>
  <c r="O815" i="10" a="1"/>
  <c r="O815" i="10" s="1"/>
  <c r="T815" i="10" a="1"/>
  <c r="T815" i="10" s="1"/>
  <c r="V815" i="10" a="1"/>
  <c r="V815" i="10" s="1"/>
  <c r="P815" i="10" a="1"/>
  <c r="P815" i="10" s="1"/>
  <c r="S815" i="10" a="1"/>
  <c r="S815" i="10" s="1"/>
  <c r="Q815" i="10" a="1"/>
  <c r="Q815" i="10" s="1"/>
  <c r="U815" i="10"/>
  <c r="R815" i="10" a="1"/>
  <c r="R815" i="10" s="1"/>
  <c r="R816" i="10" a="1"/>
  <c r="R816" i="10" s="1"/>
  <c r="S816" i="10" a="1"/>
  <c r="S816" i="10" s="1"/>
  <c r="O816" i="10" a="1"/>
  <c r="O816" i="10" s="1"/>
  <c r="U816" i="10"/>
  <c r="Q816" i="10" a="1"/>
  <c r="Q816" i="10" s="1"/>
  <c r="P816" i="10" a="1"/>
  <c r="P816" i="10" s="1"/>
  <c r="V816" i="10" a="1"/>
  <c r="V816" i="10" s="1"/>
  <c r="T816" i="10" a="1"/>
  <c r="T816" i="10" s="1"/>
  <c r="S817" i="10" a="1"/>
  <c r="S817" i="10" s="1"/>
  <c r="O817" i="10" a="1"/>
  <c r="O817" i="10" s="1"/>
  <c r="Q817" i="10" a="1"/>
  <c r="Q817" i="10" s="1"/>
  <c r="R817" i="10" a="1"/>
  <c r="R817" i="10" s="1"/>
  <c r="T817" i="10" a="1"/>
  <c r="T817" i="10" s="1"/>
  <c r="U817" i="10"/>
  <c r="V817" i="10" a="1"/>
  <c r="V817" i="10" s="1"/>
  <c r="P817" i="10" a="1"/>
  <c r="P817" i="10" s="1"/>
  <c r="V818" i="10" a="1"/>
  <c r="V818" i="10" s="1"/>
  <c r="S818" i="10" a="1"/>
  <c r="S818" i="10" s="1"/>
  <c r="R818" i="10" a="1"/>
  <c r="R818" i="10" s="1"/>
  <c r="T818" i="10" a="1"/>
  <c r="T818" i="10" s="1"/>
  <c r="P818" i="10" a="1"/>
  <c r="P818" i="10" s="1"/>
  <c r="O818" i="10" a="1"/>
  <c r="O818" i="10" s="1"/>
  <c r="Q818" i="10" a="1"/>
  <c r="Q818" i="10" s="1"/>
  <c r="U818" i="10"/>
  <c r="S819" i="10" a="1"/>
  <c r="S819" i="10" s="1"/>
  <c r="Q819" i="10" a="1"/>
  <c r="Q819" i="10" s="1"/>
  <c r="P819" i="10" a="1"/>
  <c r="P819" i="10" s="1"/>
  <c r="U819" i="10"/>
  <c r="R819" i="10" a="1"/>
  <c r="R819" i="10" s="1"/>
  <c r="T819" i="10" a="1"/>
  <c r="T819" i="10" s="1"/>
  <c r="O819" i="10" a="1"/>
  <c r="O819" i="10" s="1"/>
  <c r="V819" i="10" a="1"/>
  <c r="V819" i="10" s="1"/>
  <c r="O820" i="10" a="1"/>
  <c r="O820" i="10" s="1"/>
  <c r="U820" i="10"/>
  <c r="T820" i="10" a="1"/>
  <c r="T820" i="10" s="1"/>
  <c r="R820" i="10" a="1"/>
  <c r="R820" i="10" s="1"/>
  <c r="V820" i="10" a="1"/>
  <c r="V820" i="10" s="1"/>
  <c r="P820" i="10" a="1"/>
  <c r="P820" i="10" s="1"/>
  <c r="Q820" i="10" a="1"/>
  <c r="Q820" i="10" s="1"/>
  <c r="S820" i="10" a="1"/>
  <c r="S820" i="10" s="1"/>
  <c r="V821" i="10" a="1"/>
  <c r="V821" i="10" s="1"/>
  <c r="S821" i="10" a="1"/>
  <c r="S821" i="10" s="1"/>
  <c r="T821" i="10" a="1"/>
  <c r="T821" i="10" s="1"/>
  <c r="U821" i="10"/>
  <c r="P821" i="10" a="1"/>
  <c r="P821" i="10" s="1"/>
  <c r="O821" i="10" a="1"/>
  <c r="O821" i="10" s="1"/>
  <c r="Q821" i="10" a="1"/>
  <c r="Q821" i="10" s="1"/>
  <c r="R821" i="10" a="1"/>
  <c r="R821" i="10" s="1"/>
  <c r="T822" i="10" a="1"/>
  <c r="T822" i="10" s="1"/>
  <c r="R822" i="10" a="1"/>
  <c r="R822" i="10" s="1"/>
  <c r="Q822" i="10" a="1"/>
  <c r="Q822" i="10" s="1"/>
  <c r="V822" i="10" a="1"/>
  <c r="V822" i="10" s="1"/>
  <c r="U822" i="10"/>
  <c r="O822" i="10" a="1"/>
  <c r="O822" i="10" s="1"/>
  <c r="S822" i="10" a="1"/>
  <c r="S822" i="10" s="1"/>
  <c r="P822" i="10" a="1"/>
  <c r="P822" i="10" s="1"/>
  <c r="O823" i="10" a="1"/>
  <c r="O823" i="10" s="1"/>
  <c r="R823" i="10" a="1"/>
  <c r="R823" i="10" s="1"/>
  <c r="P823" i="10" a="1"/>
  <c r="P823" i="10" s="1"/>
  <c r="Q823" i="10" a="1"/>
  <c r="Q823" i="10" s="1"/>
  <c r="V823" i="10" a="1"/>
  <c r="V823" i="10" s="1"/>
  <c r="U823" i="10"/>
  <c r="S823" i="10" a="1"/>
  <c r="S823" i="10" s="1"/>
  <c r="T823" i="10" a="1"/>
  <c r="T823" i="10" s="1"/>
  <c r="U824" i="10"/>
  <c r="S824" i="10" a="1"/>
  <c r="S824" i="10" s="1"/>
  <c r="T824" i="10" a="1"/>
  <c r="T824" i="10" s="1"/>
  <c r="P824" i="10" a="1"/>
  <c r="P824" i="10" s="1"/>
  <c r="O824" i="10" a="1"/>
  <c r="O824" i="10" s="1"/>
  <c r="V824" i="10" a="1"/>
  <c r="V824" i="10" s="1"/>
  <c r="R824" i="10" a="1"/>
  <c r="R824" i="10" s="1"/>
  <c r="Q824" i="10" a="1"/>
  <c r="Q824" i="10" s="1"/>
  <c r="S825" i="10" a="1"/>
  <c r="S825" i="10" s="1"/>
  <c r="R825" i="10" a="1"/>
  <c r="R825" i="10" s="1"/>
  <c r="Q825" i="10" a="1"/>
  <c r="Q825" i="10" s="1"/>
  <c r="T825" i="10" a="1"/>
  <c r="T825" i="10" s="1"/>
  <c r="U825" i="10"/>
  <c r="P825" i="10" a="1"/>
  <c r="P825" i="10" s="1"/>
  <c r="O825" i="10" a="1"/>
  <c r="O825" i="10" s="1"/>
  <c r="V825" i="10" a="1"/>
  <c r="V825" i="10" s="1"/>
  <c r="O826" i="10" a="1"/>
  <c r="O826" i="10" s="1"/>
  <c r="Q826" i="10" a="1"/>
  <c r="Q826" i="10" s="1"/>
  <c r="R826" i="10" a="1"/>
  <c r="R826" i="10" s="1"/>
  <c r="S826" i="10" a="1"/>
  <c r="S826" i="10" s="1"/>
  <c r="V826" i="10" a="1"/>
  <c r="V826" i="10" s="1"/>
  <c r="P826" i="10" a="1"/>
  <c r="P826" i="10" s="1"/>
  <c r="U826" i="10"/>
  <c r="T826" i="10" a="1"/>
  <c r="T826" i="10" s="1"/>
  <c r="U827" i="10"/>
  <c r="S827" i="10" a="1"/>
  <c r="S827" i="10" s="1"/>
  <c r="P827" i="10" a="1"/>
  <c r="P827" i="10" s="1"/>
  <c r="Q827" i="10" a="1"/>
  <c r="Q827" i="10" s="1"/>
  <c r="T827" i="10" a="1"/>
  <c r="T827" i="10" s="1"/>
  <c r="V827" i="10" a="1"/>
  <c r="V827" i="10" s="1"/>
  <c r="R827" i="10" a="1"/>
  <c r="R827" i="10" s="1"/>
  <c r="O827" i="10" a="1"/>
  <c r="O827" i="10" s="1"/>
  <c r="O828" i="10" a="1"/>
  <c r="O828" i="10" s="1"/>
  <c r="P828" i="10" a="1"/>
  <c r="P828" i="10" s="1"/>
  <c r="S828" i="10" a="1"/>
  <c r="S828" i="10" s="1"/>
  <c r="V828" i="10" a="1"/>
  <c r="V828" i="10" s="1"/>
  <c r="R828" i="10" a="1"/>
  <c r="R828" i="10" s="1"/>
  <c r="T828" i="10" a="1"/>
  <c r="T828" i="10" s="1"/>
  <c r="Q828" i="10" a="1"/>
  <c r="Q828" i="10" s="1"/>
  <c r="U828" i="10"/>
  <c r="V829" i="10" a="1"/>
  <c r="V829" i="10" s="1"/>
  <c r="R829" i="10" a="1"/>
  <c r="R829" i="10" s="1"/>
  <c r="T829" i="10" a="1"/>
  <c r="T829" i="10" s="1"/>
  <c r="U829" i="10"/>
  <c r="O829" i="10" a="1"/>
  <c r="O829" i="10" s="1"/>
  <c r="S829" i="10" a="1"/>
  <c r="S829" i="10" s="1"/>
  <c r="Q829" i="10" a="1"/>
  <c r="Q829" i="10" s="1"/>
  <c r="P829" i="10" a="1"/>
  <c r="P829" i="10" s="1"/>
  <c r="O830" i="10" a="1"/>
  <c r="O830" i="10" s="1"/>
  <c r="Q830" i="10" a="1"/>
  <c r="Q830" i="10" s="1"/>
  <c r="R830" i="10" a="1"/>
  <c r="R830" i="10" s="1"/>
  <c r="S830" i="10" a="1"/>
  <c r="S830" i="10" s="1"/>
  <c r="U830" i="10"/>
  <c r="T830" i="10" a="1"/>
  <c r="T830" i="10" s="1"/>
  <c r="P830" i="10" a="1"/>
  <c r="P830" i="10" s="1"/>
  <c r="V830" i="10" a="1"/>
  <c r="V830" i="10" s="1"/>
  <c r="R831" i="10" a="1"/>
  <c r="R831" i="10" s="1"/>
  <c r="U831" i="10"/>
  <c r="O831" i="10" a="1"/>
  <c r="O831" i="10" s="1"/>
  <c r="S831" i="10" a="1"/>
  <c r="S831" i="10" s="1"/>
  <c r="P831" i="10" a="1"/>
  <c r="P831" i="10" s="1"/>
  <c r="T831" i="10" a="1"/>
  <c r="T831" i="10" s="1"/>
  <c r="Q831" i="10" a="1"/>
  <c r="Q831" i="10" s="1"/>
  <c r="V831" i="10" a="1"/>
  <c r="V831" i="10" s="1"/>
  <c r="Q832" i="10" a="1"/>
  <c r="Q832" i="10" s="1"/>
  <c r="U832" i="10"/>
  <c r="P832" i="10" a="1"/>
  <c r="P832" i="10" s="1"/>
  <c r="V832" i="10" a="1"/>
  <c r="V832" i="10" s="1"/>
  <c r="S832" i="10" a="1"/>
  <c r="S832" i="10" s="1"/>
  <c r="T832" i="10" a="1"/>
  <c r="T832" i="10" s="1"/>
  <c r="O832" i="10" a="1"/>
  <c r="O832" i="10" s="1"/>
  <c r="R832" i="10" a="1"/>
  <c r="R832" i="10" s="1"/>
  <c r="T833" i="10" a="1"/>
  <c r="T833" i="10" s="1"/>
  <c r="R833" i="10" a="1"/>
  <c r="R833" i="10" s="1"/>
  <c r="S833" i="10" a="1"/>
  <c r="S833" i="10" s="1"/>
  <c r="O833" i="10" a="1"/>
  <c r="O833" i="10" s="1"/>
  <c r="Q833" i="10" a="1"/>
  <c r="Q833" i="10" s="1"/>
  <c r="U833" i="10"/>
  <c r="V833" i="10" a="1"/>
  <c r="V833" i="10" s="1"/>
  <c r="P833" i="10" a="1"/>
  <c r="P833" i="10" s="1"/>
  <c r="T834" i="10" a="1"/>
  <c r="T834" i="10" s="1"/>
  <c r="U834" i="10"/>
  <c r="S834" i="10" a="1"/>
  <c r="S834" i="10" s="1"/>
  <c r="V834" i="10" a="1"/>
  <c r="V834" i="10" s="1"/>
  <c r="Q834" i="10" a="1"/>
  <c r="Q834" i="10" s="1"/>
  <c r="O834" i="10" a="1"/>
  <c r="O834" i="10" s="1"/>
  <c r="P834" i="10" a="1"/>
  <c r="P834" i="10" s="1"/>
  <c r="R834" i="10" a="1"/>
  <c r="R834" i="10" s="1"/>
  <c r="P835" i="10" a="1"/>
  <c r="P835" i="10" s="1"/>
  <c r="V835" i="10" a="1"/>
  <c r="V835" i="10" s="1"/>
  <c r="U835" i="10"/>
  <c r="S835" i="10" a="1"/>
  <c r="S835" i="10" s="1"/>
  <c r="O835" i="10" a="1"/>
  <c r="O835" i="10" s="1"/>
  <c r="R835" i="10" a="1"/>
  <c r="R835" i="10" s="1"/>
  <c r="T835" i="10" a="1"/>
  <c r="T835" i="10" s="1"/>
  <c r="Q835" i="10" a="1"/>
  <c r="Q835" i="10" s="1"/>
  <c r="P836" i="10" a="1"/>
  <c r="P836" i="10" s="1"/>
  <c r="S836" i="10" a="1"/>
  <c r="S836" i="10" s="1"/>
  <c r="T836" i="10" a="1"/>
  <c r="T836" i="10" s="1"/>
  <c r="R836" i="10" a="1"/>
  <c r="R836" i="10" s="1"/>
  <c r="Q836" i="10" a="1"/>
  <c r="Q836" i="10" s="1"/>
  <c r="U836" i="10"/>
  <c r="V836" i="10" a="1"/>
  <c r="V836" i="10" s="1"/>
  <c r="O836" i="10" a="1"/>
  <c r="O836" i="10" s="1"/>
  <c r="R837" i="10" a="1"/>
  <c r="R837" i="10" s="1"/>
  <c r="U837" i="10"/>
  <c r="P837" i="10" a="1"/>
  <c r="P837" i="10" s="1"/>
  <c r="Q837" i="10" a="1"/>
  <c r="Q837" i="10" s="1"/>
  <c r="S837" i="10" a="1"/>
  <c r="S837" i="10" s="1"/>
  <c r="T837" i="10" a="1"/>
  <c r="T837" i="10" s="1"/>
  <c r="O837" i="10" a="1"/>
  <c r="O837" i="10" s="1"/>
  <c r="V837" i="10" a="1"/>
  <c r="V837" i="10" s="1"/>
  <c r="S838" i="10" a="1"/>
  <c r="S838" i="10" s="1"/>
  <c r="V838" i="10" a="1"/>
  <c r="V838" i="10" s="1"/>
  <c r="T838" i="10" a="1"/>
  <c r="T838" i="10" s="1"/>
  <c r="P838" i="10" a="1"/>
  <c r="P838" i="10" s="1"/>
  <c r="R838" i="10" a="1"/>
  <c r="R838" i="10" s="1"/>
  <c r="Q838" i="10" a="1"/>
  <c r="Q838" i="10" s="1"/>
  <c r="U838" i="10"/>
  <c r="O838" i="10" a="1"/>
  <c r="O838" i="10" s="1"/>
  <c r="T839" i="10" a="1"/>
  <c r="T839" i="10" s="1"/>
  <c r="R839" i="10" a="1"/>
  <c r="R839" i="10" s="1"/>
  <c r="P839" i="10" a="1"/>
  <c r="P839" i="10" s="1"/>
  <c r="O839" i="10" a="1"/>
  <c r="O839" i="10" s="1"/>
  <c r="U839" i="10"/>
  <c r="V839" i="10" a="1"/>
  <c r="V839" i="10" s="1"/>
  <c r="S839" i="10" a="1"/>
  <c r="S839" i="10" s="1"/>
  <c r="Q839" i="10" a="1"/>
  <c r="Q839" i="10" s="1"/>
  <c r="U840" i="10"/>
  <c r="S840" i="10" a="1"/>
  <c r="S840" i="10" s="1"/>
  <c r="P840" i="10" a="1"/>
  <c r="P840" i="10" s="1"/>
  <c r="Q840" i="10" a="1"/>
  <c r="Q840" i="10" s="1"/>
  <c r="O840" i="10" a="1"/>
  <c r="O840" i="10" s="1"/>
  <c r="R840" i="10" a="1"/>
  <c r="R840" i="10" s="1"/>
  <c r="T840" i="10" a="1"/>
  <c r="T840" i="10" s="1"/>
  <c r="V840" i="10" a="1"/>
  <c r="V840" i="10" s="1"/>
  <c r="S841" i="10" a="1"/>
  <c r="S841" i="10" s="1"/>
  <c r="O841" i="10" a="1"/>
  <c r="O841" i="10" s="1"/>
  <c r="Q841" i="10" a="1"/>
  <c r="Q841" i="10" s="1"/>
  <c r="R841" i="10" a="1"/>
  <c r="R841" i="10" s="1"/>
  <c r="P841" i="10" a="1"/>
  <c r="P841" i="10" s="1"/>
  <c r="U841" i="10"/>
  <c r="T841" i="10" a="1"/>
  <c r="T841" i="10" s="1"/>
  <c r="V841" i="10" a="1"/>
  <c r="V841" i="10" s="1"/>
  <c r="T842" i="10" a="1"/>
  <c r="T842" i="10" s="1"/>
  <c r="P842" i="10" a="1"/>
  <c r="P842" i="10" s="1"/>
  <c r="S842" i="10" a="1"/>
  <c r="S842" i="10" s="1"/>
  <c r="V842" i="10" a="1"/>
  <c r="V842" i="10" s="1"/>
  <c r="R842" i="10" a="1"/>
  <c r="R842" i="10" s="1"/>
  <c r="U842" i="10"/>
  <c r="Q842" i="10" a="1"/>
  <c r="Q842" i="10" s="1"/>
  <c r="O842" i="10" a="1"/>
  <c r="O842" i="10" s="1"/>
  <c r="V843" i="10" a="1"/>
  <c r="V843" i="10" s="1"/>
  <c r="O843" i="10" a="1"/>
  <c r="O843" i="10" s="1"/>
  <c r="T843" i="10" a="1"/>
  <c r="T843" i="10" s="1"/>
  <c r="R843" i="10" a="1"/>
  <c r="R843" i="10" s="1"/>
  <c r="P843" i="10" a="1"/>
  <c r="P843" i="10" s="1"/>
  <c r="S843" i="10" a="1"/>
  <c r="S843" i="10" s="1"/>
  <c r="Q843" i="10" a="1"/>
  <c r="Q843" i="10" s="1"/>
  <c r="U843" i="10"/>
  <c r="S844" i="10" a="1"/>
  <c r="S844" i="10" s="1"/>
  <c r="U844" i="10"/>
  <c r="Q844" i="10" a="1"/>
  <c r="Q844" i="10" s="1"/>
  <c r="V844" i="10" a="1"/>
  <c r="V844" i="10" s="1"/>
  <c r="T844" i="10" a="1"/>
  <c r="T844" i="10" s="1"/>
  <c r="R844" i="10" a="1"/>
  <c r="R844" i="10" s="1"/>
  <c r="P844" i="10" a="1"/>
  <c r="P844" i="10" s="1"/>
  <c r="O844" i="10" a="1"/>
  <c r="O844" i="10" s="1"/>
  <c r="S845" i="10" a="1"/>
  <c r="S845" i="10" s="1"/>
  <c r="O845" i="10" a="1"/>
  <c r="O845" i="10" s="1"/>
  <c r="R845" i="10" a="1"/>
  <c r="R845" i="10" s="1"/>
  <c r="V845" i="10" a="1"/>
  <c r="V845" i="10" s="1"/>
  <c r="U845" i="10"/>
  <c r="P845" i="10" a="1"/>
  <c r="P845" i="10" s="1"/>
  <c r="Q845" i="10" a="1"/>
  <c r="Q845" i="10" s="1"/>
  <c r="T845" i="10" a="1"/>
  <c r="T845" i="10" s="1"/>
  <c r="O846" i="10" a="1"/>
  <c r="O846" i="10" s="1"/>
  <c r="Q846" i="10" a="1"/>
  <c r="Q846" i="10" s="1"/>
  <c r="V846" i="10" a="1"/>
  <c r="V846" i="10" s="1"/>
  <c r="T846" i="10" a="1"/>
  <c r="T846" i="10" s="1"/>
  <c r="R846" i="10" a="1"/>
  <c r="R846" i="10" s="1"/>
  <c r="U846" i="10"/>
  <c r="S846" i="10" a="1"/>
  <c r="S846" i="10" s="1"/>
  <c r="P846" i="10" a="1"/>
  <c r="P846" i="10" s="1"/>
  <c r="T847" i="10" a="1"/>
  <c r="T847" i="10" s="1"/>
  <c r="U847" i="10"/>
  <c r="R847" i="10" a="1"/>
  <c r="R847" i="10" s="1"/>
  <c r="V847" i="10" a="1"/>
  <c r="V847" i="10" s="1"/>
  <c r="O847" i="10" a="1"/>
  <c r="O847" i="10" s="1"/>
  <c r="Q847" i="10" a="1"/>
  <c r="Q847" i="10" s="1"/>
  <c r="P847" i="10" a="1"/>
  <c r="P847" i="10" s="1"/>
  <c r="S847" i="10" a="1"/>
  <c r="S847" i="10" s="1"/>
  <c r="R848" i="10" a="1"/>
  <c r="R848" i="10" s="1"/>
  <c r="S848" i="10" a="1"/>
  <c r="S848" i="10" s="1"/>
  <c r="T848" i="10" a="1"/>
  <c r="T848" i="10" s="1"/>
  <c r="Q848" i="10" a="1"/>
  <c r="Q848" i="10" s="1"/>
  <c r="V848" i="10" a="1"/>
  <c r="V848" i="10" s="1"/>
  <c r="P848" i="10" a="1"/>
  <c r="P848" i="10" s="1"/>
  <c r="U848" i="10"/>
  <c r="O848" i="10" a="1"/>
  <c r="O848" i="10" s="1"/>
  <c r="R849" i="10" a="1"/>
  <c r="R849" i="10" s="1"/>
  <c r="T849" i="10" a="1"/>
  <c r="T849" i="10" s="1"/>
  <c r="Q849" i="10" a="1"/>
  <c r="Q849" i="10" s="1"/>
  <c r="O849" i="10" a="1"/>
  <c r="O849" i="10" s="1"/>
  <c r="P849" i="10" a="1"/>
  <c r="P849" i="10" s="1"/>
  <c r="V849" i="10" a="1"/>
  <c r="V849" i="10" s="1"/>
  <c r="U849" i="10"/>
  <c r="S849" i="10" a="1"/>
  <c r="S849" i="10" s="1"/>
  <c r="U850" i="10"/>
  <c r="T850" i="10" a="1"/>
  <c r="T850" i="10" s="1"/>
  <c r="O850" i="10" a="1"/>
  <c r="O850" i="10" s="1"/>
  <c r="Q850" i="10" a="1"/>
  <c r="Q850" i="10" s="1"/>
  <c r="R850" i="10" a="1"/>
  <c r="R850" i="10" s="1"/>
  <c r="S850" i="10" a="1"/>
  <c r="S850" i="10" s="1"/>
  <c r="V850" i="10" a="1"/>
  <c r="V850" i="10" s="1"/>
  <c r="P850" i="10" a="1"/>
  <c r="P850" i="10" s="1"/>
  <c r="P851" i="10" a="1"/>
  <c r="P851" i="10" s="1"/>
  <c r="V851" i="10" a="1"/>
  <c r="V851" i="10" s="1"/>
  <c r="R851" i="10" a="1"/>
  <c r="R851" i="10" s="1"/>
  <c r="S851" i="10" a="1"/>
  <c r="S851" i="10" s="1"/>
  <c r="U851" i="10"/>
  <c r="T851" i="10" a="1"/>
  <c r="T851" i="10" s="1"/>
  <c r="O851" i="10" a="1"/>
  <c r="O851" i="10" s="1"/>
  <c r="Q851" i="10" a="1"/>
  <c r="Q851" i="10" s="1"/>
  <c r="Q852" i="10" a="1"/>
  <c r="Q852" i="10" s="1"/>
  <c r="U852" i="10"/>
  <c r="R852" i="10" a="1"/>
  <c r="R852" i="10" s="1"/>
  <c r="P852" i="10" a="1"/>
  <c r="P852" i="10" s="1"/>
  <c r="V852" i="10" a="1"/>
  <c r="V852" i="10" s="1"/>
  <c r="T852" i="10" a="1"/>
  <c r="T852" i="10" s="1"/>
  <c r="S852" i="10" a="1"/>
  <c r="S852" i="10" s="1"/>
  <c r="O852" i="10" a="1"/>
  <c r="O852" i="10" s="1"/>
  <c r="T853" i="10" a="1"/>
  <c r="T853" i="10" s="1"/>
  <c r="R853" i="10" a="1"/>
  <c r="R853" i="10" s="1"/>
  <c r="Q853" i="10" a="1"/>
  <c r="Q853" i="10" s="1"/>
  <c r="S853" i="10" a="1"/>
  <c r="S853" i="10" s="1"/>
  <c r="U853" i="10"/>
  <c r="V853" i="10" a="1"/>
  <c r="V853" i="10" s="1"/>
  <c r="O853" i="10" a="1"/>
  <c r="O853" i="10" s="1"/>
  <c r="P853" i="10" a="1"/>
  <c r="P853" i="10" s="1"/>
  <c r="Q854" i="10" a="1"/>
  <c r="Q854" i="10" s="1"/>
  <c r="O854" i="10" a="1"/>
  <c r="O854" i="10" s="1"/>
  <c r="R854" i="10" a="1"/>
  <c r="R854" i="10" s="1"/>
  <c r="T854" i="10" a="1"/>
  <c r="T854" i="10" s="1"/>
  <c r="S854" i="10" a="1"/>
  <c r="S854" i="10" s="1"/>
  <c r="P854" i="10" a="1"/>
  <c r="P854" i="10" s="1"/>
  <c r="V854" i="10" a="1"/>
  <c r="V854" i="10" s="1"/>
  <c r="U854" i="10"/>
  <c r="R855" i="10" a="1"/>
  <c r="R855" i="10" s="1"/>
  <c r="Q855" i="10" a="1"/>
  <c r="Q855" i="10" s="1"/>
  <c r="S855" i="10" a="1"/>
  <c r="S855" i="10" s="1"/>
  <c r="U855" i="10"/>
  <c r="P855" i="10" a="1"/>
  <c r="P855" i="10" s="1"/>
  <c r="T855" i="10" a="1"/>
  <c r="T855" i="10" s="1"/>
  <c r="O855" i="10" a="1"/>
  <c r="O855" i="10" s="1"/>
  <c r="V855" i="10" a="1"/>
  <c r="V855" i="10" s="1"/>
  <c r="V856" i="10" a="1"/>
  <c r="V856" i="10" s="1"/>
  <c r="T856" i="10" a="1"/>
  <c r="T856" i="10" s="1"/>
  <c r="U856" i="10"/>
  <c r="Q856" i="10" a="1"/>
  <c r="Q856" i="10" s="1"/>
  <c r="O856" i="10" a="1"/>
  <c r="O856" i="10" s="1"/>
  <c r="P856" i="10" a="1"/>
  <c r="P856" i="10" s="1"/>
  <c r="R856" i="10" a="1"/>
  <c r="R856" i="10" s="1"/>
  <c r="S856" i="10" a="1"/>
  <c r="S856" i="10" s="1"/>
  <c r="P857" i="10" a="1"/>
  <c r="P857" i="10" s="1"/>
  <c r="T857" i="10" a="1"/>
  <c r="T857" i="10" s="1"/>
  <c r="U857" i="10"/>
  <c r="Q857" i="10" a="1"/>
  <c r="Q857" i="10" s="1"/>
  <c r="S857" i="10" a="1"/>
  <c r="S857" i="10" s="1"/>
  <c r="R857" i="10" a="1"/>
  <c r="R857" i="10" s="1"/>
  <c r="V857" i="10" a="1"/>
  <c r="V857" i="10" s="1"/>
  <c r="O857" i="10" a="1"/>
  <c r="O857" i="10" s="1"/>
  <c r="R858" i="10" a="1"/>
  <c r="R858" i="10" s="1"/>
  <c r="V858" i="10" a="1"/>
  <c r="V858" i="10" s="1"/>
  <c r="S858" i="10" a="1"/>
  <c r="S858" i="10" s="1"/>
  <c r="T858" i="10" a="1"/>
  <c r="T858" i="10" s="1"/>
  <c r="O858" i="10" a="1"/>
  <c r="O858" i="10" s="1"/>
  <c r="P858" i="10" a="1"/>
  <c r="P858" i="10" s="1"/>
  <c r="U858" i="10"/>
  <c r="Q858" i="10" a="1"/>
  <c r="Q858" i="10" s="1"/>
  <c r="S859" i="10" a="1"/>
  <c r="S859" i="10" s="1"/>
  <c r="R859" i="10" a="1"/>
  <c r="R859" i="10" s="1"/>
  <c r="O859" i="10" a="1"/>
  <c r="O859" i="10" s="1"/>
  <c r="Q859" i="10" a="1"/>
  <c r="Q859" i="10" s="1"/>
  <c r="P859" i="10" a="1"/>
  <c r="P859" i="10" s="1"/>
  <c r="T859" i="10" a="1"/>
  <c r="T859" i="10" s="1"/>
  <c r="V859" i="10" a="1"/>
  <c r="V859" i="10" s="1"/>
  <c r="U859" i="10"/>
  <c r="V860" i="10" a="1"/>
  <c r="V860" i="10" s="1"/>
  <c r="P860" i="10" a="1"/>
  <c r="P860" i="10" s="1"/>
  <c r="T860" i="10" a="1"/>
  <c r="T860" i="10" s="1"/>
  <c r="R860" i="10" a="1"/>
  <c r="R860" i="10" s="1"/>
  <c r="O860" i="10" a="1"/>
  <c r="O860" i="10" s="1"/>
  <c r="Q860" i="10" a="1"/>
  <c r="Q860" i="10" s="1"/>
  <c r="U860" i="10"/>
  <c r="S860" i="10" a="1"/>
  <c r="S860" i="10" s="1"/>
  <c r="Q861" i="10" a="1"/>
  <c r="Q861" i="10" s="1"/>
  <c r="P861" i="10" a="1"/>
  <c r="P861" i="10" s="1"/>
  <c r="R861" i="10" a="1"/>
  <c r="R861" i="10" s="1"/>
  <c r="O861" i="10" a="1"/>
  <c r="O861" i="10" s="1"/>
  <c r="T861" i="10" a="1"/>
  <c r="T861" i="10" s="1"/>
  <c r="V861" i="10" a="1"/>
  <c r="V861" i="10" s="1"/>
  <c r="S861" i="10" a="1"/>
  <c r="S861" i="10" s="1"/>
  <c r="U861" i="10"/>
  <c r="S862" i="10" a="1"/>
  <c r="S862" i="10" s="1"/>
  <c r="R862" i="10" a="1"/>
  <c r="R862" i="10" s="1"/>
  <c r="V862" i="10" a="1"/>
  <c r="V862" i="10" s="1"/>
  <c r="P862" i="10" a="1"/>
  <c r="P862" i="10" s="1"/>
  <c r="O862" i="10" a="1"/>
  <c r="O862" i="10" s="1"/>
  <c r="U862" i="10"/>
  <c r="Q862" i="10" a="1"/>
  <c r="Q862" i="10" s="1"/>
  <c r="T862" i="10" a="1"/>
  <c r="T862" i="10" s="1"/>
  <c r="P863" i="10" a="1"/>
  <c r="P863" i="10" s="1"/>
  <c r="O863" i="10" a="1"/>
  <c r="O863" i="10" s="1"/>
  <c r="V863" i="10" a="1"/>
  <c r="V863" i="10" s="1"/>
  <c r="R863" i="10" a="1"/>
  <c r="R863" i="10" s="1"/>
  <c r="T863" i="10" a="1"/>
  <c r="T863" i="10" s="1"/>
  <c r="Q863" i="10" a="1"/>
  <c r="Q863" i="10" s="1"/>
  <c r="S863" i="10" a="1"/>
  <c r="S863" i="10" s="1"/>
  <c r="U863" i="10"/>
  <c r="S864" i="10" a="1"/>
  <c r="S864" i="10" s="1"/>
  <c r="R864" i="10" a="1"/>
  <c r="R864" i="10" s="1"/>
  <c r="U864" i="10"/>
  <c r="Q864" i="10" a="1"/>
  <c r="Q864" i="10" s="1"/>
  <c r="T864" i="10" a="1"/>
  <c r="T864" i="10" s="1"/>
  <c r="V864" i="10" a="1"/>
  <c r="V864" i="10" s="1"/>
  <c r="O864" i="10" a="1"/>
  <c r="O864" i="10" s="1"/>
  <c r="P864" i="10" a="1"/>
  <c r="P864" i="10" s="1"/>
  <c r="P865" i="10" a="1"/>
  <c r="P865" i="10" s="1"/>
  <c r="U865" i="10"/>
  <c r="T865" i="10" a="1"/>
  <c r="T865" i="10" s="1"/>
  <c r="Q865" i="10" a="1"/>
  <c r="Q865" i="10" s="1"/>
  <c r="O865" i="10" a="1"/>
  <c r="O865" i="10" s="1"/>
  <c r="R865" i="10" a="1"/>
  <c r="R865" i="10" s="1"/>
  <c r="S865" i="10" a="1"/>
  <c r="S865" i="10" s="1"/>
  <c r="V865" i="10" a="1"/>
  <c r="V865" i="10" s="1"/>
  <c r="O866" i="10" a="1"/>
  <c r="O866" i="10" s="1"/>
  <c r="Q866" i="10" a="1"/>
  <c r="Q866" i="10" s="1"/>
  <c r="S866" i="10" a="1"/>
  <c r="S866" i="10" s="1"/>
  <c r="R866" i="10" a="1"/>
  <c r="R866" i="10" s="1"/>
  <c r="U866" i="10"/>
  <c r="P866" i="10" a="1"/>
  <c r="P866" i="10" s="1"/>
  <c r="V866" i="10" a="1"/>
  <c r="V866" i="10" s="1"/>
  <c r="T866" i="10" a="1"/>
  <c r="T866" i="10" s="1"/>
  <c r="Q867" i="10" a="1"/>
  <c r="Q867" i="10" s="1"/>
  <c r="O867" i="10" a="1"/>
  <c r="O867" i="10" s="1"/>
  <c r="P867" i="10" a="1"/>
  <c r="P867" i="10" s="1"/>
  <c r="U867" i="10"/>
  <c r="V867" i="10" a="1"/>
  <c r="V867" i="10" s="1"/>
  <c r="R867" i="10" a="1"/>
  <c r="R867" i="10" s="1"/>
  <c r="T867" i="10" a="1"/>
  <c r="T867" i="10" s="1"/>
  <c r="S867" i="10" a="1"/>
  <c r="S867" i="10" s="1"/>
  <c r="U868" i="10"/>
  <c r="O868" i="10" a="1"/>
  <c r="O868" i="10" s="1"/>
  <c r="Q868" i="10" a="1"/>
  <c r="Q868" i="10" s="1"/>
  <c r="P868" i="10" a="1"/>
  <c r="P868" i="10" s="1"/>
  <c r="R868" i="10" a="1"/>
  <c r="R868" i="10" s="1"/>
  <c r="T868" i="10" a="1"/>
  <c r="T868" i="10" s="1"/>
  <c r="V868" i="10" a="1"/>
  <c r="V868" i="10" s="1"/>
  <c r="S868" i="10" a="1"/>
  <c r="S868" i="10" s="1"/>
  <c r="P869" i="10" a="1"/>
  <c r="P869" i="10" s="1"/>
  <c r="T869" i="10" a="1"/>
  <c r="T869" i="10" s="1"/>
  <c r="V869" i="10" a="1"/>
  <c r="V869" i="10" s="1"/>
  <c r="O869" i="10" a="1"/>
  <c r="O869" i="10" s="1"/>
  <c r="S869" i="10" a="1"/>
  <c r="S869" i="10" s="1"/>
  <c r="U869" i="10"/>
  <c r="Q869" i="10" a="1"/>
  <c r="Q869" i="10" s="1"/>
  <c r="R869" i="10" a="1"/>
  <c r="R869" i="10" s="1"/>
  <c r="T870" i="10" a="1"/>
  <c r="T870" i="10" s="1"/>
  <c r="P870" i="10" a="1"/>
  <c r="P870" i="10" s="1"/>
  <c r="O870" i="10" a="1"/>
  <c r="O870" i="10" s="1"/>
  <c r="S870" i="10" a="1"/>
  <c r="S870" i="10" s="1"/>
  <c r="U870" i="10"/>
  <c r="Q870" i="10" a="1"/>
  <c r="Q870" i="10" s="1"/>
  <c r="R870" i="10" a="1"/>
  <c r="R870" i="10" s="1"/>
  <c r="V870" i="10" a="1"/>
  <c r="V870" i="10" s="1"/>
  <c r="V871" i="10" a="1"/>
  <c r="V871" i="10" s="1"/>
  <c r="Q871" i="10" a="1"/>
  <c r="Q871" i="10" s="1"/>
  <c r="U871" i="10"/>
  <c r="R871" i="10" a="1"/>
  <c r="R871" i="10" s="1"/>
  <c r="P871" i="10" a="1"/>
  <c r="P871" i="10" s="1"/>
  <c r="O871" i="10" a="1"/>
  <c r="O871" i="10" s="1"/>
  <c r="S871" i="10" a="1"/>
  <c r="S871" i="10" s="1"/>
  <c r="T871" i="10" a="1"/>
  <c r="T871" i="10" s="1"/>
  <c r="S872" i="10" a="1"/>
  <c r="S872" i="10" s="1"/>
  <c r="R872" i="10" a="1"/>
  <c r="R872" i="10" s="1"/>
  <c r="Q872" i="10" a="1"/>
  <c r="Q872" i="10" s="1"/>
  <c r="U872" i="10"/>
  <c r="O872" i="10" a="1"/>
  <c r="O872" i="10" s="1"/>
  <c r="V872" i="10" a="1"/>
  <c r="V872" i="10" s="1"/>
  <c r="T872" i="10" a="1"/>
  <c r="T872" i="10" s="1"/>
  <c r="P872" i="10" a="1"/>
  <c r="P872" i="10" s="1"/>
  <c r="T873" i="10" a="1"/>
  <c r="T873" i="10" s="1"/>
  <c r="U873" i="10"/>
  <c r="O873" i="10" a="1"/>
  <c r="O873" i="10" s="1"/>
  <c r="R873" i="10" a="1"/>
  <c r="R873" i="10" s="1"/>
  <c r="Q873" i="10" a="1"/>
  <c r="Q873" i="10" s="1"/>
  <c r="P873" i="10" a="1"/>
  <c r="P873" i="10" s="1"/>
  <c r="S873" i="10" a="1"/>
  <c r="S873" i="10" s="1"/>
  <c r="V873" i="10" a="1"/>
  <c r="V873" i="10" s="1"/>
  <c r="Q874" i="10" a="1"/>
  <c r="Q874" i="10" s="1"/>
  <c r="O874" i="10" a="1"/>
  <c r="O874" i="10" s="1"/>
  <c r="S874" i="10" a="1"/>
  <c r="S874" i="10" s="1"/>
  <c r="T874" i="10" a="1"/>
  <c r="T874" i="10" s="1"/>
  <c r="R874" i="10" a="1"/>
  <c r="R874" i="10" s="1"/>
  <c r="V874" i="10" a="1"/>
  <c r="V874" i="10" s="1"/>
  <c r="P874" i="10" a="1"/>
  <c r="P874" i="10" s="1"/>
  <c r="U874" i="10"/>
  <c r="P875" i="10" a="1"/>
  <c r="P875" i="10" s="1"/>
  <c r="O875" i="10" a="1"/>
  <c r="O875" i="10" s="1"/>
  <c r="T875" i="10" a="1"/>
  <c r="T875" i="10" s="1"/>
  <c r="Q875" i="10" a="1"/>
  <c r="Q875" i="10" s="1"/>
  <c r="R875" i="10" a="1"/>
  <c r="R875" i="10" s="1"/>
  <c r="V875" i="10" a="1"/>
  <c r="V875" i="10" s="1"/>
  <c r="U875" i="10"/>
  <c r="S875" i="10" a="1"/>
  <c r="S875" i="10" s="1"/>
  <c r="V876" i="10" a="1"/>
  <c r="V876" i="10" s="1"/>
  <c r="S876" i="10" a="1"/>
  <c r="S876" i="10" s="1"/>
  <c r="O876" i="10" a="1"/>
  <c r="O876" i="10" s="1"/>
  <c r="U876" i="10"/>
  <c r="Q876" i="10" a="1"/>
  <c r="Q876" i="10" s="1"/>
  <c r="R876" i="10" a="1"/>
  <c r="R876" i="10" s="1"/>
  <c r="P876" i="10" a="1"/>
  <c r="P876" i="10" s="1"/>
  <c r="T876" i="10" a="1"/>
  <c r="T876" i="10" s="1"/>
  <c r="O877" i="10" a="1"/>
  <c r="O877" i="10" s="1"/>
  <c r="U877" i="10"/>
  <c r="T877" i="10" a="1"/>
  <c r="T877" i="10" s="1"/>
  <c r="Q877" i="10" a="1"/>
  <c r="Q877" i="10" s="1"/>
  <c r="V877" i="10" a="1"/>
  <c r="V877" i="10" s="1"/>
  <c r="P877" i="10" a="1"/>
  <c r="P877" i="10" s="1"/>
  <c r="S877" i="10" a="1"/>
  <c r="S877" i="10" s="1"/>
  <c r="R877" i="10" a="1"/>
  <c r="R877" i="10" s="1"/>
  <c r="Q878" i="10" a="1"/>
  <c r="Q878" i="10" s="1"/>
  <c r="P878" i="10" a="1"/>
  <c r="P878" i="10" s="1"/>
  <c r="V878" i="10" a="1"/>
  <c r="V878" i="10" s="1"/>
  <c r="S878" i="10" a="1"/>
  <c r="S878" i="10" s="1"/>
  <c r="U878" i="10"/>
  <c r="R878" i="10" a="1"/>
  <c r="R878" i="10" s="1"/>
  <c r="O878" i="10" a="1"/>
  <c r="O878" i="10" s="1"/>
  <c r="T878" i="10" a="1"/>
  <c r="T878" i="10" s="1"/>
  <c r="P879" i="10" a="1"/>
  <c r="P879" i="10" s="1"/>
  <c r="V879" i="10" a="1"/>
  <c r="V879" i="10" s="1"/>
  <c r="R879" i="10" a="1"/>
  <c r="R879" i="10" s="1"/>
  <c r="S879" i="10" a="1"/>
  <c r="S879" i="10" s="1"/>
  <c r="O879" i="10" a="1"/>
  <c r="O879" i="10" s="1"/>
  <c r="Q879" i="10" a="1"/>
  <c r="Q879" i="10" s="1"/>
  <c r="T879" i="10" a="1"/>
  <c r="T879" i="10" s="1"/>
  <c r="U879" i="10"/>
  <c r="R880" i="10" a="1"/>
  <c r="R880" i="10" s="1"/>
  <c r="Q880" i="10" a="1"/>
  <c r="Q880" i="10" s="1"/>
  <c r="T880" i="10" a="1"/>
  <c r="T880" i="10" s="1"/>
  <c r="P880" i="10" a="1"/>
  <c r="P880" i="10" s="1"/>
  <c r="U880" i="10"/>
  <c r="S880" i="10" a="1"/>
  <c r="S880" i="10" s="1"/>
  <c r="V880" i="10" a="1"/>
  <c r="V880" i="10" s="1"/>
  <c r="O880" i="10" a="1"/>
  <c r="O880" i="10" s="1"/>
  <c r="P881" i="10" a="1"/>
  <c r="P881" i="10" s="1"/>
  <c r="O881" i="10" a="1"/>
  <c r="O881" i="10" s="1"/>
  <c r="V881" i="10" a="1"/>
  <c r="V881" i="10" s="1"/>
  <c r="S881" i="10" a="1"/>
  <c r="S881" i="10" s="1"/>
  <c r="R881" i="10" a="1"/>
  <c r="R881" i="10" s="1"/>
  <c r="Q881" i="10" a="1"/>
  <c r="Q881" i="10" s="1"/>
  <c r="T881" i="10" a="1"/>
  <c r="T881" i="10" s="1"/>
  <c r="U881" i="10"/>
  <c r="U882" i="10"/>
  <c r="P882" i="10" a="1"/>
  <c r="P882" i="10" s="1"/>
  <c r="R882" i="10" a="1"/>
  <c r="R882" i="10" s="1"/>
  <c r="S882" i="10" a="1"/>
  <c r="S882" i="10" s="1"/>
  <c r="O882" i="10" a="1"/>
  <c r="O882" i="10" s="1"/>
  <c r="T882" i="10" a="1"/>
  <c r="T882" i="10" s="1"/>
  <c r="Q882" i="10" a="1"/>
  <c r="Q882" i="10" s="1"/>
  <c r="V882" i="10" a="1"/>
  <c r="V882" i="10" s="1"/>
  <c r="P883" i="10" a="1"/>
  <c r="P883" i="10" s="1"/>
  <c r="Q883" i="10" a="1"/>
  <c r="Q883" i="10" s="1"/>
  <c r="T883" i="10" a="1"/>
  <c r="T883" i="10" s="1"/>
  <c r="R883" i="10" a="1"/>
  <c r="R883" i="10" s="1"/>
  <c r="S883" i="10" a="1"/>
  <c r="S883" i="10" s="1"/>
  <c r="U883" i="10"/>
  <c r="V883" i="10" a="1"/>
  <c r="V883" i="10" s="1"/>
  <c r="O883" i="10" a="1"/>
  <c r="O883" i="10" s="1"/>
  <c r="S884" i="10" a="1"/>
  <c r="S884" i="10" s="1"/>
  <c r="V884" i="10" a="1"/>
  <c r="V884" i="10" s="1"/>
  <c r="U884" i="10"/>
  <c r="R884" i="10" a="1"/>
  <c r="R884" i="10" s="1"/>
  <c r="P884" i="10" a="1"/>
  <c r="P884" i="10" s="1"/>
  <c r="T884" i="10" a="1"/>
  <c r="T884" i="10" s="1"/>
  <c r="Q884" i="10" a="1"/>
  <c r="Q884" i="10" s="1"/>
  <c r="O884" i="10" a="1"/>
  <c r="O884" i="10" s="1"/>
  <c r="S885" i="10" a="1"/>
  <c r="S885" i="10" s="1"/>
  <c r="O885" i="10" a="1"/>
  <c r="O885" i="10" s="1"/>
  <c r="V885" i="10" a="1"/>
  <c r="V885" i="10" s="1"/>
  <c r="Q885" i="10" a="1"/>
  <c r="Q885" i="10" s="1"/>
  <c r="P885" i="10" a="1"/>
  <c r="P885" i="10" s="1"/>
  <c r="T885" i="10" a="1"/>
  <c r="T885" i="10" s="1"/>
  <c r="R885" i="10" a="1"/>
  <c r="R885" i="10" s="1"/>
  <c r="U885" i="10"/>
  <c r="U886" i="10"/>
  <c r="V886" i="10" a="1"/>
  <c r="V886" i="10" s="1"/>
  <c r="P886" i="10" a="1"/>
  <c r="P886" i="10" s="1"/>
  <c r="O886" i="10" a="1"/>
  <c r="O886" i="10" s="1"/>
  <c r="R886" i="10" a="1"/>
  <c r="R886" i="10" s="1"/>
  <c r="S886" i="10" a="1"/>
  <c r="S886" i="10" s="1"/>
  <c r="T886" i="10" a="1"/>
  <c r="T886" i="10" s="1"/>
  <c r="Q886" i="10" a="1"/>
  <c r="Q886" i="10" s="1"/>
  <c r="V887" i="10" a="1"/>
  <c r="V887" i="10" s="1"/>
  <c r="Q887" i="10" a="1"/>
  <c r="Q887" i="10" s="1"/>
  <c r="P887" i="10" a="1"/>
  <c r="P887" i="10" s="1"/>
  <c r="T887" i="10" a="1"/>
  <c r="T887" i="10" s="1"/>
  <c r="R887" i="10" a="1"/>
  <c r="R887" i="10" s="1"/>
  <c r="S887" i="10" a="1"/>
  <c r="S887" i="10" s="1"/>
  <c r="O887" i="10" a="1"/>
  <c r="O887" i="10" s="1"/>
  <c r="U887" i="10"/>
  <c r="S888" i="10" a="1"/>
  <c r="S888" i="10" s="1"/>
  <c r="Q888" i="10" a="1"/>
  <c r="Q888" i="10" s="1"/>
  <c r="R888" i="10" a="1"/>
  <c r="R888" i="10" s="1"/>
  <c r="U888" i="10"/>
  <c r="P888" i="10" a="1"/>
  <c r="P888" i="10" s="1"/>
  <c r="O888" i="10" a="1"/>
  <c r="O888" i="10" s="1"/>
  <c r="T888" i="10" a="1"/>
  <c r="T888" i="10" s="1"/>
  <c r="V888" i="10" a="1"/>
  <c r="V888" i="10" s="1"/>
  <c r="S889" i="10" a="1"/>
  <c r="S889" i="10" s="1"/>
  <c r="P889" i="10" a="1"/>
  <c r="P889" i="10" s="1"/>
  <c r="V889" i="10" a="1"/>
  <c r="V889" i="10" s="1"/>
  <c r="Q889" i="10" a="1"/>
  <c r="Q889" i="10" s="1"/>
  <c r="R889" i="10" a="1"/>
  <c r="R889" i="10" s="1"/>
  <c r="U889" i="10"/>
  <c r="T889" i="10" a="1"/>
  <c r="T889" i="10" s="1"/>
  <c r="O889" i="10" a="1"/>
  <c r="O889" i="10" s="1"/>
  <c r="Q890" i="10" a="1"/>
  <c r="Q890" i="10" s="1"/>
  <c r="V890" i="10" a="1"/>
  <c r="V890" i="10" s="1"/>
  <c r="U890" i="10"/>
  <c r="T890" i="10" a="1"/>
  <c r="T890" i="10" s="1"/>
  <c r="O890" i="10" a="1"/>
  <c r="O890" i="10" s="1"/>
  <c r="S890" i="10" a="1"/>
  <c r="S890" i="10" s="1"/>
  <c r="P890" i="10" a="1"/>
  <c r="P890" i="10" s="1"/>
  <c r="R890" i="10" a="1"/>
  <c r="R890" i="10" s="1"/>
  <c r="S891" i="10" a="1"/>
  <c r="S891" i="10" s="1"/>
  <c r="V891" i="10" a="1"/>
  <c r="V891" i="10" s="1"/>
  <c r="T891" i="10" a="1"/>
  <c r="T891" i="10" s="1"/>
  <c r="O891" i="10" a="1"/>
  <c r="O891" i="10" s="1"/>
  <c r="P891" i="10" a="1"/>
  <c r="P891" i="10" s="1"/>
  <c r="R891" i="10" a="1"/>
  <c r="R891" i="10" s="1"/>
  <c r="Q891" i="10" a="1"/>
  <c r="Q891" i="10" s="1"/>
  <c r="U891" i="10"/>
  <c r="R892" i="10" a="1"/>
  <c r="R892" i="10" s="1"/>
  <c r="O892" i="10" a="1"/>
  <c r="O892" i="10" s="1"/>
  <c r="S892" i="10" a="1"/>
  <c r="S892" i="10" s="1"/>
  <c r="T892" i="10" a="1"/>
  <c r="T892" i="10" s="1"/>
  <c r="V892" i="10" a="1"/>
  <c r="V892" i="10" s="1"/>
  <c r="P892" i="10" a="1"/>
  <c r="P892" i="10" s="1"/>
  <c r="Q892" i="10" a="1"/>
  <c r="Q892" i="10" s="1"/>
  <c r="U892" i="10"/>
  <c r="V893" i="10" a="1"/>
  <c r="V893" i="10" s="1"/>
  <c r="P893" i="10" a="1"/>
  <c r="P893" i="10" s="1"/>
  <c r="S893" i="10" a="1"/>
  <c r="S893" i="10" s="1"/>
  <c r="U893" i="10"/>
  <c r="Q893" i="10" a="1"/>
  <c r="Q893" i="10" s="1"/>
  <c r="T893" i="10" a="1"/>
  <c r="T893" i="10" s="1"/>
  <c r="R893" i="10" a="1"/>
  <c r="R893" i="10" s="1"/>
  <c r="O893" i="10" a="1"/>
  <c r="O893" i="10" s="1"/>
  <c r="O894" i="10" a="1"/>
  <c r="O894" i="10" s="1"/>
  <c r="P894" i="10" a="1"/>
  <c r="P894" i="10" s="1"/>
  <c r="S894" i="10" a="1"/>
  <c r="S894" i="10" s="1"/>
  <c r="R894" i="10" a="1"/>
  <c r="R894" i="10" s="1"/>
  <c r="V894" i="10" a="1"/>
  <c r="V894" i="10" s="1"/>
  <c r="T894" i="10" a="1"/>
  <c r="T894" i="10" s="1"/>
  <c r="Q894" i="10" a="1"/>
  <c r="Q894" i="10" s="1"/>
  <c r="U894" i="10"/>
  <c r="S895" i="10" a="1"/>
  <c r="S895" i="10" s="1"/>
  <c r="R895" i="10" a="1"/>
  <c r="R895" i="10" s="1"/>
  <c r="Q895" i="10" a="1"/>
  <c r="Q895" i="10" s="1"/>
  <c r="T895" i="10" a="1"/>
  <c r="T895" i="10" s="1"/>
  <c r="U895" i="10"/>
  <c r="O895" i="10" a="1"/>
  <c r="O895" i="10" s="1"/>
  <c r="P895" i="10" a="1"/>
  <c r="P895" i="10" s="1"/>
  <c r="V895" i="10" a="1"/>
  <c r="V895" i="10" s="1"/>
  <c r="U896" i="10"/>
  <c r="R896" i="10" a="1"/>
  <c r="R896" i="10" s="1"/>
  <c r="S896" i="10" a="1"/>
  <c r="S896" i="10" s="1"/>
  <c r="T896" i="10" a="1"/>
  <c r="T896" i="10" s="1"/>
  <c r="P896" i="10" a="1"/>
  <c r="P896" i="10" s="1"/>
  <c r="O896" i="10" a="1"/>
  <c r="O896" i="10" s="1"/>
  <c r="V896" i="10" a="1"/>
  <c r="V896" i="10" s="1"/>
  <c r="Q896" i="10" a="1"/>
  <c r="Q896" i="10" s="1"/>
  <c r="U897" i="10"/>
  <c r="V897" i="10" a="1"/>
  <c r="V897" i="10" s="1"/>
  <c r="R897" i="10" a="1"/>
  <c r="R897" i="10" s="1"/>
  <c r="S897" i="10" a="1"/>
  <c r="S897" i="10" s="1"/>
  <c r="P897" i="10" a="1"/>
  <c r="P897" i="10" s="1"/>
  <c r="Q897" i="10" a="1"/>
  <c r="Q897" i="10" s="1"/>
  <c r="O897" i="10" a="1"/>
  <c r="O897" i="10" s="1"/>
  <c r="T897" i="10" a="1"/>
  <c r="T897" i="10" s="1"/>
  <c r="R898" i="10" a="1"/>
  <c r="R898" i="10" s="1"/>
  <c r="T898" i="10" a="1"/>
  <c r="T898" i="10" s="1"/>
  <c r="O898" i="10" a="1"/>
  <c r="O898" i="10" s="1"/>
  <c r="P898" i="10" a="1"/>
  <c r="P898" i="10" s="1"/>
  <c r="Q898" i="10" a="1"/>
  <c r="Q898" i="10" s="1"/>
  <c r="V898" i="10" a="1"/>
  <c r="V898" i="10" s="1"/>
  <c r="S898" i="10" a="1"/>
  <c r="S898" i="10" s="1"/>
  <c r="U898" i="10"/>
  <c r="Q899" i="10" a="1"/>
  <c r="Q899" i="10" s="1"/>
  <c r="P899" i="10" a="1"/>
  <c r="P899" i="10" s="1"/>
  <c r="U899" i="10"/>
  <c r="S899" i="10" a="1"/>
  <c r="S899" i="10" s="1"/>
  <c r="O899" i="10" a="1"/>
  <c r="O899" i="10" s="1"/>
  <c r="V899" i="10" a="1"/>
  <c r="V899" i="10" s="1"/>
  <c r="T899" i="10" a="1"/>
  <c r="T899" i="10" s="1"/>
  <c r="R899" i="10" a="1"/>
  <c r="R899" i="10" s="1"/>
  <c r="R900" i="10" a="1"/>
  <c r="R900" i="10" s="1"/>
  <c r="S900" i="10" a="1"/>
  <c r="S900" i="10" s="1"/>
  <c r="P900" i="10" a="1"/>
  <c r="P900" i="10" s="1"/>
  <c r="V900" i="10" a="1"/>
  <c r="V900" i="10" s="1"/>
  <c r="U900" i="10"/>
  <c r="Q900" i="10" a="1"/>
  <c r="Q900" i="10" s="1"/>
  <c r="T900" i="10" a="1"/>
  <c r="T900" i="10" s="1"/>
  <c r="O900" i="10" a="1"/>
  <c r="O900" i="10" s="1"/>
  <c r="S901" i="10" a="1"/>
  <c r="S901" i="10" s="1"/>
  <c r="Q901" i="10" a="1"/>
  <c r="Q901" i="10" s="1"/>
  <c r="O901" i="10" a="1"/>
  <c r="O901" i="10" s="1"/>
  <c r="V901" i="10" a="1"/>
  <c r="V901" i="10" s="1"/>
  <c r="R901" i="10" a="1"/>
  <c r="R901" i="10" s="1"/>
  <c r="U901" i="10"/>
  <c r="P901" i="10" a="1"/>
  <c r="P901" i="10" s="1"/>
  <c r="T901" i="10" a="1"/>
  <c r="T901" i="10" s="1"/>
  <c r="V902" i="10" a="1"/>
  <c r="V902" i="10" s="1"/>
  <c r="O902" i="10" a="1"/>
  <c r="O902" i="10" s="1"/>
  <c r="U902" i="10"/>
  <c r="S902" i="10" a="1"/>
  <c r="S902" i="10" s="1"/>
  <c r="P902" i="10" a="1"/>
  <c r="P902" i="10" s="1"/>
  <c r="T902" i="10" a="1"/>
  <c r="T902" i="10" s="1"/>
  <c r="R902" i="10" a="1"/>
  <c r="R902" i="10" s="1"/>
  <c r="Q902" i="10" a="1"/>
  <c r="Q902" i="10" s="1"/>
  <c r="T903" i="10" a="1"/>
  <c r="T903" i="10" s="1"/>
  <c r="U903" i="10"/>
  <c r="S903" i="10" a="1"/>
  <c r="S903" i="10" s="1"/>
  <c r="P903" i="10" a="1"/>
  <c r="P903" i="10" s="1"/>
  <c r="Q903" i="10" a="1"/>
  <c r="Q903" i="10" s="1"/>
  <c r="R903" i="10" a="1"/>
  <c r="R903" i="10" s="1"/>
  <c r="O903" i="10" a="1"/>
  <c r="O903" i="10" s="1"/>
  <c r="V903" i="10" a="1"/>
  <c r="V903" i="10" s="1"/>
  <c r="S904" i="10" a="1"/>
  <c r="S904" i="10" s="1"/>
  <c r="T904" i="10" a="1"/>
  <c r="T904" i="10" s="1"/>
  <c r="Q904" i="10" a="1"/>
  <c r="Q904" i="10" s="1"/>
  <c r="V904" i="10" a="1"/>
  <c r="V904" i="10" s="1"/>
  <c r="R904" i="10" a="1"/>
  <c r="R904" i="10" s="1"/>
  <c r="U904" i="10"/>
  <c r="P904" i="10" a="1"/>
  <c r="P904" i="10" s="1"/>
  <c r="O904" i="10" a="1"/>
  <c r="O904" i="10" s="1"/>
  <c r="V905" i="10" a="1"/>
  <c r="V905" i="10" s="1"/>
  <c r="O905" i="10" a="1"/>
  <c r="O905" i="10" s="1"/>
  <c r="R905" i="10" a="1"/>
  <c r="R905" i="10" s="1"/>
  <c r="P905" i="10" a="1"/>
  <c r="P905" i="10" s="1"/>
  <c r="Q905" i="10" a="1"/>
  <c r="Q905" i="10" s="1"/>
  <c r="T905" i="10" a="1"/>
  <c r="T905" i="10" s="1"/>
  <c r="S905" i="10" a="1"/>
  <c r="S905" i="10" s="1"/>
  <c r="U905" i="10"/>
  <c r="U906" i="10"/>
  <c r="S906" i="10" a="1"/>
  <c r="S906" i="10" s="1"/>
  <c r="T906" i="10" a="1"/>
  <c r="T906" i="10" s="1"/>
  <c r="Q906" i="10" a="1"/>
  <c r="Q906" i="10" s="1"/>
  <c r="V906" i="10" a="1"/>
  <c r="V906" i="10" s="1"/>
  <c r="O906" i="10" a="1"/>
  <c r="O906" i="10" s="1"/>
  <c r="P906" i="10" a="1"/>
  <c r="P906" i="10" s="1"/>
  <c r="R906" i="10" a="1"/>
  <c r="R906" i="10" s="1"/>
  <c r="T907" i="10" a="1"/>
  <c r="T907" i="10" s="1"/>
  <c r="V907" i="10" a="1"/>
  <c r="V907" i="10" s="1"/>
  <c r="P907" i="10" a="1"/>
  <c r="P907" i="10" s="1"/>
  <c r="Q907" i="10" a="1"/>
  <c r="Q907" i="10" s="1"/>
  <c r="O907" i="10" a="1"/>
  <c r="O907" i="10" s="1"/>
  <c r="S907" i="10" a="1"/>
  <c r="S907" i="10" s="1"/>
  <c r="U907" i="10"/>
  <c r="R907" i="10" a="1"/>
  <c r="R907" i="10" s="1"/>
  <c r="V908" i="10" a="1"/>
  <c r="V908" i="10" s="1"/>
  <c r="R908" i="10" a="1"/>
  <c r="R908" i="10" s="1"/>
  <c r="Q908" i="10" a="1"/>
  <c r="Q908" i="10" s="1"/>
  <c r="S908" i="10" a="1"/>
  <c r="S908" i="10" s="1"/>
  <c r="T908" i="10" a="1"/>
  <c r="T908" i="10" s="1"/>
  <c r="O908" i="10" a="1"/>
  <c r="O908" i="10" s="1"/>
  <c r="P908" i="10" a="1"/>
  <c r="P908" i="10" s="1"/>
  <c r="U908" i="10"/>
  <c r="U909" i="10"/>
  <c r="T909" i="10" a="1"/>
  <c r="T909" i="10" s="1"/>
  <c r="Q909" i="10" a="1"/>
  <c r="Q909" i="10" s="1"/>
  <c r="P909" i="10" a="1"/>
  <c r="P909" i="10" s="1"/>
  <c r="S909" i="10" a="1"/>
  <c r="S909" i="10" s="1"/>
  <c r="V909" i="10" a="1"/>
  <c r="V909" i="10" s="1"/>
  <c r="R909" i="10" a="1"/>
  <c r="R909" i="10" s="1"/>
  <c r="O909" i="10" a="1"/>
  <c r="O909" i="10" s="1"/>
  <c r="Q910" i="10" a="1"/>
  <c r="Q910" i="10" s="1"/>
  <c r="V910" i="10" a="1"/>
  <c r="V910" i="10" s="1"/>
  <c r="O910" i="10" a="1"/>
  <c r="O910" i="10" s="1"/>
  <c r="R910" i="10" a="1"/>
  <c r="R910" i="10" s="1"/>
  <c r="U910" i="10"/>
  <c r="S910" i="10" a="1"/>
  <c r="S910" i="10" s="1"/>
  <c r="P910" i="10" a="1"/>
  <c r="P910" i="10" s="1"/>
  <c r="T910" i="10" a="1"/>
  <c r="T910" i="10" s="1"/>
  <c r="U911" i="10"/>
  <c r="P911" i="10" a="1"/>
  <c r="P911" i="10" s="1"/>
  <c r="V911" i="10" a="1"/>
  <c r="V911" i="10" s="1"/>
  <c r="S911" i="10" a="1"/>
  <c r="S911" i="10" s="1"/>
  <c r="R911" i="10" a="1"/>
  <c r="R911" i="10" s="1"/>
  <c r="T911" i="10" a="1"/>
  <c r="T911" i="10" s="1"/>
  <c r="O911" i="10" a="1"/>
  <c r="O911" i="10" s="1"/>
  <c r="Q911" i="10" a="1"/>
  <c r="Q911" i="10" s="1"/>
  <c r="U912" i="10"/>
  <c r="P912" i="10" a="1"/>
  <c r="P912" i="10" s="1"/>
  <c r="R912" i="10" a="1"/>
  <c r="R912" i="10" s="1"/>
  <c r="V912" i="10" a="1"/>
  <c r="V912" i="10" s="1"/>
  <c r="T912" i="10" a="1"/>
  <c r="T912" i="10" s="1"/>
  <c r="Q912" i="10" a="1"/>
  <c r="Q912" i="10" s="1"/>
  <c r="S912" i="10" a="1"/>
  <c r="S912" i="10" s="1"/>
  <c r="O912" i="10" a="1"/>
  <c r="O912" i="10" s="1"/>
  <c r="R913" i="10" a="1"/>
  <c r="R913" i="10" s="1"/>
  <c r="O913" i="10" a="1"/>
  <c r="O913" i="10" s="1"/>
  <c r="Q913" i="10" a="1"/>
  <c r="Q913" i="10" s="1"/>
  <c r="U913" i="10"/>
  <c r="T913" i="10" a="1"/>
  <c r="T913" i="10" s="1"/>
  <c r="P913" i="10" a="1"/>
  <c r="P913" i="10" s="1"/>
  <c r="V913" i="10" a="1"/>
  <c r="V913" i="10" s="1"/>
  <c r="S913" i="10" a="1"/>
  <c r="S913" i="10" s="1"/>
  <c r="Q914" i="10" a="1"/>
  <c r="Q914" i="10" s="1"/>
  <c r="P914" i="10" a="1"/>
  <c r="P914" i="10" s="1"/>
  <c r="T914" i="10" a="1"/>
  <c r="T914" i="10" s="1"/>
  <c r="V914" i="10" a="1"/>
  <c r="V914" i="10" s="1"/>
  <c r="U914" i="10"/>
  <c r="O914" i="10" a="1"/>
  <c r="O914" i="10" s="1"/>
  <c r="S914" i="10" a="1"/>
  <c r="S914" i="10" s="1"/>
  <c r="R914" i="10" a="1"/>
  <c r="R914" i="10" s="1"/>
  <c r="R915" i="10" a="1"/>
  <c r="R915" i="10" s="1"/>
  <c r="U915" i="10"/>
  <c r="S915" i="10" a="1"/>
  <c r="S915" i="10" s="1"/>
  <c r="V915" i="10" a="1"/>
  <c r="V915" i="10" s="1"/>
  <c r="O915" i="10" a="1"/>
  <c r="O915" i="10" s="1"/>
  <c r="Q915" i="10" a="1"/>
  <c r="Q915" i="10" s="1"/>
  <c r="T915" i="10" a="1"/>
  <c r="T915" i="10" s="1"/>
  <c r="P915" i="10" a="1"/>
  <c r="P915" i="10" s="1"/>
  <c r="O916" i="10" a="1"/>
  <c r="O916" i="10" s="1"/>
  <c r="P916" i="10" a="1"/>
  <c r="P916" i="10" s="1"/>
  <c r="Q916" i="10" a="1"/>
  <c r="Q916" i="10" s="1"/>
  <c r="S916" i="10" a="1"/>
  <c r="S916" i="10" s="1"/>
  <c r="R916" i="10" a="1"/>
  <c r="R916" i="10" s="1"/>
  <c r="T916" i="10" a="1"/>
  <c r="T916" i="10" s="1"/>
  <c r="V916" i="10" a="1"/>
  <c r="V916" i="10" s="1"/>
  <c r="U916" i="10"/>
  <c r="V917" i="10" a="1"/>
  <c r="V917" i="10" s="1"/>
  <c r="S917" i="10" a="1"/>
  <c r="S917" i="10" s="1"/>
  <c r="P917" i="10" a="1"/>
  <c r="P917" i="10" s="1"/>
  <c r="Q917" i="10" a="1"/>
  <c r="Q917" i="10" s="1"/>
  <c r="R917" i="10" a="1"/>
  <c r="R917" i="10" s="1"/>
  <c r="U917" i="10"/>
  <c r="O917" i="10" a="1"/>
  <c r="O917" i="10" s="1"/>
  <c r="T917" i="10" a="1"/>
  <c r="T917" i="10" s="1"/>
  <c r="P918" i="10" a="1"/>
  <c r="P918" i="10" s="1"/>
  <c r="T918" i="10" a="1"/>
  <c r="T918" i="10" s="1"/>
  <c r="S918" i="10" a="1"/>
  <c r="S918" i="10" s="1"/>
  <c r="R918" i="10" a="1"/>
  <c r="R918" i="10" s="1"/>
  <c r="O918" i="10" a="1"/>
  <c r="O918" i="10" s="1"/>
  <c r="Q918" i="10" a="1"/>
  <c r="Q918" i="10" s="1"/>
  <c r="U918" i="10"/>
  <c r="V918" i="10" a="1"/>
  <c r="V918" i="10" s="1"/>
  <c r="T919" i="10" a="1"/>
  <c r="T919" i="10" s="1"/>
  <c r="R919" i="10" a="1"/>
  <c r="R919" i="10" s="1"/>
  <c r="P919" i="10" a="1"/>
  <c r="P919" i="10" s="1"/>
  <c r="Q919" i="10" a="1"/>
  <c r="Q919" i="10" s="1"/>
  <c r="U919" i="10"/>
  <c r="V919" i="10" a="1"/>
  <c r="V919" i="10" s="1"/>
  <c r="S919" i="10" a="1"/>
  <c r="S919" i="10" s="1"/>
  <c r="O919" i="10" a="1"/>
  <c r="O919" i="10" s="1"/>
  <c r="V920" i="10" a="1"/>
  <c r="V920" i="10" s="1"/>
  <c r="T920" i="10" a="1"/>
  <c r="T920" i="10" s="1"/>
  <c r="S920" i="10" a="1"/>
  <c r="S920" i="10" s="1"/>
  <c r="P920" i="10" a="1"/>
  <c r="P920" i="10" s="1"/>
  <c r="O920" i="10" a="1"/>
  <c r="O920" i="10" s="1"/>
  <c r="R920" i="10" a="1"/>
  <c r="R920" i="10" s="1"/>
  <c r="U920" i="10"/>
  <c r="Q920" i="10" a="1"/>
  <c r="Q920" i="10" s="1"/>
  <c r="R921" i="10" a="1"/>
  <c r="R921" i="10" s="1"/>
  <c r="U921" i="10"/>
  <c r="P921" i="10" a="1"/>
  <c r="P921" i="10" s="1"/>
  <c r="T921" i="10" a="1"/>
  <c r="T921" i="10" s="1"/>
  <c r="Q921" i="10" a="1"/>
  <c r="Q921" i="10" s="1"/>
  <c r="V921" i="10" a="1"/>
  <c r="V921" i="10" s="1"/>
  <c r="O921" i="10" a="1"/>
  <c r="O921" i="10" s="1"/>
  <c r="S921" i="10" a="1"/>
  <c r="S921" i="10" s="1"/>
  <c r="S922" i="10" a="1"/>
  <c r="S922" i="10" s="1"/>
  <c r="V922" i="10" a="1"/>
  <c r="V922" i="10" s="1"/>
  <c r="P922" i="10" a="1"/>
  <c r="P922" i="10" s="1"/>
  <c r="Q922" i="10" a="1"/>
  <c r="Q922" i="10" s="1"/>
  <c r="R922" i="10" a="1"/>
  <c r="R922" i="10" s="1"/>
  <c r="O922" i="10" a="1"/>
  <c r="O922" i="10" s="1"/>
  <c r="T922" i="10" a="1"/>
  <c r="T922" i="10" s="1"/>
  <c r="U922" i="10"/>
  <c r="U923" i="10"/>
  <c r="V923" i="10" a="1"/>
  <c r="V923" i="10" s="1"/>
  <c r="R923" i="10" a="1"/>
  <c r="R923" i="10" s="1"/>
  <c r="P923" i="10" a="1"/>
  <c r="P923" i="10" s="1"/>
  <c r="S923" i="10" a="1"/>
  <c r="S923" i="10" s="1"/>
  <c r="T923" i="10" a="1"/>
  <c r="T923" i="10" s="1"/>
  <c r="Q923" i="10" a="1"/>
  <c r="Q923" i="10" s="1"/>
  <c r="O923" i="10" a="1"/>
  <c r="O923" i="10" s="1"/>
  <c r="V924" i="10" a="1"/>
  <c r="V924" i="10" s="1"/>
  <c r="U924" i="10"/>
  <c r="R924" i="10" a="1"/>
  <c r="R924" i="10" s="1"/>
  <c r="S924" i="10" a="1"/>
  <c r="S924" i="10" s="1"/>
  <c r="O924" i="10" a="1"/>
  <c r="O924" i="10" s="1"/>
  <c r="Q924" i="10" a="1"/>
  <c r="Q924" i="10" s="1"/>
  <c r="T924" i="10" a="1"/>
  <c r="T924" i="10" s="1"/>
  <c r="P924" i="10" a="1"/>
  <c r="P924" i="10" s="1"/>
  <c r="Q925" i="10" a="1"/>
  <c r="Q925" i="10" s="1"/>
  <c r="T925" i="10" a="1"/>
  <c r="T925" i="10" s="1"/>
  <c r="V925" i="10" a="1"/>
  <c r="V925" i="10" s="1"/>
  <c r="U925" i="10"/>
  <c r="P925" i="10" a="1"/>
  <c r="P925" i="10" s="1"/>
  <c r="S925" i="10" a="1"/>
  <c r="S925" i="10" s="1"/>
  <c r="R925" i="10" a="1"/>
  <c r="R925" i="10" s="1"/>
  <c r="O925" i="10" a="1"/>
  <c r="O925" i="10" s="1"/>
  <c r="S926" i="10" a="1"/>
  <c r="S926" i="10" s="1"/>
  <c r="O926" i="10" a="1"/>
  <c r="O926" i="10" s="1"/>
  <c r="P926" i="10" a="1"/>
  <c r="P926" i="10" s="1"/>
  <c r="U926" i="10"/>
  <c r="V926" i="10" a="1"/>
  <c r="V926" i="10" s="1"/>
  <c r="T926" i="10" a="1"/>
  <c r="T926" i="10" s="1"/>
  <c r="Q926" i="10" a="1"/>
  <c r="Q926" i="10" s="1"/>
  <c r="R926" i="10" a="1"/>
  <c r="R926" i="10" s="1"/>
  <c r="V927" i="10" a="1"/>
  <c r="V927" i="10" s="1"/>
  <c r="O927" i="10" a="1"/>
  <c r="O927" i="10" s="1"/>
  <c r="U927" i="10"/>
  <c r="P927" i="10" a="1"/>
  <c r="P927" i="10" s="1"/>
  <c r="R927" i="10" a="1"/>
  <c r="R927" i="10" s="1"/>
  <c r="T927" i="10" a="1"/>
  <c r="T927" i="10" s="1"/>
  <c r="S927" i="10" a="1"/>
  <c r="S927" i="10" s="1"/>
  <c r="Q927" i="10" a="1"/>
  <c r="Q927" i="10" s="1"/>
  <c r="V928" i="10" a="1"/>
  <c r="V928" i="10" s="1"/>
  <c r="R928" i="10" a="1"/>
  <c r="R928" i="10" s="1"/>
  <c r="U928" i="10"/>
  <c r="T928" i="10" a="1"/>
  <c r="T928" i="10" s="1"/>
  <c r="S928" i="10" a="1"/>
  <c r="S928" i="10" s="1"/>
  <c r="P928" i="10" a="1"/>
  <c r="P928" i="10" s="1"/>
  <c r="O928" i="10" a="1"/>
  <c r="O928" i="10" s="1"/>
  <c r="Q928" i="10" a="1"/>
  <c r="Q928" i="10" s="1"/>
  <c r="R929" i="10" a="1"/>
  <c r="R929" i="10" s="1"/>
  <c r="S929" i="10" a="1"/>
  <c r="S929" i="10" s="1"/>
  <c r="T929" i="10" a="1"/>
  <c r="T929" i="10" s="1"/>
  <c r="P929" i="10" a="1"/>
  <c r="P929" i="10" s="1"/>
  <c r="O929" i="10" a="1"/>
  <c r="O929" i="10" s="1"/>
  <c r="V929" i="10" a="1"/>
  <c r="V929" i="10" s="1"/>
  <c r="U929" i="10"/>
  <c r="Q929" i="10" a="1"/>
  <c r="Q929" i="10" s="1"/>
  <c r="R930" i="10" a="1"/>
  <c r="R930" i="10" s="1"/>
  <c r="V930" i="10" a="1"/>
  <c r="V930" i="10" s="1"/>
  <c r="Q930" i="10" a="1"/>
  <c r="Q930" i="10" s="1"/>
  <c r="T930" i="10" a="1"/>
  <c r="T930" i="10" s="1"/>
  <c r="O930" i="10" a="1"/>
  <c r="O930" i="10" s="1"/>
  <c r="P930" i="10" a="1"/>
  <c r="P930" i="10" s="1"/>
  <c r="U930" i="10"/>
  <c r="S930" i="10" a="1"/>
  <c r="S930" i="10" s="1"/>
  <c r="R931" i="10" a="1"/>
  <c r="R931" i="10" s="1"/>
  <c r="U931" i="10"/>
  <c r="Q931" i="10" a="1"/>
  <c r="Q931" i="10" s="1"/>
  <c r="P931" i="10" a="1"/>
  <c r="P931" i="10" s="1"/>
  <c r="V931" i="10" a="1"/>
  <c r="V931" i="10" s="1"/>
  <c r="O931" i="10" a="1"/>
  <c r="O931" i="10" s="1"/>
  <c r="S931" i="10" a="1"/>
  <c r="S931" i="10" s="1"/>
  <c r="T931" i="10" a="1"/>
  <c r="T931" i="10" s="1"/>
  <c r="R932" i="10" a="1"/>
  <c r="R932" i="10" s="1"/>
  <c r="T932" i="10" a="1"/>
  <c r="T932" i="10" s="1"/>
  <c r="S932" i="10" a="1"/>
  <c r="S932" i="10" s="1"/>
  <c r="Q932" i="10" a="1"/>
  <c r="Q932" i="10" s="1"/>
  <c r="U932" i="10"/>
  <c r="V932" i="10" a="1"/>
  <c r="V932" i="10" s="1"/>
  <c r="O932" i="10" a="1"/>
  <c r="O932" i="10" s="1"/>
  <c r="P932" i="10" a="1"/>
  <c r="P932" i="10" s="1"/>
  <c r="S933" i="10" a="1"/>
  <c r="S933" i="10" s="1"/>
  <c r="R933" i="10" a="1"/>
  <c r="R933" i="10" s="1"/>
  <c r="O933" i="10" a="1"/>
  <c r="O933" i="10" s="1"/>
  <c r="V933" i="10" a="1"/>
  <c r="V933" i="10" s="1"/>
  <c r="Q933" i="10" a="1"/>
  <c r="Q933" i="10" s="1"/>
  <c r="U933" i="10"/>
  <c r="T933" i="10" a="1"/>
  <c r="T933" i="10" s="1"/>
  <c r="P933" i="10" a="1"/>
  <c r="P933" i="10" s="1"/>
  <c r="V934" i="10" a="1"/>
  <c r="V934" i="10" s="1"/>
  <c r="T934" i="10" a="1"/>
  <c r="T934" i="10" s="1"/>
  <c r="U934" i="10"/>
  <c r="R934" i="10" a="1"/>
  <c r="R934" i="10" s="1"/>
  <c r="O934" i="10" a="1"/>
  <c r="O934" i="10" s="1"/>
  <c r="S934" i="10" a="1"/>
  <c r="S934" i="10" s="1"/>
  <c r="P934" i="10" a="1"/>
  <c r="P934" i="10" s="1"/>
  <c r="Q934" i="10" a="1"/>
  <c r="Q934" i="10" s="1"/>
  <c r="R935" i="10" a="1"/>
  <c r="R935" i="10" s="1"/>
  <c r="U935" i="10"/>
  <c r="Q935" i="10" a="1"/>
  <c r="Q935" i="10" s="1"/>
  <c r="S935" i="10" a="1"/>
  <c r="S935" i="10" s="1"/>
  <c r="T935" i="10" a="1"/>
  <c r="T935" i="10" s="1"/>
  <c r="P935" i="10" a="1"/>
  <c r="P935" i="10" s="1"/>
  <c r="V935" i="10" a="1"/>
  <c r="V935" i="10" s="1"/>
  <c r="O935" i="10" a="1"/>
  <c r="O935" i="10" s="1"/>
  <c r="O936" i="10" a="1"/>
  <c r="O936" i="10" s="1"/>
  <c r="Q936" i="10" a="1"/>
  <c r="Q936" i="10" s="1"/>
  <c r="T936" i="10" a="1"/>
  <c r="T936" i="10" s="1"/>
  <c r="P936" i="10" a="1"/>
  <c r="P936" i="10" s="1"/>
  <c r="S936" i="10" a="1"/>
  <c r="S936" i="10" s="1"/>
  <c r="U936" i="10"/>
  <c r="V936" i="10" a="1"/>
  <c r="V936" i="10" s="1"/>
  <c r="R936" i="10" a="1"/>
  <c r="R936" i="10" s="1"/>
  <c r="T937" i="10" a="1"/>
  <c r="T937" i="10" s="1"/>
  <c r="V937" i="10" a="1"/>
  <c r="V937" i="10" s="1"/>
  <c r="S937" i="10" a="1"/>
  <c r="S937" i="10" s="1"/>
  <c r="R937" i="10" a="1"/>
  <c r="R937" i="10" s="1"/>
  <c r="P937" i="10" a="1"/>
  <c r="P937" i="10" s="1"/>
  <c r="O937" i="10" a="1"/>
  <c r="O937" i="10" s="1"/>
  <c r="U937" i="10"/>
  <c r="Q937" i="10" a="1"/>
  <c r="Q937" i="10" s="1"/>
  <c r="T938" i="10" a="1"/>
  <c r="T938" i="10" s="1"/>
  <c r="S938" i="10" a="1"/>
  <c r="S938" i="10" s="1"/>
  <c r="P938" i="10" a="1"/>
  <c r="P938" i="10" s="1"/>
  <c r="V938" i="10" a="1"/>
  <c r="V938" i="10" s="1"/>
  <c r="Q938" i="10" a="1"/>
  <c r="Q938" i="10" s="1"/>
  <c r="R938" i="10" a="1"/>
  <c r="R938" i="10" s="1"/>
  <c r="U938" i="10"/>
  <c r="O938" i="10" a="1"/>
  <c r="O938" i="10" s="1"/>
  <c r="Q939" i="10" a="1"/>
  <c r="Q939" i="10" s="1"/>
  <c r="P939" i="10" a="1"/>
  <c r="P939" i="10" s="1"/>
  <c r="U939" i="10"/>
  <c r="O939" i="10" a="1"/>
  <c r="O939" i="10" s="1"/>
  <c r="V939" i="10" a="1"/>
  <c r="V939" i="10" s="1"/>
  <c r="S939" i="10" a="1"/>
  <c r="S939" i="10" s="1"/>
  <c r="T939" i="10" a="1"/>
  <c r="T939" i="10" s="1"/>
  <c r="R939" i="10" a="1"/>
  <c r="R939" i="10" s="1"/>
  <c r="O940" i="10" a="1"/>
  <c r="O940" i="10" s="1"/>
  <c r="Q940" i="10" a="1"/>
  <c r="Q940" i="10" s="1"/>
  <c r="R940" i="10" a="1"/>
  <c r="R940" i="10" s="1"/>
  <c r="V940" i="10" a="1"/>
  <c r="V940" i="10" s="1"/>
  <c r="S940" i="10" a="1"/>
  <c r="S940" i="10" s="1"/>
  <c r="T940" i="10" a="1"/>
  <c r="T940" i="10" s="1"/>
  <c r="U940" i="10"/>
  <c r="P940" i="10" a="1"/>
  <c r="P940" i="10" s="1"/>
  <c r="Q941" i="10" a="1"/>
  <c r="Q941" i="10" s="1"/>
  <c r="U941" i="10"/>
  <c r="R941" i="10" a="1"/>
  <c r="R941" i="10" s="1"/>
  <c r="T941" i="10" a="1"/>
  <c r="T941" i="10" s="1"/>
  <c r="V941" i="10" a="1"/>
  <c r="V941" i="10" s="1"/>
  <c r="S941" i="10" a="1"/>
  <c r="S941" i="10" s="1"/>
  <c r="O941" i="10" a="1"/>
  <c r="O941" i="10" s="1"/>
  <c r="P941" i="10" a="1"/>
  <c r="P941" i="10" s="1"/>
  <c r="T942" i="10" a="1"/>
  <c r="T942" i="10" s="1"/>
  <c r="U942" i="10"/>
  <c r="O942" i="10" a="1"/>
  <c r="O942" i="10" s="1"/>
  <c r="S942" i="10" a="1"/>
  <c r="S942" i="10" s="1"/>
  <c r="V942" i="10" a="1"/>
  <c r="V942" i="10" s="1"/>
  <c r="R942" i="10" a="1"/>
  <c r="R942" i="10" s="1"/>
  <c r="Q942" i="10" a="1"/>
  <c r="Q942" i="10" s="1"/>
  <c r="P942" i="10" a="1"/>
  <c r="P942" i="10" s="1"/>
  <c r="Q943" i="10" a="1"/>
  <c r="Q943" i="10" s="1"/>
  <c r="P943" i="10" a="1"/>
  <c r="P943" i="10" s="1"/>
  <c r="T943" i="10" a="1"/>
  <c r="T943" i="10" s="1"/>
  <c r="V943" i="10" a="1"/>
  <c r="V943" i="10" s="1"/>
  <c r="R943" i="10" a="1"/>
  <c r="R943" i="10" s="1"/>
  <c r="S943" i="10" a="1"/>
  <c r="S943" i="10" s="1"/>
  <c r="O943" i="10" a="1"/>
  <c r="O943" i="10" s="1"/>
  <c r="U943" i="10"/>
  <c r="P944" i="10" a="1"/>
  <c r="P944" i="10" s="1"/>
  <c r="O944" i="10" a="1"/>
  <c r="O944" i="10" s="1"/>
  <c r="Q944" i="10" a="1"/>
  <c r="Q944" i="10" s="1"/>
  <c r="R944" i="10" a="1"/>
  <c r="R944" i="10" s="1"/>
  <c r="V944" i="10" a="1"/>
  <c r="V944" i="10" s="1"/>
  <c r="T944" i="10" a="1"/>
  <c r="T944" i="10" s="1"/>
  <c r="U944" i="10"/>
  <c r="S944" i="10" a="1"/>
  <c r="S944" i="10" s="1"/>
  <c r="R945" i="10" a="1"/>
  <c r="R945" i="10" s="1"/>
  <c r="U945" i="10"/>
  <c r="Q945" i="10" a="1"/>
  <c r="Q945" i="10" s="1"/>
  <c r="O945" i="10" a="1"/>
  <c r="O945" i="10" s="1"/>
  <c r="T945" i="10" a="1"/>
  <c r="T945" i="10" s="1"/>
  <c r="V945" i="10" a="1"/>
  <c r="V945" i="10" s="1"/>
  <c r="P945" i="10" a="1"/>
  <c r="P945" i="10" s="1"/>
  <c r="S945" i="10" a="1"/>
  <c r="S945" i="10" s="1"/>
  <c r="T946" i="10" a="1"/>
  <c r="T946" i="10" s="1"/>
  <c r="S946" i="10" a="1"/>
  <c r="S946" i="10" s="1"/>
  <c r="V946" i="10" a="1"/>
  <c r="V946" i="10" s="1"/>
  <c r="R946" i="10" a="1"/>
  <c r="R946" i="10" s="1"/>
  <c r="P946" i="10" a="1"/>
  <c r="P946" i="10" s="1"/>
  <c r="U946" i="10"/>
  <c r="O946" i="10" a="1"/>
  <c r="O946" i="10" s="1"/>
  <c r="Q946" i="10" a="1"/>
  <c r="Q946" i="10" s="1"/>
  <c r="O947" i="10" a="1"/>
  <c r="O947" i="10" s="1"/>
  <c r="U947" i="10"/>
  <c r="V947" i="10" a="1"/>
  <c r="V947" i="10" s="1"/>
  <c r="T947" i="10" a="1"/>
  <c r="T947" i="10" s="1"/>
  <c r="R947" i="10" a="1"/>
  <c r="R947" i="10" s="1"/>
  <c r="Q947" i="10" a="1"/>
  <c r="Q947" i="10" s="1"/>
  <c r="S947" i="10" a="1"/>
  <c r="S947" i="10" s="1"/>
  <c r="P947" i="10" a="1"/>
  <c r="P947" i="10" s="1"/>
  <c r="U948" i="10"/>
  <c r="P948" i="10" a="1"/>
  <c r="P948" i="10" s="1"/>
  <c r="T948" i="10" a="1"/>
  <c r="T948" i="10" s="1"/>
  <c r="O948" i="10" a="1"/>
  <c r="O948" i="10" s="1"/>
  <c r="V948" i="10" a="1"/>
  <c r="V948" i="10" s="1"/>
  <c r="Q948" i="10" a="1"/>
  <c r="Q948" i="10" s="1"/>
  <c r="S948" i="10" a="1"/>
  <c r="S948" i="10" s="1"/>
  <c r="R948" i="10" a="1"/>
  <c r="R948" i="10" s="1"/>
  <c r="V949" i="10" a="1"/>
  <c r="V949" i="10" s="1"/>
  <c r="U949" i="10"/>
  <c r="Q949" i="10" a="1"/>
  <c r="Q949" i="10" s="1"/>
  <c r="P949" i="10" a="1"/>
  <c r="P949" i="10" s="1"/>
  <c r="S949" i="10" a="1"/>
  <c r="S949" i="10" s="1"/>
  <c r="R949" i="10" a="1"/>
  <c r="R949" i="10" s="1"/>
  <c r="O949" i="10" a="1"/>
  <c r="O949" i="10" s="1"/>
  <c r="T949" i="10" a="1"/>
  <c r="T949" i="10" s="1"/>
  <c r="V950" i="10" a="1"/>
  <c r="V950" i="10" s="1"/>
  <c r="R950" i="10" a="1"/>
  <c r="R950" i="10" s="1"/>
  <c r="U950" i="10"/>
  <c r="P950" i="10" a="1"/>
  <c r="P950" i="10" s="1"/>
  <c r="Q950" i="10" a="1"/>
  <c r="Q950" i="10" s="1"/>
  <c r="S950" i="10" a="1"/>
  <c r="S950" i="10" s="1"/>
  <c r="O950" i="10" a="1"/>
  <c r="O950" i="10" s="1"/>
  <c r="T950" i="10" a="1"/>
  <c r="T950" i="10" s="1"/>
  <c r="P951" i="10" a="1"/>
  <c r="P951" i="10" s="1"/>
  <c r="R951" i="10" a="1"/>
  <c r="R951" i="10" s="1"/>
  <c r="V951" i="10" a="1"/>
  <c r="V951" i="10" s="1"/>
  <c r="Q951" i="10" a="1"/>
  <c r="Q951" i="10" s="1"/>
  <c r="S951" i="10" a="1"/>
  <c r="S951" i="10" s="1"/>
  <c r="U951" i="10"/>
  <c r="T951" i="10" a="1"/>
  <c r="T951" i="10" s="1"/>
  <c r="O951" i="10" a="1"/>
  <c r="O951" i="10" s="1"/>
  <c r="R952" i="10" a="1"/>
  <c r="R952" i="10" s="1"/>
  <c r="T952" i="10" a="1"/>
  <c r="T952" i="10" s="1"/>
  <c r="V952" i="10" a="1"/>
  <c r="V952" i="10" s="1"/>
  <c r="U952" i="10"/>
  <c r="S952" i="10" a="1"/>
  <c r="S952" i="10" s="1"/>
  <c r="P952" i="10" a="1"/>
  <c r="P952" i="10" s="1"/>
  <c r="O952" i="10" a="1"/>
  <c r="O952" i="10" s="1"/>
  <c r="Q952" i="10" a="1"/>
  <c r="Q952" i="10" s="1"/>
  <c r="S953" i="10" a="1"/>
  <c r="S953" i="10" s="1"/>
  <c r="P953" i="10" a="1"/>
  <c r="P953" i="10" s="1"/>
  <c r="Q953" i="10" a="1"/>
  <c r="Q953" i="10" s="1"/>
  <c r="R953" i="10" a="1"/>
  <c r="R953" i="10" s="1"/>
  <c r="V953" i="10" a="1"/>
  <c r="V953" i="10" s="1"/>
  <c r="U953" i="10"/>
  <c r="T953" i="10" a="1"/>
  <c r="T953" i="10" s="1"/>
  <c r="O953" i="10" a="1"/>
  <c r="O953" i="10" s="1"/>
  <c r="R954" i="10" a="1"/>
  <c r="R954" i="10" s="1"/>
  <c r="Q954" i="10" a="1"/>
  <c r="Q954" i="10" s="1"/>
  <c r="V954" i="10" a="1"/>
  <c r="V954" i="10" s="1"/>
  <c r="P954" i="10" a="1"/>
  <c r="P954" i="10" s="1"/>
  <c r="T954" i="10" a="1"/>
  <c r="T954" i="10" s="1"/>
  <c r="S954" i="10" a="1"/>
  <c r="S954" i="10" s="1"/>
  <c r="U954" i="10"/>
  <c r="O954" i="10" a="1"/>
  <c r="O954" i="10" s="1"/>
  <c r="O955" i="10" a="1"/>
  <c r="O955" i="10" s="1"/>
  <c r="S955" i="10" a="1"/>
  <c r="S955" i="10" s="1"/>
  <c r="P955" i="10" a="1"/>
  <c r="P955" i="10" s="1"/>
  <c r="R955" i="10" a="1"/>
  <c r="R955" i="10" s="1"/>
  <c r="V955" i="10" a="1"/>
  <c r="V955" i="10" s="1"/>
  <c r="Q955" i="10" a="1"/>
  <c r="Q955" i="10" s="1"/>
  <c r="U955" i="10"/>
  <c r="T955" i="10" a="1"/>
  <c r="T955" i="10" s="1"/>
  <c r="U956" i="10"/>
  <c r="P956" i="10" a="1"/>
  <c r="P956" i="10" s="1"/>
  <c r="V956" i="10" a="1"/>
  <c r="V956" i="10" s="1"/>
  <c r="Q956" i="10" a="1"/>
  <c r="Q956" i="10" s="1"/>
  <c r="S956" i="10" a="1"/>
  <c r="S956" i="10" s="1"/>
  <c r="O956" i="10" a="1"/>
  <c r="O956" i="10" s="1"/>
  <c r="R956" i="10" a="1"/>
  <c r="R956" i="10" s="1"/>
  <c r="T956" i="10" a="1"/>
  <c r="T956" i="10" s="1"/>
  <c r="Q957" i="10" a="1"/>
  <c r="Q957" i="10" s="1"/>
  <c r="U957" i="10"/>
  <c r="O957" i="10" a="1"/>
  <c r="O957" i="10" s="1"/>
  <c r="S957" i="10" a="1"/>
  <c r="S957" i="10" s="1"/>
  <c r="T957" i="10" a="1"/>
  <c r="T957" i="10" s="1"/>
  <c r="P957" i="10" a="1"/>
  <c r="P957" i="10" s="1"/>
  <c r="R957" i="10" a="1"/>
  <c r="R957" i="10" s="1"/>
  <c r="V957" i="10" a="1"/>
  <c r="V957" i="10" s="1"/>
  <c r="P958" i="10" a="1"/>
  <c r="P958" i="10" s="1"/>
  <c r="O958" i="10" a="1"/>
  <c r="O958" i="10" s="1"/>
  <c r="V958" i="10" a="1"/>
  <c r="V958" i="10" s="1"/>
  <c r="R958" i="10" a="1"/>
  <c r="R958" i="10" s="1"/>
  <c r="S958" i="10" a="1"/>
  <c r="S958" i="10" s="1"/>
  <c r="U958" i="10"/>
  <c r="T958" i="10" a="1"/>
  <c r="T958" i="10" s="1"/>
  <c r="Q958" i="10" a="1"/>
  <c r="Q958" i="10" s="1"/>
  <c r="P1113" i="10" a="1"/>
  <c r="P1113" i="10" s="1"/>
  <c r="T1113" i="10" a="1"/>
  <c r="T1113" i="10" s="1"/>
  <c r="Q1113" i="10" a="1"/>
  <c r="Q1113" i="10" s="1"/>
  <c r="V1113" i="10" a="1"/>
  <c r="V1113" i="10" s="1"/>
  <c r="Q1129" i="10" a="1"/>
  <c r="Q1129" i="10" s="1"/>
  <c r="P1129" i="10" a="1"/>
  <c r="P1129" i="10" s="1"/>
  <c r="T1129" i="10" a="1"/>
  <c r="T1129" i="10" s="1"/>
  <c r="V1129" i="10" a="1"/>
  <c r="V1129" i="10" s="1"/>
  <c r="P1145" i="10" a="1"/>
  <c r="P1145" i="10" s="1"/>
  <c r="T1145" i="10" a="1"/>
  <c r="T1145" i="10" s="1"/>
  <c r="Q1145" i="10" a="1"/>
  <c r="Q1145" i="10" s="1"/>
  <c r="V1145" i="10" a="1"/>
  <c r="V1145" i="10" s="1"/>
  <c r="P1161" i="10" a="1"/>
  <c r="P1161" i="10" s="1"/>
  <c r="Q1161" i="10" a="1"/>
  <c r="Q1161" i="10" s="1"/>
  <c r="V1161" i="10" a="1"/>
  <c r="V1161" i="10" s="1"/>
  <c r="T1161" i="10" a="1"/>
  <c r="T1161" i="10" s="1"/>
  <c r="T1177" i="10" a="1"/>
  <c r="T1177" i="10" s="1"/>
  <c r="V1177" i="10" a="1"/>
  <c r="V1177" i="10" s="1"/>
  <c r="Q1177" i="10" a="1"/>
  <c r="Q1177" i="10" s="1"/>
  <c r="P1177" i="10" a="1"/>
  <c r="P1177" i="10" s="1"/>
  <c r="V1193" i="10" a="1"/>
  <c r="V1193" i="10" s="1"/>
  <c r="T1193" i="10" a="1"/>
  <c r="T1193" i="10" s="1"/>
  <c r="Q1193" i="10" a="1"/>
  <c r="Q1193" i="10" s="1"/>
  <c r="P1193" i="10" a="1"/>
  <c r="P1193" i="10" s="1"/>
  <c r="Q1209" i="10" a="1"/>
  <c r="Q1209" i="10" s="1"/>
  <c r="T1209" i="10" a="1"/>
  <c r="T1209" i="10" s="1"/>
  <c r="V1209" i="10" a="1"/>
  <c r="V1209" i="10" s="1"/>
  <c r="P1209" i="10" a="1"/>
  <c r="P1209" i="10" s="1"/>
  <c r="P1217" i="10" a="1"/>
  <c r="P1217" i="10" s="1"/>
  <c r="V1217" i="10" a="1"/>
  <c r="V1217" i="10" s="1"/>
  <c r="Q1217" i="10" a="1"/>
  <c r="Q1217" i="10" s="1"/>
  <c r="Q1225" i="10" a="1"/>
  <c r="Q1225" i="10" s="1"/>
  <c r="P1225" i="10" a="1"/>
  <c r="P1225" i="10" s="1"/>
  <c r="V1225" i="10" a="1"/>
  <c r="V1225" i="10" s="1"/>
  <c r="V1233" i="10" a="1"/>
  <c r="V1233" i="10" s="1"/>
  <c r="P1233" i="10" a="1"/>
  <c r="P1233" i="10" s="1"/>
  <c r="Q1233" i="10" a="1"/>
  <c r="Q1233" i="10" s="1"/>
  <c r="V1211" i="10" a="1"/>
  <c r="V1211" i="10" s="1"/>
  <c r="Q1211" i="10" a="1"/>
  <c r="Q1211" i="10" s="1"/>
  <c r="P1211" i="10" a="1"/>
  <c r="P1211" i="10" s="1"/>
  <c r="V1219" i="10" a="1"/>
  <c r="V1219" i="10" s="1"/>
  <c r="P1219" i="10" a="1"/>
  <c r="P1219" i="10" s="1"/>
  <c r="Q1219" i="10" a="1"/>
  <c r="Q1219" i="10" s="1"/>
  <c r="V1227" i="10" a="1"/>
  <c r="V1227" i="10" s="1"/>
  <c r="P1227" i="10" a="1"/>
  <c r="P1227" i="10" s="1"/>
  <c r="Q1227" i="10" a="1"/>
  <c r="Q1227" i="10" s="1"/>
  <c r="V1031" i="10" a="1"/>
  <c r="V1031" i="10" s="1"/>
  <c r="Q1031" i="10" a="1"/>
  <c r="Q1031" i="10" s="1"/>
  <c r="O1031" i="10" a="1"/>
  <c r="O1031" i="10" s="1"/>
  <c r="T1031" i="10" a="1"/>
  <c r="T1031" i="10" s="1"/>
  <c r="P1031" i="10" a="1"/>
  <c r="P1031" i="10" s="1"/>
  <c r="R1031" i="10" a="1"/>
  <c r="R1031" i="10" s="1"/>
  <c r="U1031" i="10"/>
  <c r="P1105" i="10" a="1"/>
  <c r="P1105" i="10" s="1"/>
  <c r="T1105" i="10" a="1"/>
  <c r="T1105" i="10" s="1"/>
  <c r="Q1105" i="10" a="1"/>
  <c r="Q1105" i="10" s="1"/>
  <c r="V1105" i="10" a="1"/>
  <c r="V1105" i="10" s="1"/>
  <c r="P1121" i="10" a="1"/>
  <c r="P1121" i="10" s="1"/>
  <c r="Q1121" i="10" a="1"/>
  <c r="Q1121" i="10" s="1"/>
  <c r="V1121" i="10" a="1"/>
  <c r="V1121" i="10" s="1"/>
  <c r="T1121" i="10" a="1"/>
  <c r="T1121" i="10" s="1"/>
  <c r="Q1137" i="10" a="1"/>
  <c r="Q1137" i="10" s="1"/>
  <c r="V1137" i="10" a="1"/>
  <c r="V1137" i="10" s="1"/>
  <c r="T1137" i="10" a="1"/>
  <c r="T1137" i="10" s="1"/>
  <c r="P1137" i="10" a="1"/>
  <c r="P1137" i="10" s="1"/>
  <c r="Q1153" i="10" a="1"/>
  <c r="Q1153" i="10" s="1"/>
  <c r="T1153" i="10" a="1"/>
  <c r="T1153" i="10" s="1"/>
  <c r="P1153" i="10" a="1"/>
  <c r="P1153" i="10" s="1"/>
  <c r="V1153" i="10" a="1"/>
  <c r="V1153" i="10" s="1"/>
  <c r="V1169" i="10" a="1"/>
  <c r="V1169" i="10" s="1"/>
  <c r="Q1169" i="10" a="1"/>
  <c r="Q1169" i="10" s="1"/>
  <c r="T1169" i="10" a="1"/>
  <c r="T1169" i="10" s="1"/>
  <c r="P1169" i="10" a="1"/>
  <c r="P1169" i="10" s="1"/>
  <c r="P1185" i="10" a="1"/>
  <c r="P1185" i="10" s="1"/>
  <c r="T1185" i="10" a="1"/>
  <c r="T1185" i="10" s="1"/>
  <c r="Q1185" i="10" a="1"/>
  <c r="Q1185" i="10" s="1"/>
  <c r="V1185" i="10" a="1"/>
  <c r="V1185" i="10" s="1"/>
  <c r="P1201" i="10" a="1"/>
  <c r="P1201" i="10" s="1"/>
  <c r="T1201" i="10" a="1"/>
  <c r="T1201" i="10" s="1"/>
  <c r="V1201" i="10" a="1"/>
  <c r="V1201" i="10" s="1"/>
  <c r="Q1201" i="10" a="1"/>
  <c r="Q1201" i="10" s="1"/>
  <c r="V1213" i="10" a="1"/>
  <c r="V1213" i="10" s="1"/>
  <c r="P1213" i="10" a="1"/>
  <c r="P1213" i="10" s="1"/>
  <c r="Q1213" i="10" a="1"/>
  <c r="Q1213" i="10" s="1"/>
  <c r="V1221" i="10" a="1"/>
  <c r="V1221" i="10" s="1"/>
  <c r="Q1221" i="10" a="1"/>
  <c r="Q1221" i="10" s="1"/>
  <c r="P1221" i="10" a="1"/>
  <c r="P1221" i="10" s="1"/>
  <c r="Q1229" i="10" a="1"/>
  <c r="Q1229" i="10" s="1"/>
  <c r="P1229" i="10" a="1"/>
  <c r="P1229" i="10" s="1"/>
  <c r="V1229" i="10" a="1"/>
  <c r="V1229" i="10" s="1"/>
  <c r="V1030" i="10" a="1"/>
  <c r="V1030" i="10" s="1"/>
  <c r="O1030" i="10" a="1"/>
  <c r="O1030" i="10" s="1"/>
  <c r="R1030" i="10" a="1"/>
  <c r="R1030" i="10" s="1"/>
  <c r="U1030" i="10"/>
  <c r="T1030" i="10" a="1"/>
  <c r="T1030" i="10" s="1"/>
  <c r="P1030" i="10" a="1"/>
  <c r="P1030" i="10" s="1"/>
  <c r="Q1030" i="10" a="1"/>
  <c r="Q1030" i="10" s="1"/>
  <c r="V1035" i="10" a="1"/>
  <c r="V1035" i="10" s="1"/>
  <c r="P1035" i="10" a="1"/>
  <c r="P1035" i="10" s="1"/>
  <c r="Q1035" i="10" a="1"/>
  <c r="Q1035" i="10" s="1"/>
  <c r="O1035" i="10" a="1"/>
  <c r="O1035" i="10" s="1"/>
  <c r="U1035" i="10"/>
  <c r="T1035" i="10" a="1"/>
  <c r="T1035" i="10" s="1"/>
  <c r="T1039" i="10" a="1"/>
  <c r="T1039" i="10" s="1"/>
  <c r="Q1039" i="10" a="1"/>
  <c r="Q1039" i="10" s="1"/>
  <c r="P1039" i="10" a="1"/>
  <c r="P1039" i="10" s="1"/>
  <c r="U1039" i="10"/>
  <c r="O1039" i="10" a="1"/>
  <c r="O1039" i="10" s="1"/>
  <c r="V1039" i="10" a="1"/>
  <c r="V1039" i="10" s="1"/>
  <c r="T1043" i="10" a="1"/>
  <c r="T1043" i="10" s="1"/>
  <c r="P1043" i="10" a="1"/>
  <c r="P1043" i="10" s="1"/>
  <c r="V1043" i="10" a="1"/>
  <c r="V1043" i="10" s="1"/>
  <c r="O1043" i="10" a="1"/>
  <c r="O1043" i="10" s="1"/>
  <c r="U1043" i="10"/>
  <c r="Q1043" i="10" a="1"/>
  <c r="Q1043" i="10" s="1"/>
  <c r="V1047" i="10" a="1"/>
  <c r="V1047" i="10" s="1"/>
  <c r="Q1047" i="10" a="1"/>
  <c r="Q1047" i="10" s="1"/>
  <c r="O1047" i="10" a="1"/>
  <c r="O1047" i="10" s="1"/>
  <c r="U1047" i="10"/>
  <c r="T1047" i="10" a="1"/>
  <c r="T1047" i="10" s="1"/>
  <c r="P1047" i="10" a="1"/>
  <c r="P1047" i="10" s="1"/>
  <c r="Q1051" i="10" a="1"/>
  <c r="Q1051" i="10" s="1"/>
  <c r="U1051" i="10"/>
  <c r="O1051" i="10" a="1"/>
  <c r="O1051" i="10" s="1"/>
  <c r="P1051" i="10" a="1"/>
  <c r="P1051" i="10" s="1"/>
  <c r="V1051" i="10" a="1"/>
  <c r="V1051" i="10" s="1"/>
  <c r="T1051" i="10" a="1"/>
  <c r="T1051" i="10" s="1"/>
  <c r="P1055" i="10" a="1"/>
  <c r="P1055" i="10" s="1"/>
  <c r="Q1055" i="10" a="1"/>
  <c r="Q1055" i="10" s="1"/>
  <c r="U1055" i="10"/>
  <c r="O1055" i="10" a="1"/>
  <c r="O1055" i="10" s="1"/>
  <c r="V1055" i="10" a="1"/>
  <c r="V1055" i="10" s="1"/>
  <c r="T1055" i="10" a="1"/>
  <c r="T1055" i="10" s="1"/>
  <c r="Q1059" i="10" a="1"/>
  <c r="Q1059" i="10" s="1"/>
  <c r="O1059" i="10" a="1"/>
  <c r="O1059" i="10" s="1"/>
  <c r="T1059" i="10" a="1"/>
  <c r="T1059" i="10" s="1"/>
  <c r="V1059" i="10" a="1"/>
  <c r="V1059" i="10" s="1"/>
  <c r="P1059" i="10" a="1"/>
  <c r="P1059" i="10" s="1"/>
  <c r="U1059" i="10"/>
  <c r="Q1063" i="10" a="1"/>
  <c r="Q1063" i="10" s="1"/>
  <c r="O1063" i="10" a="1"/>
  <c r="O1063" i="10" s="1"/>
  <c r="V1063" i="10" a="1"/>
  <c r="V1063" i="10" s="1"/>
  <c r="T1063" i="10" a="1"/>
  <c r="T1063" i="10" s="1"/>
  <c r="U1063" i="10"/>
  <c r="P1063" i="10" a="1"/>
  <c r="P1063" i="10" s="1"/>
  <c r="P1067" i="10" a="1"/>
  <c r="P1067" i="10" s="1"/>
  <c r="T1067" i="10" a="1"/>
  <c r="T1067" i="10" s="1"/>
  <c r="Q1067" i="10" a="1"/>
  <c r="Q1067" i="10" s="1"/>
  <c r="V1067" i="10" a="1"/>
  <c r="V1067" i="10" s="1"/>
  <c r="O1067" i="10" a="1"/>
  <c r="O1067" i="10" s="1"/>
  <c r="V1071" i="10" a="1"/>
  <c r="V1071" i="10" s="1"/>
  <c r="O1071" i="10" a="1"/>
  <c r="O1071" i="10" s="1"/>
  <c r="Q1071" i="10" a="1"/>
  <c r="Q1071" i="10" s="1"/>
  <c r="T1071" i="10" a="1"/>
  <c r="T1071" i="10" s="1"/>
  <c r="P1071" i="10" a="1"/>
  <c r="P1071" i="10" s="1"/>
  <c r="V1075" i="10" a="1"/>
  <c r="V1075" i="10" s="1"/>
  <c r="T1075" i="10" a="1"/>
  <c r="T1075" i="10" s="1"/>
  <c r="O1075" i="10" a="1"/>
  <c r="O1075" i="10" s="1"/>
  <c r="P1075" i="10" a="1"/>
  <c r="P1075" i="10" s="1"/>
  <c r="Q1075" i="10" a="1"/>
  <c r="Q1075" i="10" s="1"/>
  <c r="O1079" i="10" a="1"/>
  <c r="O1079" i="10" s="1"/>
  <c r="T1079" i="10" a="1"/>
  <c r="T1079" i="10" s="1"/>
  <c r="Q1079" i="10" a="1"/>
  <c r="Q1079" i="10" s="1"/>
  <c r="P1079" i="10" a="1"/>
  <c r="P1079" i="10" s="1"/>
  <c r="V1079" i="10" a="1"/>
  <c r="V1079" i="10" s="1"/>
  <c r="T1083" i="10" a="1"/>
  <c r="T1083" i="10" s="1"/>
  <c r="Q1083" i="10" a="1"/>
  <c r="Q1083" i="10" s="1"/>
  <c r="V1083" i="10" a="1"/>
  <c r="V1083" i="10" s="1"/>
  <c r="O1083" i="10" a="1"/>
  <c r="O1083" i="10" s="1"/>
  <c r="P1083" i="10" a="1"/>
  <c r="P1083" i="10" s="1"/>
  <c r="O1087" i="10" a="1"/>
  <c r="O1087" i="10" s="1"/>
  <c r="Q1087" i="10" a="1"/>
  <c r="Q1087" i="10" s="1"/>
  <c r="V1087" i="10" a="1"/>
  <c r="V1087" i="10" s="1"/>
  <c r="T1087" i="10" a="1"/>
  <c r="T1087" i="10" s="1"/>
  <c r="P1087" i="10" a="1"/>
  <c r="P1087" i="10" s="1"/>
  <c r="V1091" i="10" a="1"/>
  <c r="V1091" i="10" s="1"/>
  <c r="P1091" i="10" a="1"/>
  <c r="P1091" i="10" s="1"/>
  <c r="Q1091" i="10" a="1"/>
  <c r="Q1091" i="10" s="1"/>
  <c r="T1091" i="10" a="1"/>
  <c r="T1091" i="10" s="1"/>
  <c r="O1091" i="10" a="1"/>
  <c r="O1091" i="10" s="1"/>
  <c r="V1095" i="10" a="1"/>
  <c r="V1095" i="10" s="1"/>
  <c r="P1095" i="10" a="1"/>
  <c r="P1095" i="10" s="1"/>
  <c r="O1095" i="10" a="1"/>
  <c r="O1095" i="10" s="1"/>
  <c r="Q1095" i="10" a="1"/>
  <c r="Q1095" i="10" s="1"/>
  <c r="T1095" i="10" a="1"/>
  <c r="T1095" i="10" s="1"/>
  <c r="T1099" i="10" a="1"/>
  <c r="T1099" i="10" s="1"/>
  <c r="V1099" i="10" a="1"/>
  <c r="V1099" i="10" s="1"/>
  <c r="Q1099" i="10" a="1"/>
  <c r="Q1099" i="10" s="1"/>
  <c r="P1099" i="10" a="1"/>
  <c r="P1099" i="10" s="1"/>
  <c r="O1099" i="10" a="1"/>
  <c r="O1099" i="10" s="1"/>
  <c r="Q1102" i="10" a="1"/>
  <c r="Q1102" i="10" s="1"/>
  <c r="T1102" i="10" a="1"/>
  <c r="T1102" i="10" s="1"/>
  <c r="V1102" i="10" a="1"/>
  <c r="V1102" i="10" s="1"/>
  <c r="P1102" i="10" a="1"/>
  <c r="P1102" i="10" s="1"/>
  <c r="V1110" i="10" a="1"/>
  <c r="V1110" i="10" s="1"/>
  <c r="T1110" i="10" a="1"/>
  <c r="T1110" i="10" s="1"/>
  <c r="Q1110" i="10" a="1"/>
  <c r="Q1110" i="10" s="1"/>
  <c r="P1110" i="10" a="1"/>
  <c r="P1110" i="10" s="1"/>
  <c r="V1118" i="10" a="1"/>
  <c r="V1118" i="10" s="1"/>
  <c r="T1118" i="10" a="1"/>
  <c r="T1118" i="10" s="1"/>
  <c r="P1118" i="10" a="1"/>
  <c r="P1118" i="10" s="1"/>
  <c r="Q1118" i="10" a="1"/>
  <c r="Q1118" i="10" s="1"/>
  <c r="Q1126" i="10" a="1"/>
  <c r="Q1126" i="10" s="1"/>
  <c r="V1126" i="10" a="1"/>
  <c r="V1126" i="10" s="1"/>
  <c r="P1126" i="10" a="1"/>
  <c r="P1126" i="10" s="1"/>
  <c r="T1126" i="10" a="1"/>
  <c r="T1126" i="10" s="1"/>
  <c r="V1134" i="10" a="1"/>
  <c r="V1134" i="10" s="1"/>
  <c r="T1134" i="10" a="1"/>
  <c r="T1134" i="10" s="1"/>
  <c r="Q1134" i="10" a="1"/>
  <c r="Q1134" i="10" s="1"/>
  <c r="P1134" i="10" a="1"/>
  <c r="P1134" i="10" s="1"/>
  <c r="Q1142" i="10" a="1"/>
  <c r="Q1142" i="10" s="1"/>
  <c r="T1142" i="10" a="1"/>
  <c r="T1142" i="10" s="1"/>
  <c r="V1142" i="10" a="1"/>
  <c r="V1142" i="10" s="1"/>
  <c r="P1142" i="10" a="1"/>
  <c r="P1142" i="10" s="1"/>
  <c r="P1150" i="10" a="1"/>
  <c r="P1150" i="10" s="1"/>
  <c r="Q1150" i="10" a="1"/>
  <c r="Q1150" i="10" s="1"/>
  <c r="V1150" i="10" a="1"/>
  <c r="V1150" i="10" s="1"/>
  <c r="T1150" i="10" a="1"/>
  <c r="T1150" i="10" s="1"/>
  <c r="P1158" i="10" a="1"/>
  <c r="P1158" i="10" s="1"/>
  <c r="V1158" i="10" a="1"/>
  <c r="V1158" i="10" s="1"/>
  <c r="T1158" i="10" a="1"/>
  <c r="T1158" i="10" s="1"/>
  <c r="Q1158" i="10" a="1"/>
  <c r="Q1158" i="10" s="1"/>
  <c r="T1166" i="10" a="1"/>
  <c r="T1166" i="10" s="1"/>
  <c r="Q1166" i="10" a="1"/>
  <c r="Q1166" i="10" s="1"/>
  <c r="P1166" i="10" a="1"/>
  <c r="P1166" i="10" s="1"/>
  <c r="V1166" i="10" a="1"/>
  <c r="V1166" i="10" s="1"/>
  <c r="V1174" i="10" a="1"/>
  <c r="V1174" i="10" s="1"/>
  <c r="Q1174" i="10" a="1"/>
  <c r="Q1174" i="10" s="1"/>
  <c r="T1174" i="10" a="1"/>
  <c r="T1174" i="10" s="1"/>
  <c r="P1174" i="10" a="1"/>
  <c r="P1174" i="10" s="1"/>
  <c r="Q1182" i="10" a="1"/>
  <c r="Q1182" i="10" s="1"/>
  <c r="T1182" i="10" a="1"/>
  <c r="T1182" i="10" s="1"/>
  <c r="V1182" i="10" a="1"/>
  <c r="V1182" i="10" s="1"/>
  <c r="P1182" i="10" a="1"/>
  <c r="P1182" i="10" s="1"/>
  <c r="T1190" i="10" a="1"/>
  <c r="T1190" i="10" s="1"/>
  <c r="V1190" i="10" a="1"/>
  <c r="V1190" i="10" s="1"/>
  <c r="Q1190" i="10" a="1"/>
  <c r="Q1190" i="10" s="1"/>
  <c r="P1190" i="10" a="1"/>
  <c r="P1190" i="10" s="1"/>
  <c r="V1198" i="10" a="1"/>
  <c r="V1198" i="10" s="1"/>
  <c r="P1198" i="10" a="1"/>
  <c r="P1198" i="10" s="1"/>
  <c r="T1198" i="10" a="1"/>
  <c r="T1198" i="10" s="1"/>
  <c r="Q1198" i="10" a="1"/>
  <c r="Q1198" i="10" s="1"/>
  <c r="T1206" i="10" a="1"/>
  <c r="T1206" i="10" s="1"/>
  <c r="Q1206" i="10" a="1"/>
  <c r="Q1206" i="10" s="1"/>
  <c r="P1206" i="10" a="1"/>
  <c r="P1206" i="10" s="1"/>
  <c r="V1206" i="10" a="1"/>
  <c r="V1206" i="10" s="1"/>
  <c r="P1029" i="10" a="1"/>
  <c r="P1029" i="10" s="1"/>
  <c r="U1029" i="10"/>
  <c r="V1029" i="10" a="1"/>
  <c r="V1029" i="10" s="1"/>
  <c r="T1029" i="10" a="1"/>
  <c r="T1029" i="10" s="1"/>
  <c r="O1029" i="10" a="1"/>
  <c r="O1029" i="10" s="1"/>
  <c r="R1029" i="10" a="1"/>
  <c r="R1029" i="10" s="1"/>
  <c r="Q1029" i="10" a="1"/>
  <c r="Q1029" i="10" s="1"/>
  <c r="V1107" i="10" a="1"/>
  <c r="V1107" i="10" s="1"/>
  <c r="T1107" i="10" a="1"/>
  <c r="T1107" i="10" s="1"/>
  <c r="Q1107" i="10" a="1"/>
  <c r="Q1107" i="10" s="1"/>
  <c r="P1107" i="10" a="1"/>
  <c r="P1107" i="10" s="1"/>
  <c r="Q1115" i="10" a="1"/>
  <c r="Q1115" i="10" s="1"/>
  <c r="P1115" i="10" a="1"/>
  <c r="P1115" i="10" s="1"/>
  <c r="T1115" i="10" a="1"/>
  <c r="T1115" i="10" s="1"/>
  <c r="V1115" i="10" a="1"/>
  <c r="V1115" i="10" s="1"/>
  <c r="P1123" i="10" a="1"/>
  <c r="P1123" i="10" s="1"/>
  <c r="T1123" i="10" a="1"/>
  <c r="T1123" i="10" s="1"/>
  <c r="Q1123" i="10" a="1"/>
  <c r="Q1123" i="10" s="1"/>
  <c r="V1123" i="10" a="1"/>
  <c r="V1123" i="10" s="1"/>
  <c r="V1131" i="10" a="1"/>
  <c r="V1131" i="10" s="1"/>
  <c r="P1131" i="10" a="1"/>
  <c r="P1131" i="10" s="1"/>
  <c r="T1131" i="10" a="1"/>
  <c r="T1131" i="10" s="1"/>
  <c r="Q1131" i="10" a="1"/>
  <c r="Q1131" i="10" s="1"/>
  <c r="V1139" i="10" a="1"/>
  <c r="V1139" i="10" s="1"/>
  <c r="Q1139" i="10" a="1"/>
  <c r="Q1139" i="10" s="1"/>
  <c r="T1139" i="10" a="1"/>
  <c r="T1139" i="10" s="1"/>
  <c r="P1139" i="10" a="1"/>
  <c r="P1139" i="10" s="1"/>
  <c r="V1147" i="10" a="1"/>
  <c r="V1147" i="10" s="1"/>
  <c r="T1147" i="10" a="1"/>
  <c r="T1147" i="10" s="1"/>
  <c r="P1147" i="10" a="1"/>
  <c r="P1147" i="10" s="1"/>
  <c r="Q1147" i="10" a="1"/>
  <c r="Q1147" i="10" s="1"/>
  <c r="P1155" i="10" a="1"/>
  <c r="P1155" i="10" s="1"/>
  <c r="Q1155" i="10" a="1"/>
  <c r="Q1155" i="10" s="1"/>
  <c r="T1155" i="10" a="1"/>
  <c r="T1155" i="10" s="1"/>
  <c r="V1155" i="10" a="1"/>
  <c r="V1155" i="10" s="1"/>
  <c r="T1163" i="10" a="1"/>
  <c r="T1163" i="10" s="1"/>
  <c r="V1163" i="10" a="1"/>
  <c r="V1163" i="10" s="1"/>
  <c r="P1163" i="10" a="1"/>
  <c r="P1163" i="10" s="1"/>
  <c r="Q1163" i="10" a="1"/>
  <c r="Q1163" i="10" s="1"/>
  <c r="V1171" i="10" a="1"/>
  <c r="V1171" i="10" s="1"/>
  <c r="T1171" i="10" a="1"/>
  <c r="T1171" i="10" s="1"/>
  <c r="P1171" i="10" a="1"/>
  <c r="P1171" i="10" s="1"/>
  <c r="Q1171" i="10" a="1"/>
  <c r="Q1171" i="10" s="1"/>
  <c r="Q1179" i="10" a="1"/>
  <c r="Q1179" i="10" s="1"/>
  <c r="V1179" i="10" a="1"/>
  <c r="V1179" i="10" s="1"/>
  <c r="T1179" i="10" a="1"/>
  <c r="T1179" i="10" s="1"/>
  <c r="P1179" i="10" a="1"/>
  <c r="P1179" i="10" s="1"/>
  <c r="T1187" i="10" a="1"/>
  <c r="T1187" i="10" s="1"/>
  <c r="P1187" i="10" a="1"/>
  <c r="P1187" i="10" s="1"/>
  <c r="Q1187" i="10" a="1"/>
  <c r="Q1187" i="10" s="1"/>
  <c r="V1187" i="10" a="1"/>
  <c r="V1187" i="10" s="1"/>
  <c r="P1195" i="10" a="1"/>
  <c r="P1195" i="10" s="1"/>
  <c r="V1195" i="10" a="1"/>
  <c r="V1195" i="10" s="1"/>
  <c r="Q1195" i="10" a="1"/>
  <c r="Q1195" i="10" s="1"/>
  <c r="T1195" i="10" a="1"/>
  <c r="T1195" i="10" s="1"/>
  <c r="T1203" i="10" a="1"/>
  <c r="T1203" i="10" s="1"/>
  <c r="V1203" i="10" a="1"/>
  <c r="V1203" i="10" s="1"/>
  <c r="Q1203" i="10" a="1"/>
  <c r="Q1203" i="10" s="1"/>
  <c r="P1203" i="10" a="1"/>
  <c r="P1203" i="10" s="1"/>
  <c r="Q1028" i="10" a="1"/>
  <c r="Q1028" i="10" s="1"/>
  <c r="O1028" i="10" a="1"/>
  <c r="O1028" i="10" s="1"/>
  <c r="T1028" i="10" a="1"/>
  <c r="T1028" i="10" s="1"/>
  <c r="R1028" i="10" a="1"/>
  <c r="R1028" i="10" s="1"/>
  <c r="V1028" i="10" a="1"/>
  <c r="V1028" i="10" s="1"/>
  <c r="P1028" i="10" a="1"/>
  <c r="P1028" i="10" s="1"/>
  <c r="U1028" i="10"/>
  <c r="T1034" i="10" a="1"/>
  <c r="T1034" i="10" s="1"/>
  <c r="P1034" i="10" a="1"/>
  <c r="P1034" i="10" s="1"/>
  <c r="V1034" i="10" a="1"/>
  <c r="V1034" i="10" s="1"/>
  <c r="U1034" i="10"/>
  <c r="Q1034" i="10" a="1"/>
  <c r="Q1034" i="10" s="1"/>
  <c r="O1034" i="10" a="1"/>
  <c r="O1034" i="10" s="1"/>
  <c r="Q1038" i="10" a="1"/>
  <c r="Q1038" i="10" s="1"/>
  <c r="V1038" i="10" a="1"/>
  <c r="V1038" i="10" s="1"/>
  <c r="P1038" i="10" a="1"/>
  <c r="P1038" i="10" s="1"/>
  <c r="U1038" i="10"/>
  <c r="O1038" i="10" a="1"/>
  <c r="O1038" i="10" s="1"/>
  <c r="T1038" i="10" a="1"/>
  <c r="T1038" i="10" s="1"/>
  <c r="U1042" i="10"/>
  <c r="T1042" i="10" a="1"/>
  <c r="T1042" i="10" s="1"/>
  <c r="P1042" i="10" a="1"/>
  <c r="P1042" i="10" s="1"/>
  <c r="O1042" i="10" a="1"/>
  <c r="O1042" i="10" s="1"/>
  <c r="Q1042" i="10" a="1"/>
  <c r="Q1042" i="10" s="1"/>
  <c r="V1042" i="10" a="1"/>
  <c r="V1042" i="10" s="1"/>
  <c r="O1046" i="10" a="1"/>
  <c r="O1046" i="10" s="1"/>
  <c r="U1046" i="10"/>
  <c r="Q1046" i="10" a="1"/>
  <c r="Q1046" i="10" s="1"/>
  <c r="V1046" i="10" a="1"/>
  <c r="V1046" i="10" s="1"/>
  <c r="T1046" i="10" a="1"/>
  <c r="T1046" i="10" s="1"/>
  <c r="P1046" i="10" a="1"/>
  <c r="P1046" i="10" s="1"/>
  <c r="T1050" i="10" a="1"/>
  <c r="T1050" i="10" s="1"/>
  <c r="O1050" i="10" a="1"/>
  <c r="O1050" i="10" s="1"/>
  <c r="U1050" i="10"/>
  <c r="V1050" i="10" a="1"/>
  <c r="V1050" i="10" s="1"/>
  <c r="P1050" i="10" a="1"/>
  <c r="P1050" i="10" s="1"/>
  <c r="Q1050" i="10" a="1"/>
  <c r="Q1050" i="10" s="1"/>
  <c r="P1054" i="10" a="1"/>
  <c r="P1054" i="10" s="1"/>
  <c r="T1054" i="10" a="1"/>
  <c r="T1054" i="10" s="1"/>
  <c r="O1054" i="10" a="1"/>
  <c r="O1054" i="10" s="1"/>
  <c r="V1054" i="10" a="1"/>
  <c r="V1054" i="10" s="1"/>
  <c r="U1054" i="10"/>
  <c r="Q1054" i="10" a="1"/>
  <c r="Q1054" i="10" s="1"/>
  <c r="O1058" i="10" a="1"/>
  <c r="O1058" i="10" s="1"/>
  <c r="Q1058" i="10" a="1"/>
  <c r="Q1058" i="10" s="1"/>
  <c r="U1058" i="10"/>
  <c r="V1058" i="10" a="1"/>
  <c r="V1058" i="10" s="1"/>
  <c r="T1058" i="10" a="1"/>
  <c r="T1058" i="10" s="1"/>
  <c r="P1058" i="10" a="1"/>
  <c r="P1058" i="10" s="1"/>
  <c r="V1062" i="10" a="1"/>
  <c r="V1062" i="10" s="1"/>
  <c r="Q1062" i="10" a="1"/>
  <c r="Q1062" i="10" s="1"/>
  <c r="O1062" i="10" a="1"/>
  <c r="O1062" i="10" s="1"/>
  <c r="T1062" i="10" a="1"/>
  <c r="T1062" i="10" s="1"/>
  <c r="P1062" i="10" a="1"/>
  <c r="P1062" i="10" s="1"/>
  <c r="U1062" i="10"/>
  <c r="T1066" i="10" a="1"/>
  <c r="T1066" i="10" s="1"/>
  <c r="P1066" i="10" a="1"/>
  <c r="P1066" i="10" s="1"/>
  <c r="V1066" i="10" a="1"/>
  <c r="V1066" i="10" s="1"/>
  <c r="O1066" i="10" a="1"/>
  <c r="O1066" i="10" s="1"/>
  <c r="Q1066" i="10" a="1"/>
  <c r="Q1066" i="10" s="1"/>
  <c r="T1070" i="10" a="1"/>
  <c r="T1070" i="10" s="1"/>
  <c r="O1070" i="10" a="1"/>
  <c r="O1070" i="10" s="1"/>
  <c r="P1070" i="10" a="1"/>
  <c r="P1070" i="10" s="1"/>
  <c r="V1070" i="10" a="1"/>
  <c r="V1070" i="10" s="1"/>
  <c r="Q1070" i="10" a="1"/>
  <c r="Q1070" i="10" s="1"/>
  <c r="V1074" i="10" a="1"/>
  <c r="V1074" i="10" s="1"/>
  <c r="O1074" i="10" a="1"/>
  <c r="O1074" i="10" s="1"/>
  <c r="Q1074" i="10" a="1"/>
  <c r="Q1074" i="10" s="1"/>
  <c r="P1074" i="10" a="1"/>
  <c r="P1074" i="10" s="1"/>
  <c r="T1074" i="10" a="1"/>
  <c r="T1074" i="10" s="1"/>
  <c r="Q1078" i="10" a="1"/>
  <c r="Q1078" i="10" s="1"/>
  <c r="P1078" i="10" a="1"/>
  <c r="P1078" i="10" s="1"/>
  <c r="O1078" i="10" a="1"/>
  <c r="O1078" i="10" s="1"/>
  <c r="V1078" i="10" a="1"/>
  <c r="V1078" i="10" s="1"/>
  <c r="T1078" i="10" a="1"/>
  <c r="T1078" i="10" s="1"/>
  <c r="P1082" i="10" a="1"/>
  <c r="P1082" i="10" s="1"/>
  <c r="T1082" i="10" a="1"/>
  <c r="T1082" i="10" s="1"/>
  <c r="Q1082" i="10" a="1"/>
  <c r="Q1082" i="10" s="1"/>
  <c r="O1082" i="10" a="1"/>
  <c r="O1082" i="10" s="1"/>
  <c r="V1082" i="10" a="1"/>
  <c r="V1082" i="10" s="1"/>
  <c r="O1086" i="10" a="1"/>
  <c r="O1086" i="10" s="1"/>
  <c r="T1086" i="10" a="1"/>
  <c r="T1086" i="10" s="1"/>
  <c r="V1086" i="10" a="1"/>
  <c r="V1086" i="10" s="1"/>
  <c r="Q1086" i="10" a="1"/>
  <c r="Q1086" i="10" s="1"/>
  <c r="P1086" i="10" a="1"/>
  <c r="P1086" i="10" s="1"/>
  <c r="Q1090" i="10" a="1"/>
  <c r="Q1090" i="10" s="1"/>
  <c r="P1090" i="10" a="1"/>
  <c r="P1090" i="10" s="1"/>
  <c r="O1090" i="10" a="1"/>
  <c r="O1090" i="10" s="1"/>
  <c r="V1090" i="10" a="1"/>
  <c r="V1090" i="10" s="1"/>
  <c r="T1090" i="10" a="1"/>
  <c r="T1090" i="10" s="1"/>
  <c r="V1094" i="10" a="1"/>
  <c r="V1094" i="10" s="1"/>
  <c r="Q1094" i="10" a="1"/>
  <c r="Q1094" i="10" s="1"/>
  <c r="T1094" i="10" a="1"/>
  <c r="T1094" i="10" s="1"/>
  <c r="P1094" i="10" a="1"/>
  <c r="P1094" i="10" s="1"/>
  <c r="O1094" i="10" a="1"/>
  <c r="O1094" i="10" s="1"/>
  <c r="V1098" i="10" a="1"/>
  <c r="V1098" i="10" s="1"/>
  <c r="T1098" i="10" a="1"/>
  <c r="T1098" i="10" s="1"/>
  <c r="P1098" i="10" a="1"/>
  <c r="P1098" i="10" s="1"/>
  <c r="Q1098" i="10" a="1"/>
  <c r="Q1098" i="10" s="1"/>
  <c r="O1098" i="10" a="1"/>
  <c r="O1098" i="10" s="1"/>
  <c r="Q1104" i="10" a="1"/>
  <c r="Q1104" i="10" s="1"/>
  <c r="P1104" i="10" a="1"/>
  <c r="P1104" i="10" s="1"/>
  <c r="T1104" i="10" a="1"/>
  <c r="T1104" i="10" s="1"/>
  <c r="V1104" i="10" a="1"/>
  <c r="V1104" i="10" s="1"/>
  <c r="P1112" i="10" a="1"/>
  <c r="P1112" i="10" s="1"/>
  <c r="Q1112" i="10" a="1"/>
  <c r="Q1112" i="10" s="1"/>
  <c r="T1112" i="10" a="1"/>
  <c r="T1112" i="10" s="1"/>
  <c r="V1112" i="10" a="1"/>
  <c r="V1112" i="10" s="1"/>
  <c r="Q1120" i="10" a="1"/>
  <c r="Q1120" i="10" s="1"/>
  <c r="T1120" i="10" a="1"/>
  <c r="T1120" i="10" s="1"/>
  <c r="P1120" i="10" a="1"/>
  <c r="P1120" i="10" s="1"/>
  <c r="V1120" i="10" a="1"/>
  <c r="V1120" i="10" s="1"/>
  <c r="V1128" i="10" a="1"/>
  <c r="V1128" i="10" s="1"/>
  <c r="P1128" i="10" a="1"/>
  <c r="P1128" i="10" s="1"/>
  <c r="Q1128" i="10" a="1"/>
  <c r="Q1128" i="10" s="1"/>
  <c r="T1128" i="10" a="1"/>
  <c r="T1128" i="10" s="1"/>
  <c r="T1136" i="10" a="1"/>
  <c r="T1136" i="10" s="1"/>
  <c r="V1136" i="10" a="1"/>
  <c r="V1136" i="10" s="1"/>
  <c r="Q1136" i="10" a="1"/>
  <c r="Q1136" i="10" s="1"/>
  <c r="P1136" i="10" a="1"/>
  <c r="P1136" i="10" s="1"/>
  <c r="P1144" i="10" a="1"/>
  <c r="P1144" i="10" s="1"/>
  <c r="T1144" i="10" a="1"/>
  <c r="T1144" i="10" s="1"/>
  <c r="V1144" i="10" a="1"/>
  <c r="V1144" i="10" s="1"/>
  <c r="Q1144" i="10" a="1"/>
  <c r="Q1144" i="10" s="1"/>
  <c r="V1152" i="10" a="1"/>
  <c r="V1152" i="10" s="1"/>
  <c r="Q1152" i="10" a="1"/>
  <c r="Q1152" i="10" s="1"/>
  <c r="P1152" i="10" a="1"/>
  <c r="P1152" i="10" s="1"/>
  <c r="T1152" i="10" a="1"/>
  <c r="T1152" i="10" s="1"/>
  <c r="Q1160" i="10" a="1"/>
  <c r="Q1160" i="10" s="1"/>
  <c r="T1160" i="10" a="1"/>
  <c r="T1160" i="10" s="1"/>
  <c r="V1160" i="10" a="1"/>
  <c r="V1160" i="10" s="1"/>
  <c r="P1160" i="10" a="1"/>
  <c r="P1160" i="10" s="1"/>
  <c r="P1168" i="10" a="1"/>
  <c r="P1168" i="10" s="1"/>
  <c r="Q1168" i="10" a="1"/>
  <c r="Q1168" i="10" s="1"/>
  <c r="V1168" i="10" a="1"/>
  <c r="V1168" i="10" s="1"/>
  <c r="T1168" i="10" a="1"/>
  <c r="T1168" i="10" s="1"/>
  <c r="Q1176" i="10" a="1"/>
  <c r="Q1176" i="10" s="1"/>
  <c r="P1176" i="10" a="1"/>
  <c r="P1176" i="10" s="1"/>
  <c r="V1176" i="10" a="1"/>
  <c r="V1176" i="10" s="1"/>
  <c r="T1176" i="10" a="1"/>
  <c r="T1176" i="10" s="1"/>
  <c r="Q1184" i="10" a="1"/>
  <c r="Q1184" i="10" s="1"/>
  <c r="V1184" i="10" a="1"/>
  <c r="V1184" i="10" s="1"/>
  <c r="P1184" i="10" a="1"/>
  <c r="P1184" i="10" s="1"/>
  <c r="T1184" i="10" a="1"/>
  <c r="T1184" i="10" s="1"/>
  <c r="Q1192" i="10" a="1"/>
  <c r="Q1192" i="10" s="1"/>
  <c r="P1192" i="10" a="1"/>
  <c r="P1192" i="10" s="1"/>
  <c r="T1192" i="10" a="1"/>
  <c r="T1192" i="10" s="1"/>
  <c r="V1192" i="10" a="1"/>
  <c r="V1192" i="10" s="1"/>
  <c r="P1200" i="10" a="1"/>
  <c r="P1200" i="10" s="1"/>
  <c r="Q1200" i="10" a="1"/>
  <c r="Q1200" i="10" s="1"/>
  <c r="T1200" i="10" a="1"/>
  <c r="T1200" i="10" s="1"/>
  <c r="V1200" i="10" a="1"/>
  <c r="V1200" i="10" s="1"/>
  <c r="V1208" i="10" a="1"/>
  <c r="V1208" i="10" s="1"/>
  <c r="P1208" i="10" a="1"/>
  <c r="P1208" i="10" s="1"/>
  <c r="Q1208" i="10" a="1"/>
  <c r="Q1208" i="10" s="1"/>
  <c r="T1208" i="10" a="1"/>
  <c r="T1208" i="10" s="1"/>
  <c r="T1027" i="10" a="1"/>
  <c r="T1027" i="10" s="1"/>
  <c r="P1027" i="10" a="1"/>
  <c r="P1027" i="10" s="1"/>
  <c r="O1027" i="10" a="1"/>
  <c r="O1027" i="10" s="1"/>
  <c r="R1027" i="10" a="1"/>
  <c r="R1027" i="10" s="1"/>
  <c r="U1027" i="10"/>
  <c r="Q1027" i="10" a="1"/>
  <c r="Q1027" i="10" s="1"/>
  <c r="V1027" i="10" a="1"/>
  <c r="V1027" i="10" s="1"/>
  <c r="P1101" i="10" a="1"/>
  <c r="P1101" i="10" s="1"/>
  <c r="V1101" i="10" a="1"/>
  <c r="V1101" i="10" s="1"/>
  <c r="Q1101" i="10" a="1"/>
  <c r="Q1101" i="10" s="1"/>
  <c r="T1101" i="10" a="1"/>
  <c r="T1101" i="10" s="1"/>
  <c r="T1109" i="10" a="1"/>
  <c r="T1109" i="10" s="1"/>
  <c r="P1109" i="10" a="1"/>
  <c r="P1109" i="10" s="1"/>
  <c r="V1109" i="10" a="1"/>
  <c r="V1109" i="10" s="1"/>
  <c r="Q1109" i="10" a="1"/>
  <c r="Q1109" i="10" s="1"/>
  <c r="T1117" i="10" a="1"/>
  <c r="T1117" i="10" s="1"/>
  <c r="P1117" i="10" a="1"/>
  <c r="P1117" i="10" s="1"/>
  <c r="V1117" i="10" a="1"/>
  <c r="V1117" i="10" s="1"/>
  <c r="Q1117" i="10" a="1"/>
  <c r="Q1117" i="10" s="1"/>
  <c r="V1125" i="10" a="1"/>
  <c r="V1125" i="10" s="1"/>
  <c r="Q1125" i="10" a="1"/>
  <c r="Q1125" i="10" s="1"/>
  <c r="T1125" i="10" a="1"/>
  <c r="T1125" i="10" s="1"/>
  <c r="P1125" i="10" a="1"/>
  <c r="P1125" i="10" s="1"/>
  <c r="P1133" i="10" a="1"/>
  <c r="P1133" i="10" s="1"/>
  <c r="Q1133" i="10" a="1"/>
  <c r="Q1133" i="10" s="1"/>
  <c r="V1133" i="10" a="1"/>
  <c r="V1133" i="10" s="1"/>
  <c r="T1133" i="10" a="1"/>
  <c r="T1133" i="10" s="1"/>
  <c r="T1141" i="10" a="1"/>
  <c r="T1141" i="10" s="1"/>
  <c r="V1141" i="10" a="1"/>
  <c r="V1141" i="10" s="1"/>
  <c r="P1141" i="10" a="1"/>
  <c r="P1141" i="10" s="1"/>
  <c r="Q1141" i="10" a="1"/>
  <c r="Q1141" i="10" s="1"/>
  <c r="T1149" i="10" a="1"/>
  <c r="T1149" i="10" s="1"/>
  <c r="Q1149" i="10" a="1"/>
  <c r="Q1149" i="10" s="1"/>
  <c r="V1149" i="10" a="1"/>
  <c r="V1149" i="10" s="1"/>
  <c r="P1149" i="10" a="1"/>
  <c r="P1149" i="10" s="1"/>
  <c r="T1157" i="10" a="1"/>
  <c r="T1157" i="10" s="1"/>
  <c r="V1157" i="10" a="1"/>
  <c r="V1157" i="10" s="1"/>
  <c r="Q1157" i="10" a="1"/>
  <c r="Q1157" i="10" s="1"/>
  <c r="P1157" i="10" a="1"/>
  <c r="P1157" i="10" s="1"/>
  <c r="V1165" i="10" a="1"/>
  <c r="V1165" i="10" s="1"/>
  <c r="P1165" i="10" a="1"/>
  <c r="P1165" i="10" s="1"/>
  <c r="T1165" i="10" a="1"/>
  <c r="T1165" i="10" s="1"/>
  <c r="Q1165" i="10" a="1"/>
  <c r="Q1165" i="10" s="1"/>
  <c r="Q1173" i="10" a="1"/>
  <c r="Q1173" i="10" s="1"/>
  <c r="T1173" i="10" a="1"/>
  <c r="T1173" i="10" s="1"/>
  <c r="P1173" i="10" a="1"/>
  <c r="P1173" i="10" s="1"/>
  <c r="V1173" i="10" a="1"/>
  <c r="V1173" i="10" s="1"/>
  <c r="P1181" i="10" a="1"/>
  <c r="P1181" i="10" s="1"/>
  <c r="V1181" i="10" a="1"/>
  <c r="V1181" i="10" s="1"/>
  <c r="Q1181" i="10" a="1"/>
  <c r="Q1181" i="10" s="1"/>
  <c r="T1181" i="10" a="1"/>
  <c r="T1181" i="10" s="1"/>
  <c r="P1189" i="10" a="1"/>
  <c r="P1189" i="10" s="1"/>
  <c r="T1189" i="10" a="1"/>
  <c r="T1189" i="10" s="1"/>
  <c r="V1189" i="10" a="1"/>
  <c r="V1189" i="10" s="1"/>
  <c r="Q1189" i="10" a="1"/>
  <c r="Q1189" i="10" s="1"/>
  <c r="Q1197" i="10" a="1"/>
  <c r="Q1197" i="10" s="1"/>
  <c r="T1197" i="10" a="1"/>
  <c r="T1197" i="10" s="1"/>
  <c r="P1197" i="10" a="1"/>
  <c r="P1197" i="10" s="1"/>
  <c r="V1197" i="10" a="1"/>
  <c r="V1197" i="10" s="1"/>
  <c r="V1205" i="10" a="1"/>
  <c r="V1205" i="10" s="1"/>
  <c r="P1205" i="10" a="1"/>
  <c r="P1205" i="10" s="1"/>
  <c r="Q1205" i="10" a="1"/>
  <c r="Q1205" i="10" s="1"/>
  <c r="T1205" i="10" a="1"/>
  <c r="T1205" i="10" s="1"/>
  <c r="P1210" i="10" a="1"/>
  <c r="P1210" i="10" s="1"/>
  <c r="Q1210" i="10" a="1"/>
  <c r="Q1210" i="10" s="1"/>
  <c r="V1210" i="10" a="1"/>
  <c r="V1210" i="10" s="1"/>
  <c r="Q1212" i="10" a="1"/>
  <c r="Q1212" i="10" s="1"/>
  <c r="P1212" i="10" a="1"/>
  <c r="P1212" i="10" s="1"/>
  <c r="V1212" i="10" a="1"/>
  <c r="V1212" i="10" s="1"/>
  <c r="Q1214" i="10" a="1"/>
  <c r="Q1214" i="10" s="1"/>
  <c r="P1214" i="10" a="1"/>
  <c r="P1214" i="10" s="1"/>
  <c r="V1214" i="10" a="1"/>
  <c r="V1214" i="10" s="1"/>
  <c r="V1216" i="10" a="1"/>
  <c r="V1216" i="10" s="1"/>
  <c r="Q1216" i="10" a="1"/>
  <c r="Q1216" i="10" s="1"/>
  <c r="P1216" i="10" a="1"/>
  <c r="P1216" i="10" s="1"/>
  <c r="P1218" i="10" a="1"/>
  <c r="P1218" i="10" s="1"/>
  <c r="V1218" i="10" a="1"/>
  <c r="V1218" i="10" s="1"/>
  <c r="Q1218" i="10" a="1"/>
  <c r="Q1218" i="10" s="1"/>
  <c r="P1220" i="10" a="1"/>
  <c r="P1220" i="10" s="1"/>
  <c r="V1220" i="10" a="1"/>
  <c r="V1220" i="10" s="1"/>
  <c r="Q1220" i="10" a="1"/>
  <c r="Q1220" i="10" s="1"/>
  <c r="Q1222" i="10" a="1"/>
  <c r="Q1222" i="10" s="1"/>
  <c r="V1222" i="10" a="1"/>
  <c r="V1222" i="10" s="1"/>
  <c r="P1222" i="10" a="1"/>
  <c r="P1222" i="10" s="1"/>
  <c r="Q1224" i="10" a="1"/>
  <c r="Q1224" i="10" s="1"/>
  <c r="P1224" i="10" a="1"/>
  <c r="P1224" i="10" s="1"/>
  <c r="V1224" i="10" a="1"/>
  <c r="V1224" i="10" s="1"/>
  <c r="V1226" i="10" a="1"/>
  <c r="V1226" i="10" s="1"/>
  <c r="Q1226" i="10" a="1"/>
  <c r="Q1226" i="10" s="1"/>
  <c r="P1226" i="10" a="1"/>
  <c r="P1226" i="10" s="1"/>
  <c r="Q1228" i="10" a="1"/>
  <c r="Q1228" i="10" s="1"/>
  <c r="P1228" i="10" a="1"/>
  <c r="P1228" i="10" s="1"/>
  <c r="V1228" i="10" a="1"/>
  <c r="V1228" i="10" s="1"/>
  <c r="V1230" i="10" a="1"/>
  <c r="V1230" i="10" s="1"/>
  <c r="P1230" i="10" a="1"/>
  <c r="P1230" i="10" s="1"/>
  <c r="Q1230" i="10" a="1"/>
  <c r="Q1230" i="10" s="1"/>
  <c r="V1232" i="10" a="1"/>
  <c r="V1232" i="10" s="1"/>
  <c r="Q1232" i="10" a="1"/>
  <c r="Q1232" i="10" s="1"/>
  <c r="P1232" i="10" a="1"/>
  <c r="P1232" i="10" s="1"/>
  <c r="Q1234" i="10" a="1"/>
  <c r="Q1234" i="10" s="1"/>
  <c r="P1234" i="10" a="1"/>
  <c r="P1234" i="10" s="1"/>
  <c r="V1234" i="10" a="1"/>
  <c r="V1234" i="10" s="1"/>
  <c r="O959" i="10" a="1"/>
  <c r="O959" i="10" s="1"/>
  <c r="S959" i="10" a="1"/>
  <c r="S959" i="10" s="1"/>
  <c r="U959" i="10"/>
  <c r="Q959" i="10" a="1"/>
  <c r="Q959" i="10" s="1"/>
  <c r="V959" i="10" a="1"/>
  <c r="V959" i="10" s="1"/>
  <c r="T959" i="10" a="1"/>
  <c r="T959" i="10" s="1"/>
  <c r="R959" i="10" a="1"/>
  <c r="R959" i="10" s="1"/>
  <c r="P959" i="10" a="1"/>
  <c r="P959" i="10" s="1"/>
  <c r="P960" i="10" a="1"/>
  <c r="P960" i="10" s="1"/>
  <c r="V960" i="10" a="1"/>
  <c r="V960" i="10" s="1"/>
  <c r="O960" i="10" a="1"/>
  <c r="O960" i="10" s="1"/>
  <c r="R960" i="10" a="1"/>
  <c r="R960" i="10" s="1"/>
  <c r="S960" i="10" a="1"/>
  <c r="S960" i="10" s="1"/>
  <c r="U960" i="10"/>
  <c r="Q960" i="10" a="1"/>
  <c r="Q960" i="10" s="1"/>
  <c r="T960" i="10" a="1"/>
  <c r="T960" i="10" s="1"/>
  <c r="Q961" i="10" a="1"/>
  <c r="Q961" i="10" s="1"/>
  <c r="U961" i="10"/>
  <c r="R961" i="10" a="1"/>
  <c r="R961" i="10" s="1"/>
  <c r="P961" i="10" a="1"/>
  <c r="P961" i="10" s="1"/>
  <c r="V961" i="10" a="1"/>
  <c r="V961" i="10" s="1"/>
  <c r="O961" i="10" a="1"/>
  <c r="O961" i="10" s="1"/>
  <c r="S961" i="10" a="1"/>
  <c r="S961" i="10" s="1"/>
  <c r="T961" i="10" a="1"/>
  <c r="T961" i="10" s="1"/>
  <c r="Q962" i="10" a="1"/>
  <c r="Q962" i="10" s="1"/>
  <c r="O962" i="10" a="1"/>
  <c r="O962" i="10" s="1"/>
  <c r="T962" i="10" a="1"/>
  <c r="T962" i="10" s="1"/>
  <c r="R962" i="10" a="1"/>
  <c r="R962" i="10" s="1"/>
  <c r="S962" i="10" a="1"/>
  <c r="S962" i="10" s="1"/>
  <c r="P962" i="10" a="1"/>
  <c r="P962" i="10" s="1"/>
  <c r="U962" i="10"/>
  <c r="V962" i="10" a="1"/>
  <c r="V962" i="10" s="1"/>
  <c r="V963" i="10" a="1"/>
  <c r="V963" i="10" s="1"/>
  <c r="O963" i="10" a="1"/>
  <c r="O963" i="10" s="1"/>
  <c r="Q963" i="10" a="1"/>
  <c r="Q963" i="10" s="1"/>
  <c r="S963" i="10" a="1"/>
  <c r="S963" i="10" s="1"/>
  <c r="R963" i="10" a="1"/>
  <c r="R963" i="10" s="1"/>
  <c r="P963" i="10" a="1"/>
  <c r="P963" i="10" s="1"/>
  <c r="T963" i="10" a="1"/>
  <c r="T963" i="10" s="1"/>
  <c r="U963" i="10"/>
  <c r="T964" i="10" a="1"/>
  <c r="T964" i="10" s="1"/>
  <c r="Q964" i="10" a="1"/>
  <c r="Q964" i="10" s="1"/>
  <c r="R964" i="10" a="1"/>
  <c r="R964" i="10" s="1"/>
  <c r="S964" i="10" a="1"/>
  <c r="S964" i="10" s="1"/>
  <c r="V964" i="10" a="1"/>
  <c r="V964" i="10" s="1"/>
  <c r="P964" i="10" a="1"/>
  <c r="P964" i="10" s="1"/>
  <c r="U964" i="10"/>
  <c r="O964" i="10" a="1"/>
  <c r="O964" i="10" s="1"/>
  <c r="Q965" i="10" a="1"/>
  <c r="Q965" i="10" s="1"/>
  <c r="S965" i="10" a="1"/>
  <c r="S965" i="10" s="1"/>
  <c r="T965" i="10" a="1"/>
  <c r="T965" i="10" s="1"/>
  <c r="U965" i="10"/>
  <c r="P965" i="10" a="1"/>
  <c r="P965" i="10" s="1"/>
  <c r="V965" i="10" a="1"/>
  <c r="V965" i="10" s="1"/>
  <c r="O965" i="10" a="1"/>
  <c r="O965" i="10" s="1"/>
  <c r="R965" i="10" a="1"/>
  <c r="R965" i="10" s="1"/>
  <c r="T966" i="10" a="1"/>
  <c r="T966" i="10" s="1"/>
  <c r="U966" i="10"/>
  <c r="Q966" i="10" a="1"/>
  <c r="Q966" i="10" s="1"/>
  <c r="P966" i="10" a="1"/>
  <c r="P966" i="10" s="1"/>
  <c r="V966" i="10" a="1"/>
  <c r="V966" i="10" s="1"/>
  <c r="S966" i="10" a="1"/>
  <c r="S966" i="10" s="1"/>
  <c r="O966" i="10" a="1"/>
  <c r="O966" i="10" s="1"/>
  <c r="R966" i="10" a="1"/>
  <c r="R966" i="10" s="1"/>
  <c r="R967" i="10" a="1"/>
  <c r="R967" i="10" s="1"/>
  <c r="U967" i="10"/>
  <c r="P967" i="10" a="1"/>
  <c r="P967" i="10" s="1"/>
  <c r="O967" i="10" a="1"/>
  <c r="O967" i="10" s="1"/>
  <c r="Q967" i="10" a="1"/>
  <c r="Q967" i="10" s="1"/>
  <c r="S967" i="10" a="1"/>
  <c r="S967" i="10" s="1"/>
  <c r="V967" i="10" a="1"/>
  <c r="V967" i="10" s="1"/>
  <c r="T967" i="10" a="1"/>
  <c r="T967" i="10" s="1"/>
  <c r="T968" i="10" a="1"/>
  <c r="T968" i="10" s="1"/>
  <c r="Q968" i="10" a="1"/>
  <c r="Q968" i="10" s="1"/>
  <c r="V968" i="10" a="1"/>
  <c r="V968" i="10" s="1"/>
  <c r="R968" i="10" a="1"/>
  <c r="R968" i="10" s="1"/>
  <c r="P968" i="10" a="1"/>
  <c r="P968" i="10" s="1"/>
  <c r="U968" i="10"/>
  <c r="O968" i="10" a="1"/>
  <c r="O968" i="10" s="1"/>
  <c r="S968" i="10" a="1"/>
  <c r="S968" i="10" s="1"/>
  <c r="S969" i="10" a="1"/>
  <c r="S969" i="10" s="1"/>
  <c r="O969" i="10" a="1"/>
  <c r="O969" i="10" s="1"/>
  <c r="R969" i="10" a="1"/>
  <c r="R969" i="10" s="1"/>
  <c r="V969" i="10" a="1"/>
  <c r="V969" i="10" s="1"/>
  <c r="U969" i="10"/>
  <c r="P969" i="10" a="1"/>
  <c r="P969" i="10" s="1"/>
  <c r="T969" i="10" a="1"/>
  <c r="T969" i="10" s="1"/>
  <c r="Q969" i="10" a="1"/>
  <c r="Q969" i="10" s="1"/>
  <c r="U970" i="10"/>
  <c r="T970" i="10" a="1"/>
  <c r="T970" i="10" s="1"/>
  <c r="R970" i="10" a="1"/>
  <c r="R970" i="10" s="1"/>
  <c r="O970" i="10" a="1"/>
  <c r="O970" i="10" s="1"/>
  <c r="P970" i="10" a="1"/>
  <c r="P970" i="10" s="1"/>
  <c r="S970" i="10" a="1"/>
  <c r="S970" i="10" s="1"/>
  <c r="V970" i="10" a="1"/>
  <c r="V970" i="10" s="1"/>
  <c r="Q970" i="10" a="1"/>
  <c r="Q970" i="10" s="1"/>
  <c r="R971" i="10" a="1"/>
  <c r="R971" i="10" s="1"/>
  <c r="O971" i="10" a="1"/>
  <c r="O971" i="10" s="1"/>
  <c r="V971" i="10" a="1"/>
  <c r="V971" i="10" s="1"/>
  <c r="U971" i="10"/>
  <c r="P971" i="10" a="1"/>
  <c r="P971" i="10" s="1"/>
  <c r="T971" i="10" a="1"/>
  <c r="T971" i="10" s="1"/>
  <c r="S971" i="10" a="1"/>
  <c r="S971" i="10" s="1"/>
  <c r="Q971" i="10" a="1"/>
  <c r="Q971" i="10" s="1"/>
  <c r="S972" i="10" a="1"/>
  <c r="S972" i="10" s="1"/>
  <c r="T972" i="10" a="1"/>
  <c r="T972" i="10" s="1"/>
  <c r="Q972" i="10" a="1"/>
  <c r="Q972" i="10" s="1"/>
  <c r="P972" i="10" a="1"/>
  <c r="P972" i="10" s="1"/>
  <c r="R972" i="10" a="1"/>
  <c r="R972" i="10" s="1"/>
  <c r="O972" i="10" a="1"/>
  <c r="O972" i="10" s="1"/>
  <c r="V972" i="10" a="1"/>
  <c r="V972" i="10" s="1"/>
  <c r="U972" i="10"/>
  <c r="R973" i="10" a="1"/>
  <c r="R973" i="10" s="1"/>
  <c r="U973" i="10"/>
  <c r="O973" i="10" a="1"/>
  <c r="O973" i="10" s="1"/>
  <c r="Q973" i="10" a="1"/>
  <c r="Q973" i="10" s="1"/>
  <c r="S973" i="10" a="1"/>
  <c r="S973" i="10" s="1"/>
  <c r="T973" i="10" a="1"/>
  <c r="T973" i="10" s="1"/>
  <c r="V973" i="10" a="1"/>
  <c r="V973" i="10" s="1"/>
  <c r="P973" i="10" a="1"/>
  <c r="P973" i="10" s="1"/>
  <c r="U974" i="10"/>
  <c r="V974" i="10" a="1"/>
  <c r="V974" i="10" s="1"/>
  <c r="P974" i="10" a="1"/>
  <c r="P974" i="10" s="1"/>
  <c r="T974" i="10" a="1"/>
  <c r="T974" i="10" s="1"/>
  <c r="Q974" i="10" a="1"/>
  <c r="Q974" i="10" s="1"/>
  <c r="R974" i="10" a="1"/>
  <c r="R974" i="10" s="1"/>
  <c r="O974" i="10" a="1"/>
  <c r="O974" i="10" s="1"/>
  <c r="S974" i="10" a="1"/>
  <c r="S974" i="10" s="1"/>
  <c r="S975" i="10" a="1"/>
  <c r="S975" i="10" s="1"/>
  <c r="T975" i="10" a="1"/>
  <c r="T975" i="10" s="1"/>
  <c r="V975" i="10" a="1"/>
  <c r="V975" i="10" s="1"/>
  <c r="P975" i="10" a="1"/>
  <c r="P975" i="10" s="1"/>
  <c r="U975" i="10"/>
  <c r="O975" i="10" a="1"/>
  <c r="O975" i="10" s="1"/>
  <c r="Q975" i="10" a="1"/>
  <c r="Q975" i="10" s="1"/>
  <c r="R975" i="10" a="1"/>
  <c r="R975" i="10" s="1"/>
  <c r="P976" i="10" a="1"/>
  <c r="P976" i="10" s="1"/>
  <c r="Q976" i="10" a="1"/>
  <c r="Q976" i="10" s="1"/>
  <c r="V976" i="10" a="1"/>
  <c r="V976" i="10" s="1"/>
  <c r="O976" i="10" a="1"/>
  <c r="O976" i="10" s="1"/>
  <c r="S976" i="10" a="1"/>
  <c r="S976" i="10" s="1"/>
  <c r="U976" i="10"/>
  <c r="T976" i="10" a="1"/>
  <c r="T976" i="10" s="1"/>
  <c r="R976" i="10" a="1"/>
  <c r="R976" i="10" s="1"/>
  <c r="R977" i="10" a="1"/>
  <c r="R977" i="10" s="1"/>
  <c r="O977" i="10" a="1"/>
  <c r="O977" i="10" s="1"/>
  <c r="P977" i="10" a="1"/>
  <c r="P977" i="10" s="1"/>
  <c r="T977" i="10" a="1"/>
  <c r="T977" i="10" s="1"/>
  <c r="U977" i="10"/>
  <c r="V977" i="10" a="1"/>
  <c r="V977" i="10" s="1"/>
  <c r="Q977" i="10" a="1"/>
  <c r="Q977" i="10" s="1"/>
  <c r="S977" i="10" a="1"/>
  <c r="S977" i="10" s="1"/>
  <c r="U978" i="10"/>
  <c r="S978" i="10" a="1"/>
  <c r="S978" i="10" s="1"/>
  <c r="T978" i="10" a="1"/>
  <c r="T978" i="10" s="1"/>
  <c r="R978" i="10" a="1"/>
  <c r="R978" i="10" s="1"/>
  <c r="P978" i="10" a="1"/>
  <c r="P978" i="10" s="1"/>
  <c r="Q978" i="10" a="1"/>
  <c r="Q978" i="10" s="1"/>
  <c r="V978" i="10" a="1"/>
  <c r="V978" i="10" s="1"/>
  <c r="O978" i="10" a="1"/>
  <c r="O978" i="10" s="1"/>
  <c r="P979" i="10" a="1"/>
  <c r="P979" i="10" s="1"/>
  <c r="R979" i="10" a="1"/>
  <c r="R979" i="10" s="1"/>
  <c r="V979" i="10" a="1"/>
  <c r="V979" i="10" s="1"/>
  <c r="T979" i="10" a="1"/>
  <c r="T979" i="10" s="1"/>
  <c r="S979" i="10" a="1"/>
  <c r="S979" i="10" s="1"/>
  <c r="O979" i="10" a="1"/>
  <c r="O979" i="10" s="1"/>
  <c r="U979" i="10"/>
  <c r="Q979" i="10" a="1"/>
  <c r="Q979" i="10" s="1"/>
  <c r="S980" i="10" a="1"/>
  <c r="S980" i="10" s="1"/>
  <c r="V980" i="10" a="1"/>
  <c r="V980" i="10" s="1"/>
  <c r="O980" i="10" a="1"/>
  <c r="O980" i="10" s="1"/>
  <c r="T980" i="10" a="1"/>
  <c r="T980" i="10" s="1"/>
  <c r="Q980" i="10" a="1"/>
  <c r="Q980" i="10" s="1"/>
  <c r="P980" i="10" a="1"/>
  <c r="P980" i="10" s="1"/>
  <c r="R980" i="10" a="1"/>
  <c r="R980" i="10" s="1"/>
  <c r="U980" i="10"/>
  <c r="T981" i="10" a="1"/>
  <c r="T981" i="10" s="1"/>
  <c r="V981" i="10" a="1"/>
  <c r="V981" i="10" s="1"/>
  <c r="Q981" i="10" a="1"/>
  <c r="Q981" i="10" s="1"/>
  <c r="O981" i="10" a="1"/>
  <c r="O981" i="10" s="1"/>
  <c r="S981" i="10" a="1"/>
  <c r="S981" i="10" s="1"/>
  <c r="R981" i="10" a="1"/>
  <c r="R981" i="10" s="1"/>
  <c r="P981" i="10" a="1"/>
  <c r="P981" i="10" s="1"/>
  <c r="U981" i="10"/>
  <c r="V982" i="10" a="1"/>
  <c r="V982" i="10" s="1"/>
  <c r="P982" i="10" a="1"/>
  <c r="P982" i="10" s="1"/>
  <c r="U982" i="10"/>
  <c r="T982" i="10" a="1"/>
  <c r="T982" i="10" s="1"/>
  <c r="S982" i="10" a="1"/>
  <c r="S982" i="10" s="1"/>
  <c r="R982" i="10" a="1"/>
  <c r="R982" i="10" s="1"/>
  <c r="O982" i="10" a="1"/>
  <c r="O982" i="10" s="1"/>
  <c r="Q982" i="10" a="1"/>
  <c r="Q982" i="10" s="1"/>
  <c r="U983" i="10"/>
  <c r="T983" i="10" a="1"/>
  <c r="T983" i="10" s="1"/>
  <c r="S983" i="10" a="1"/>
  <c r="S983" i="10" s="1"/>
  <c r="R983" i="10" a="1"/>
  <c r="R983" i="10" s="1"/>
  <c r="V983" i="10" a="1"/>
  <c r="V983" i="10" s="1"/>
  <c r="O983" i="10" a="1"/>
  <c r="O983" i="10" s="1"/>
  <c r="P983" i="10" a="1"/>
  <c r="P983" i="10" s="1"/>
  <c r="Q983" i="10" a="1"/>
  <c r="Q983" i="10" s="1"/>
  <c r="Q984" i="10" a="1"/>
  <c r="Q984" i="10" s="1"/>
  <c r="P984" i="10" a="1"/>
  <c r="P984" i="10" s="1"/>
  <c r="V984" i="10" a="1"/>
  <c r="V984" i="10" s="1"/>
  <c r="S984" i="10" a="1"/>
  <c r="S984" i="10" s="1"/>
  <c r="T984" i="10" a="1"/>
  <c r="T984" i="10" s="1"/>
  <c r="R984" i="10" a="1"/>
  <c r="R984" i="10" s="1"/>
  <c r="U984" i="10"/>
  <c r="O984" i="10" a="1"/>
  <c r="O984" i="10" s="1"/>
  <c r="O985" i="10" a="1"/>
  <c r="O985" i="10" s="1"/>
  <c r="T985" i="10" a="1"/>
  <c r="T985" i="10" s="1"/>
  <c r="P985" i="10" a="1"/>
  <c r="P985" i="10" s="1"/>
  <c r="U985" i="10"/>
  <c r="R985" i="10" a="1"/>
  <c r="R985" i="10" s="1"/>
  <c r="Q985" i="10" a="1"/>
  <c r="Q985" i="10" s="1"/>
  <c r="V985" i="10" a="1"/>
  <c r="V985" i="10" s="1"/>
  <c r="S985" i="10" a="1"/>
  <c r="S985" i="10" s="1"/>
  <c r="U986" i="10"/>
  <c r="P986" i="10" a="1"/>
  <c r="P986" i="10" s="1"/>
  <c r="O986" i="10" a="1"/>
  <c r="O986" i="10" s="1"/>
  <c r="T986" i="10" a="1"/>
  <c r="T986" i="10" s="1"/>
  <c r="V986" i="10" a="1"/>
  <c r="V986" i="10" s="1"/>
  <c r="R986" i="10" a="1"/>
  <c r="R986" i="10" s="1"/>
  <c r="S986" i="10" a="1"/>
  <c r="S986" i="10" s="1"/>
  <c r="Q986" i="10" a="1"/>
  <c r="Q986" i="10" s="1"/>
  <c r="O987" i="10" a="1"/>
  <c r="O987" i="10" s="1"/>
  <c r="U987" i="10"/>
  <c r="S987" i="10" a="1"/>
  <c r="S987" i="10" s="1"/>
  <c r="Q987" i="10" a="1"/>
  <c r="Q987" i="10" s="1"/>
  <c r="P987" i="10" a="1"/>
  <c r="P987" i="10" s="1"/>
  <c r="R987" i="10" a="1"/>
  <c r="R987" i="10" s="1"/>
  <c r="T987" i="10" a="1"/>
  <c r="T987" i="10" s="1"/>
  <c r="V987" i="10" a="1"/>
  <c r="V987" i="10" s="1"/>
  <c r="V988" i="10" a="1"/>
  <c r="V988" i="10" s="1"/>
  <c r="O988" i="10" a="1"/>
  <c r="O988" i="10" s="1"/>
  <c r="S988" i="10" a="1"/>
  <c r="S988" i="10" s="1"/>
  <c r="U988" i="10"/>
  <c r="R988" i="10" a="1"/>
  <c r="R988" i="10" s="1"/>
  <c r="T988" i="10" a="1"/>
  <c r="T988" i="10" s="1"/>
  <c r="Q988" i="10" a="1"/>
  <c r="Q988" i="10" s="1"/>
  <c r="P988" i="10" a="1"/>
  <c r="P988" i="10" s="1"/>
  <c r="Q989" i="10" a="1"/>
  <c r="Q989" i="10" s="1"/>
  <c r="O989" i="10" a="1"/>
  <c r="O989" i="10" s="1"/>
  <c r="S989" i="10" a="1"/>
  <c r="S989" i="10" s="1"/>
  <c r="U989" i="10"/>
  <c r="V989" i="10" a="1"/>
  <c r="V989" i="10" s="1"/>
  <c r="P989" i="10" a="1"/>
  <c r="P989" i="10" s="1"/>
  <c r="R989" i="10" a="1"/>
  <c r="R989" i="10" s="1"/>
  <c r="T989" i="10" a="1"/>
  <c r="T989" i="10" s="1"/>
  <c r="U990" i="10"/>
  <c r="R990" i="10" a="1"/>
  <c r="R990" i="10" s="1"/>
  <c r="Q990" i="10" a="1"/>
  <c r="Q990" i="10" s="1"/>
  <c r="P990" i="10" a="1"/>
  <c r="P990" i="10" s="1"/>
  <c r="O990" i="10" a="1"/>
  <c r="O990" i="10" s="1"/>
  <c r="V990" i="10" a="1"/>
  <c r="V990" i="10" s="1"/>
  <c r="S990" i="10" a="1"/>
  <c r="S990" i="10" s="1"/>
  <c r="T990" i="10" a="1"/>
  <c r="T990" i="10" s="1"/>
  <c r="S991" i="10" a="1"/>
  <c r="S991" i="10" s="1"/>
  <c r="T991" i="10" a="1"/>
  <c r="T991" i="10" s="1"/>
  <c r="Q991" i="10" a="1"/>
  <c r="Q991" i="10" s="1"/>
  <c r="V991" i="10" a="1"/>
  <c r="V991" i="10" s="1"/>
  <c r="P991" i="10" a="1"/>
  <c r="P991" i="10" s="1"/>
  <c r="R991" i="10" a="1"/>
  <c r="R991" i="10" s="1"/>
  <c r="U991" i="10"/>
  <c r="O991" i="10" a="1"/>
  <c r="O991" i="10" s="1"/>
  <c r="U992" i="10"/>
  <c r="V992" i="10" a="1"/>
  <c r="V992" i="10" s="1"/>
  <c r="R992" i="10" a="1"/>
  <c r="R992" i="10" s="1"/>
  <c r="T992" i="10" a="1"/>
  <c r="T992" i="10" s="1"/>
  <c r="P992" i="10" a="1"/>
  <c r="P992" i="10" s="1"/>
  <c r="Q992" i="10" a="1"/>
  <c r="Q992" i="10" s="1"/>
  <c r="O992" i="10" a="1"/>
  <c r="O992" i="10" s="1"/>
  <c r="S992" i="10" a="1"/>
  <c r="S992" i="10" s="1"/>
  <c r="S993" i="10" a="1"/>
  <c r="S993" i="10" s="1"/>
  <c r="P993" i="10" a="1"/>
  <c r="P993" i="10" s="1"/>
  <c r="Q993" i="10" a="1"/>
  <c r="Q993" i="10" s="1"/>
  <c r="O993" i="10" a="1"/>
  <c r="O993" i="10" s="1"/>
  <c r="R993" i="10" a="1"/>
  <c r="R993" i="10" s="1"/>
  <c r="T993" i="10" a="1"/>
  <c r="T993" i="10" s="1"/>
  <c r="U993" i="10"/>
  <c r="V993" i="10" a="1"/>
  <c r="V993" i="10" s="1"/>
  <c r="S994" i="10" a="1"/>
  <c r="S994" i="10" s="1"/>
  <c r="R994" i="10" a="1"/>
  <c r="R994" i="10" s="1"/>
  <c r="Q994" i="10" a="1"/>
  <c r="Q994" i="10" s="1"/>
  <c r="O994" i="10" a="1"/>
  <c r="O994" i="10" s="1"/>
  <c r="P994" i="10" a="1"/>
  <c r="P994" i="10" s="1"/>
  <c r="T994" i="10" a="1"/>
  <c r="T994" i="10" s="1"/>
  <c r="U994" i="10"/>
  <c r="V994" i="10" a="1"/>
  <c r="V994" i="10" s="1"/>
  <c r="T995" i="10" a="1"/>
  <c r="T995" i="10" s="1"/>
  <c r="O995" i="10" a="1"/>
  <c r="O995" i="10" s="1"/>
  <c r="V995" i="10" a="1"/>
  <c r="V995" i="10" s="1"/>
  <c r="P995" i="10" a="1"/>
  <c r="P995" i="10" s="1"/>
  <c r="R995" i="10" a="1"/>
  <c r="R995" i="10" s="1"/>
  <c r="S995" i="10" a="1"/>
  <c r="S995" i="10" s="1"/>
  <c r="Q995" i="10" a="1"/>
  <c r="Q995" i="10" s="1"/>
  <c r="U995" i="10"/>
  <c r="O996" i="10" a="1"/>
  <c r="O996" i="10" s="1"/>
  <c r="T996" i="10" a="1"/>
  <c r="T996" i="10" s="1"/>
  <c r="R996" i="10" a="1"/>
  <c r="R996" i="10" s="1"/>
  <c r="P996" i="10" a="1"/>
  <c r="P996" i="10" s="1"/>
  <c r="S996" i="10" a="1"/>
  <c r="S996" i="10" s="1"/>
  <c r="Q996" i="10" a="1"/>
  <c r="Q996" i="10" s="1"/>
  <c r="U996" i="10"/>
  <c r="V996" i="10" a="1"/>
  <c r="V996" i="10" s="1"/>
  <c r="S997" i="10" a="1"/>
  <c r="S997" i="10" s="1"/>
  <c r="V997" i="10" a="1"/>
  <c r="V997" i="10" s="1"/>
  <c r="T997" i="10" a="1"/>
  <c r="T997" i="10" s="1"/>
  <c r="O997" i="10" a="1"/>
  <c r="O997" i="10" s="1"/>
  <c r="R997" i="10" a="1"/>
  <c r="R997" i="10" s="1"/>
  <c r="Q997" i="10" a="1"/>
  <c r="Q997" i="10" s="1"/>
  <c r="U997" i="10"/>
  <c r="P997" i="10" a="1"/>
  <c r="P997" i="10" s="1"/>
  <c r="Q998" i="10" a="1"/>
  <c r="Q998" i="10" s="1"/>
  <c r="R998" i="10" a="1"/>
  <c r="R998" i="10" s="1"/>
  <c r="O998" i="10" a="1"/>
  <c r="O998" i="10" s="1"/>
  <c r="P998" i="10" a="1"/>
  <c r="P998" i="10" s="1"/>
  <c r="U998" i="10"/>
  <c r="T998" i="10" a="1"/>
  <c r="T998" i="10" s="1"/>
  <c r="S998" i="10" a="1"/>
  <c r="S998" i="10" s="1"/>
  <c r="V998" i="10" a="1"/>
  <c r="V998" i="10" s="1"/>
  <c r="O999" i="10" a="1"/>
  <c r="O999" i="10" s="1"/>
  <c r="Q999" i="10" a="1"/>
  <c r="Q999" i="10" s="1"/>
  <c r="V999" i="10" a="1"/>
  <c r="V999" i="10" s="1"/>
  <c r="T999" i="10" a="1"/>
  <c r="T999" i="10" s="1"/>
  <c r="U999" i="10"/>
  <c r="P999" i="10" a="1"/>
  <c r="P999" i="10" s="1"/>
  <c r="R999" i="10" a="1"/>
  <c r="R999" i="10" s="1"/>
  <c r="S999" i="10" a="1"/>
  <c r="S999" i="10" s="1"/>
  <c r="R1000" i="10" a="1"/>
  <c r="R1000" i="10" s="1"/>
  <c r="O1000" i="10" a="1"/>
  <c r="O1000" i="10" s="1"/>
  <c r="P1000" i="10" a="1"/>
  <c r="P1000" i="10" s="1"/>
  <c r="U1000" i="10"/>
  <c r="Q1000" i="10" a="1"/>
  <c r="Q1000" i="10" s="1"/>
  <c r="V1000" i="10" a="1"/>
  <c r="V1000" i="10" s="1"/>
  <c r="T1000" i="10" a="1"/>
  <c r="T1000" i="10" s="1"/>
  <c r="S1000" i="10" a="1"/>
  <c r="S1000" i="10" s="1"/>
  <c r="R1001" i="10" a="1"/>
  <c r="R1001" i="10" s="1"/>
  <c r="U1001" i="10"/>
  <c r="T1001" i="10" a="1"/>
  <c r="T1001" i="10" s="1"/>
  <c r="Q1001" i="10" a="1"/>
  <c r="Q1001" i="10" s="1"/>
  <c r="O1001" i="10" a="1"/>
  <c r="O1001" i="10" s="1"/>
  <c r="S1001" i="10" a="1"/>
  <c r="S1001" i="10" s="1"/>
  <c r="P1001" i="10" a="1"/>
  <c r="P1001" i="10" s="1"/>
  <c r="V1001" i="10" a="1"/>
  <c r="V1001" i="10" s="1"/>
  <c r="T1002" i="10" a="1"/>
  <c r="T1002" i="10" s="1"/>
  <c r="O1002" i="10" a="1"/>
  <c r="O1002" i="10" s="1"/>
  <c r="R1002" i="10" a="1"/>
  <c r="R1002" i="10" s="1"/>
  <c r="S1002" i="10" a="1"/>
  <c r="S1002" i="10" s="1"/>
  <c r="V1002" i="10" a="1"/>
  <c r="V1002" i="10" s="1"/>
  <c r="U1002" i="10"/>
  <c r="Q1002" i="10" a="1"/>
  <c r="Q1002" i="10" s="1"/>
  <c r="P1002" i="10" a="1"/>
  <c r="P1002" i="10" s="1"/>
  <c r="R1003" i="10" a="1"/>
  <c r="R1003" i="10" s="1"/>
  <c r="O1003" i="10" a="1"/>
  <c r="O1003" i="10" s="1"/>
  <c r="Q1003" i="10" a="1"/>
  <c r="Q1003" i="10" s="1"/>
  <c r="U1003" i="10"/>
  <c r="V1003" i="10" a="1"/>
  <c r="V1003" i="10" s="1"/>
  <c r="P1003" i="10" a="1"/>
  <c r="P1003" i="10" s="1"/>
  <c r="S1003" i="10" a="1"/>
  <c r="S1003" i="10" s="1"/>
  <c r="T1003" i="10" a="1"/>
  <c r="T1003" i="10" s="1"/>
  <c r="R1004" i="10" a="1"/>
  <c r="R1004" i="10" s="1"/>
  <c r="V1004" i="10" a="1"/>
  <c r="V1004" i="10" s="1"/>
  <c r="S1004" i="10" a="1"/>
  <c r="S1004" i="10" s="1"/>
  <c r="U1004" i="10"/>
  <c r="Q1004" i="10" a="1"/>
  <c r="Q1004" i="10" s="1"/>
  <c r="T1004" i="10" a="1"/>
  <c r="T1004" i="10" s="1"/>
  <c r="O1004" i="10" a="1"/>
  <c r="O1004" i="10" s="1"/>
  <c r="P1004" i="10" a="1"/>
  <c r="P1004" i="10" s="1"/>
  <c r="R1005" i="10" a="1"/>
  <c r="R1005" i="10" s="1"/>
  <c r="S1005" i="10" a="1"/>
  <c r="S1005" i="10" s="1"/>
  <c r="P1005" i="10" a="1"/>
  <c r="P1005" i="10" s="1"/>
  <c r="V1005" i="10" a="1"/>
  <c r="V1005" i="10" s="1"/>
  <c r="U1005" i="10"/>
  <c r="Q1005" i="10" a="1"/>
  <c r="Q1005" i="10" s="1"/>
  <c r="O1005" i="10" a="1"/>
  <c r="O1005" i="10" s="1"/>
  <c r="T1005" i="10" a="1"/>
  <c r="T1005" i="10" s="1"/>
  <c r="Q1006" i="10" a="1"/>
  <c r="Q1006" i="10" s="1"/>
  <c r="S1006" i="10" a="1"/>
  <c r="S1006" i="10" s="1"/>
  <c r="P1006" i="10" a="1"/>
  <c r="P1006" i="10" s="1"/>
  <c r="O1006" i="10" a="1"/>
  <c r="O1006" i="10" s="1"/>
  <c r="V1006" i="10" a="1"/>
  <c r="V1006" i="10" s="1"/>
  <c r="T1006" i="10" a="1"/>
  <c r="T1006" i="10" s="1"/>
  <c r="U1006" i="10"/>
  <c r="R1006" i="10" a="1"/>
  <c r="R1006" i="10" s="1"/>
  <c r="Q1007" i="10" a="1"/>
  <c r="Q1007" i="10" s="1"/>
  <c r="R1007" i="10" a="1"/>
  <c r="R1007" i="10" s="1"/>
  <c r="O1007" i="10" a="1"/>
  <c r="O1007" i="10" s="1"/>
  <c r="P1007" i="10" a="1"/>
  <c r="P1007" i="10" s="1"/>
  <c r="V1007" i="10" a="1"/>
  <c r="V1007" i="10" s="1"/>
  <c r="S1007" i="10" a="1"/>
  <c r="S1007" i="10" s="1"/>
  <c r="U1007" i="10"/>
  <c r="T1007" i="10" a="1"/>
  <c r="T1007" i="10" s="1"/>
  <c r="O1008" i="10" a="1"/>
  <c r="O1008" i="10" s="1"/>
  <c r="R1008" i="10" a="1"/>
  <c r="R1008" i="10" s="1"/>
  <c r="U1008" i="10"/>
  <c r="P1008" i="10" a="1"/>
  <c r="P1008" i="10" s="1"/>
  <c r="V1008" i="10" a="1"/>
  <c r="V1008" i="10" s="1"/>
  <c r="T1008" i="10" a="1"/>
  <c r="T1008" i="10" s="1"/>
  <c r="Q1008" i="10" a="1"/>
  <c r="Q1008" i="10" s="1"/>
  <c r="S1008" i="10" a="1"/>
  <c r="S1008" i="10" s="1"/>
  <c r="V1009" i="10" a="1"/>
  <c r="V1009" i="10" s="1"/>
  <c r="R1009" i="10" a="1"/>
  <c r="R1009" i="10" s="1"/>
  <c r="T1009" i="10" a="1"/>
  <c r="T1009" i="10" s="1"/>
  <c r="S1009" i="10" a="1"/>
  <c r="S1009" i="10" s="1"/>
  <c r="O1009" i="10" a="1"/>
  <c r="O1009" i="10" s="1"/>
  <c r="Q1009" i="10" a="1"/>
  <c r="Q1009" i="10" s="1"/>
  <c r="P1009" i="10" a="1"/>
  <c r="P1009" i="10" s="1"/>
  <c r="U1009" i="10"/>
  <c r="R1010" i="10" a="1"/>
  <c r="R1010" i="10" s="1"/>
  <c r="S1010" i="10" a="1"/>
  <c r="S1010" i="10" s="1"/>
  <c r="U1010" i="10"/>
  <c r="V1010" i="10" a="1"/>
  <c r="V1010" i="10" s="1"/>
  <c r="P1010" i="10" a="1"/>
  <c r="P1010" i="10" s="1"/>
  <c r="O1010" i="10" a="1"/>
  <c r="O1010" i="10" s="1"/>
  <c r="Q1010" i="10" a="1"/>
  <c r="Q1010" i="10" s="1"/>
  <c r="T1010" i="10" a="1"/>
  <c r="T1010" i="10" s="1"/>
  <c r="R1011" i="10" a="1"/>
  <c r="R1011" i="10" s="1"/>
  <c r="S1011" i="10" a="1"/>
  <c r="S1011" i="10" s="1"/>
  <c r="O1011" i="10" a="1"/>
  <c r="O1011" i="10" s="1"/>
  <c r="T1011" i="10" a="1"/>
  <c r="T1011" i="10" s="1"/>
  <c r="V1011" i="10" a="1"/>
  <c r="V1011" i="10" s="1"/>
  <c r="Q1011" i="10" a="1"/>
  <c r="Q1011" i="10" s="1"/>
  <c r="U1011" i="10"/>
  <c r="P1011" i="10" a="1"/>
  <c r="P1011" i="10" s="1"/>
  <c r="V1012" i="10" a="1"/>
  <c r="V1012" i="10" s="1"/>
  <c r="S1012" i="10" a="1"/>
  <c r="S1012" i="10" s="1"/>
  <c r="U1012" i="10"/>
  <c r="P1012" i="10" a="1"/>
  <c r="P1012" i="10" s="1"/>
  <c r="O1012" i="10" a="1"/>
  <c r="O1012" i="10" s="1"/>
  <c r="R1012" i="10" a="1"/>
  <c r="R1012" i="10" s="1"/>
  <c r="T1012" i="10" a="1"/>
  <c r="T1012" i="10" s="1"/>
  <c r="Q1012" i="10" a="1"/>
  <c r="Q1012" i="10" s="1"/>
  <c r="U1013" i="10"/>
  <c r="O1013" i="10" a="1"/>
  <c r="O1013" i="10" s="1"/>
  <c r="P1013" i="10" a="1"/>
  <c r="P1013" i="10" s="1"/>
  <c r="S1013" i="10" a="1"/>
  <c r="S1013" i="10" s="1"/>
  <c r="R1013" i="10" a="1"/>
  <c r="R1013" i="10" s="1"/>
  <c r="T1013" i="10" a="1"/>
  <c r="T1013" i="10" s="1"/>
  <c r="V1013" i="10" a="1"/>
  <c r="V1013" i="10" s="1"/>
  <c r="Q1013" i="10" a="1"/>
  <c r="Q1013" i="10" s="1"/>
  <c r="S1014" i="10" a="1"/>
  <c r="S1014" i="10" s="1"/>
  <c r="R1014" i="10" a="1"/>
  <c r="R1014" i="10" s="1"/>
  <c r="P1014" i="10" a="1"/>
  <c r="P1014" i="10" s="1"/>
  <c r="V1014" i="10" a="1"/>
  <c r="V1014" i="10" s="1"/>
  <c r="U1014" i="10"/>
  <c r="O1014" i="10" a="1"/>
  <c r="O1014" i="10" s="1"/>
  <c r="T1014" i="10" a="1"/>
  <c r="T1014" i="10" s="1"/>
  <c r="Q1014" i="10" a="1"/>
  <c r="Q1014" i="10" s="1"/>
  <c r="R1015" i="10" a="1"/>
  <c r="R1015" i="10" s="1"/>
  <c r="P1015" i="10" a="1"/>
  <c r="P1015" i="10" s="1"/>
  <c r="T1015" i="10" a="1"/>
  <c r="T1015" i="10" s="1"/>
  <c r="Q1015" i="10" a="1"/>
  <c r="Q1015" i="10" s="1"/>
  <c r="V1015" i="10" a="1"/>
  <c r="V1015" i="10" s="1"/>
  <c r="O1015" i="10" a="1"/>
  <c r="O1015" i="10" s="1"/>
  <c r="S1015" i="10" a="1"/>
  <c r="S1015" i="10" s="1"/>
  <c r="U1015" i="10"/>
  <c r="V1016" i="10" a="1"/>
  <c r="V1016" i="10" s="1"/>
  <c r="O1016" i="10" a="1"/>
  <c r="O1016" i="10" s="1"/>
  <c r="S1016" i="10" a="1"/>
  <c r="S1016" i="10" s="1"/>
  <c r="U1016" i="10"/>
  <c r="P1016" i="10" a="1"/>
  <c r="P1016" i="10" s="1"/>
  <c r="Q1016" i="10" a="1"/>
  <c r="Q1016" i="10" s="1"/>
  <c r="R1016" i="10" a="1"/>
  <c r="R1016" i="10" s="1"/>
  <c r="T1016" i="10" a="1"/>
  <c r="T1016" i="10" s="1"/>
  <c r="S1017" i="10" a="1"/>
  <c r="S1017" i="10" s="1"/>
  <c r="V1017" i="10" a="1"/>
  <c r="V1017" i="10" s="1"/>
  <c r="T1017" i="10" a="1"/>
  <c r="T1017" i="10" s="1"/>
  <c r="P1017" i="10" a="1"/>
  <c r="P1017" i="10" s="1"/>
  <c r="Q1017" i="10" a="1"/>
  <c r="Q1017" i="10" s="1"/>
  <c r="O1017" i="10" a="1"/>
  <c r="O1017" i="10" s="1"/>
  <c r="R1017" i="10" a="1"/>
  <c r="R1017" i="10" s="1"/>
  <c r="U1017" i="10"/>
  <c r="V1018" i="10" a="1"/>
  <c r="V1018" i="10" s="1"/>
  <c r="Q1018" i="10" a="1"/>
  <c r="Q1018" i="10" s="1"/>
  <c r="S1018" i="10" a="1"/>
  <c r="S1018" i="10" s="1"/>
  <c r="T1018" i="10" a="1"/>
  <c r="T1018" i="10" s="1"/>
  <c r="O1018" i="10" a="1"/>
  <c r="O1018" i="10" s="1"/>
  <c r="U1018" i="10"/>
  <c r="R1018" i="10" a="1"/>
  <c r="R1018" i="10" s="1"/>
  <c r="P1018" i="10" a="1"/>
  <c r="P1018" i="10" s="1"/>
  <c r="Q1019" i="10" a="1"/>
  <c r="Q1019" i="10" s="1"/>
  <c r="P1019" i="10" a="1"/>
  <c r="P1019" i="10" s="1"/>
  <c r="O1019" i="10" a="1"/>
  <c r="O1019" i="10" s="1"/>
  <c r="V1019" i="10" a="1"/>
  <c r="V1019" i="10" s="1"/>
  <c r="T1019" i="10" a="1"/>
  <c r="T1019" i="10" s="1"/>
  <c r="U1019" i="10"/>
  <c r="R1019" i="10" a="1"/>
  <c r="R1019" i="10" s="1"/>
  <c r="S1019" i="10" a="1"/>
  <c r="S1019" i="10" s="1"/>
  <c r="V1020" i="10" a="1"/>
  <c r="V1020" i="10" s="1"/>
  <c r="R1020" i="10" a="1"/>
  <c r="R1020" i="10" s="1"/>
  <c r="P1020" i="10" a="1"/>
  <c r="P1020" i="10" s="1"/>
  <c r="T1020" i="10" a="1"/>
  <c r="T1020" i="10" s="1"/>
  <c r="Q1020" i="10" a="1"/>
  <c r="Q1020" i="10" s="1"/>
  <c r="O1020" i="10" a="1"/>
  <c r="O1020" i="10" s="1"/>
  <c r="S1020" i="10" a="1"/>
  <c r="S1020" i="10" s="1"/>
  <c r="U1020" i="10"/>
  <c r="T1021" i="10" a="1"/>
  <c r="T1021" i="10" s="1"/>
  <c r="Q1021" i="10" a="1"/>
  <c r="Q1021" i="10" s="1"/>
  <c r="P1021" i="10" a="1"/>
  <c r="P1021" i="10" s="1"/>
  <c r="R1021" i="10" a="1"/>
  <c r="R1021" i="10" s="1"/>
  <c r="V1021" i="10" a="1"/>
  <c r="V1021" i="10" s="1"/>
  <c r="O1021" i="10" a="1"/>
  <c r="O1021" i="10" s="1"/>
  <c r="U1021" i="10"/>
  <c r="S1021" i="10" a="1"/>
  <c r="S1021" i="10" s="1"/>
  <c r="P1022" i="10" a="1"/>
  <c r="P1022" i="10" s="1"/>
  <c r="U1022" i="10"/>
  <c r="V1022" i="10" a="1"/>
  <c r="V1022" i="10" s="1"/>
  <c r="S1022" i="10" a="1"/>
  <c r="S1022" i="10" s="1"/>
  <c r="T1022" i="10" a="1"/>
  <c r="T1022" i="10" s="1"/>
  <c r="Q1022" i="10" a="1"/>
  <c r="Q1022" i="10" s="1"/>
  <c r="O1022" i="10" a="1"/>
  <c r="O1022" i="10" s="1"/>
  <c r="R1022" i="10" a="1"/>
  <c r="R1022" i="10" s="1"/>
  <c r="V1023" i="10" a="1"/>
  <c r="V1023" i="10" s="1"/>
  <c r="S1023" i="10" a="1"/>
  <c r="S1023" i="10" s="1"/>
  <c r="P1023" i="10" a="1"/>
  <c r="P1023" i="10" s="1"/>
  <c r="U1023" i="10"/>
  <c r="O1023" i="10" a="1"/>
  <c r="O1023" i="10" s="1"/>
  <c r="R1023" i="10" a="1"/>
  <c r="R1023" i="10" s="1"/>
  <c r="Q1023" i="10" a="1"/>
  <c r="Q1023" i="10" s="1"/>
  <c r="T1023" i="10" a="1"/>
  <c r="T1023" i="10" s="1"/>
  <c r="V1024" i="10" a="1"/>
  <c r="V1024" i="10" s="1"/>
  <c r="Q1024" i="10" a="1"/>
  <c r="Q1024" i="10" s="1"/>
  <c r="U1024" i="10"/>
  <c r="T1024" i="10" a="1"/>
  <c r="T1024" i="10" s="1"/>
  <c r="S1024" i="10" a="1"/>
  <c r="S1024" i="10" s="1"/>
  <c r="O1024" i="10" a="1"/>
  <c r="O1024" i="10" s="1"/>
  <c r="R1024" i="10" a="1"/>
  <c r="R1024" i="10" s="1"/>
  <c r="P1024" i="10" a="1"/>
  <c r="P1024" i="10" s="1"/>
  <c r="P1025" i="10" a="1"/>
  <c r="P1025" i="10" s="1"/>
  <c r="R1025" i="10" a="1"/>
  <c r="R1025" i="10" s="1"/>
  <c r="T1025" i="10" a="1"/>
  <c r="T1025" i="10" s="1"/>
  <c r="S1025" i="10" a="1"/>
  <c r="S1025" i="10" s="1"/>
  <c r="V1025" i="10" a="1"/>
  <c r="V1025" i="10" s="1"/>
  <c r="U1025" i="10"/>
  <c r="O1025" i="10" a="1"/>
  <c r="O1025" i="10" s="1"/>
  <c r="Q1025" i="10" a="1"/>
  <c r="Q1025" i="10" s="1"/>
  <c r="T1026" i="10" a="1"/>
  <c r="T1026" i="10" s="1"/>
  <c r="V1026" i="10" a="1"/>
  <c r="V1026" i="10" s="1"/>
  <c r="S1026" i="10" a="1"/>
  <c r="S1026" i="10" s="1"/>
  <c r="P1026" i="10" a="1"/>
  <c r="P1026" i="10" s="1"/>
  <c r="Q1026" i="10" a="1"/>
  <c r="Q1026" i="10" s="1"/>
  <c r="O1026" i="10" a="1"/>
  <c r="O1026" i="10" s="1"/>
  <c r="U1026" i="10"/>
  <c r="R1026" i="10" a="1"/>
  <c r="R1026" i="10" s="1"/>
  <c r="V1033" i="10" a="1"/>
  <c r="V1033" i="10" s="1"/>
  <c r="O1033" i="10" a="1"/>
  <c r="O1033" i="10" s="1"/>
  <c r="U1033" i="10"/>
  <c r="T1033" i="10" a="1"/>
  <c r="T1033" i="10" s="1"/>
  <c r="P1033" i="10" a="1"/>
  <c r="P1033" i="10" s="1"/>
  <c r="Q1033" i="10" a="1"/>
  <c r="Q1033" i="10" s="1"/>
  <c r="O1037" i="10" a="1"/>
  <c r="O1037" i="10" s="1"/>
  <c r="U1037" i="10"/>
  <c r="P1037" i="10" a="1"/>
  <c r="P1037" i="10" s="1"/>
  <c r="V1037" i="10" a="1"/>
  <c r="V1037" i="10" s="1"/>
  <c r="T1037" i="10" a="1"/>
  <c r="T1037" i="10" s="1"/>
  <c r="Q1037" i="10" a="1"/>
  <c r="Q1037" i="10" s="1"/>
  <c r="V1041" i="10" a="1"/>
  <c r="V1041" i="10" s="1"/>
  <c r="P1041" i="10" a="1"/>
  <c r="P1041" i="10" s="1"/>
  <c r="U1041" i="10"/>
  <c r="O1041" i="10" a="1"/>
  <c r="O1041" i="10" s="1"/>
  <c r="Q1041" i="10" a="1"/>
  <c r="Q1041" i="10" s="1"/>
  <c r="T1041" i="10" a="1"/>
  <c r="T1041" i="10" s="1"/>
  <c r="T1045" i="10" a="1"/>
  <c r="T1045" i="10" s="1"/>
  <c r="V1045" i="10" a="1"/>
  <c r="V1045" i="10" s="1"/>
  <c r="Q1045" i="10" a="1"/>
  <c r="Q1045" i="10" s="1"/>
  <c r="P1045" i="10" a="1"/>
  <c r="P1045" i="10" s="1"/>
  <c r="U1045" i="10"/>
  <c r="O1045" i="10" a="1"/>
  <c r="O1045" i="10" s="1"/>
  <c r="P1049" i="10" a="1"/>
  <c r="P1049" i="10" s="1"/>
  <c r="U1049" i="10"/>
  <c r="T1049" i="10" a="1"/>
  <c r="T1049" i="10" s="1"/>
  <c r="Q1049" i="10" a="1"/>
  <c r="Q1049" i="10" s="1"/>
  <c r="V1049" i="10" a="1"/>
  <c r="V1049" i="10" s="1"/>
  <c r="O1049" i="10" a="1"/>
  <c r="O1049" i="10" s="1"/>
  <c r="V1053" i="10" a="1"/>
  <c r="V1053" i="10" s="1"/>
  <c r="T1053" i="10" a="1"/>
  <c r="T1053" i="10" s="1"/>
  <c r="Q1053" i="10" a="1"/>
  <c r="Q1053" i="10" s="1"/>
  <c r="P1053" i="10" a="1"/>
  <c r="P1053" i="10" s="1"/>
  <c r="U1053" i="10"/>
  <c r="O1053" i="10" a="1"/>
  <c r="O1053" i="10" s="1"/>
  <c r="P1057" i="10" a="1"/>
  <c r="P1057" i="10" s="1"/>
  <c r="Q1057" i="10" a="1"/>
  <c r="Q1057" i="10" s="1"/>
  <c r="U1057" i="10"/>
  <c r="T1057" i="10" a="1"/>
  <c r="T1057" i="10" s="1"/>
  <c r="O1057" i="10" a="1"/>
  <c r="O1057" i="10" s="1"/>
  <c r="V1057" i="10" a="1"/>
  <c r="V1057" i="10" s="1"/>
  <c r="U1061" i="10"/>
  <c r="Q1061" i="10" a="1"/>
  <c r="Q1061" i="10" s="1"/>
  <c r="T1061" i="10" a="1"/>
  <c r="T1061" i="10" s="1"/>
  <c r="P1061" i="10" a="1"/>
  <c r="P1061" i="10" s="1"/>
  <c r="V1061" i="10" a="1"/>
  <c r="V1061" i="10" s="1"/>
  <c r="O1061" i="10" a="1"/>
  <c r="O1061" i="10" s="1"/>
  <c r="P1065" i="10" a="1"/>
  <c r="P1065" i="10" s="1"/>
  <c r="Q1065" i="10" a="1"/>
  <c r="Q1065" i="10" s="1"/>
  <c r="U1065" i="10"/>
  <c r="T1065" i="10" a="1"/>
  <c r="T1065" i="10" s="1"/>
  <c r="O1065" i="10" a="1"/>
  <c r="O1065" i="10" s="1"/>
  <c r="V1065" i="10" a="1"/>
  <c r="V1065" i="10" s="1"/>
  <c r="P1069" i="10" a="1"/>
  <c r="P1069" i="10" s="1"/>
  <c r="T1069" i="10" a="1"/>
  <c r="T1069" i="10" s="1"/>
  <c r="O1069" i="10" a="1"/>
  <c r="O1069" i="10" s="1"/>
  <c r="V1069" i="10" a="1"/>
  <c r="V1069" i="10" s="1"/>
  <c r="Q1069" i="10" a="1"/>
  <c r="Q1069" i="10" s="1"/>
  <c r="V1073" i="10" a="1"/>
  <c r="V1073" i="10" s="1"/>
  <c r="P1073" i="10" a="1"/>
  <c r="P1073" i="10" s="1"/>
  <c r="T1073" i="10" a="1"/>
  <c r="T1073" i="10" s="1"/>
  <c r="O1073" i="10" a="1"/>
  <c r="O1073" i="10" s="1"/>
  <c r="Q1073" i="10" a="1"/>
  <c r="Q1073" i="10" s="1"/>
  <c r="O1077" i="10" a="1"/>
  <c r="O1077" i="10" s="1"/>
  <c r="P1077" i="10" a="1"/>
  <c r="P1077" i="10" s="1"/>
  <c r="Q1077" i="10" a="1"/>
  <c r="Q1077" i="10" s="1"/>
  <c r="T1077" i="10" a="1"/>
  <c r="T1077" i="10" s="1"/>
  <c r="V1077" i="10" a="1"/>
  <c r="V1077" i="10" s="1"/>
  <c r="Q1081" i="10" a="1"/>
  <c r="Q1081" i="10" s="1"/>
  <c r="V1081" i="10" a="1"/>
  <c r="V1081" i="10" s="1"/>
  <c r="P1081" i="10" a="1"/>
  <c r="P1081" i="10" s="1"/>
  <c r="T1081" i="10" a="1"/>
  <c r="T1081" i="10" s="1"/>
  <c r="O1081" i="10" a="1"/>
  <c r="O1081" i="10" s="1"/>
  <c r="O1085" i="10" a="1"/>
  <c r="O1085" i="10" s="1"/>
  <c r="V1085" i="10" a="1"/>
  <c r="V1085" i="10" s="1"/>
  <c r="P1085" i="10" a="1"/>
  <c r="P1085" i="10" s="1"/>
  <c r="T1085" i="10" a="1"/>
  <c r="T1085" i="10" s="1"/>
  <c r="Q1085" i="10" a="1"/>
  <c r="Q1085" i="10" s="1"/>
  <c r="Q1089" i="10" a="1"/>
  <c r="Q1089" i="10" s="1"/>
  <c r="P1089" i="10" a="1"/>
  <c r="P1089" i="10" s="1"/>
  <c r="V1089" i="10" a="1"/>
  <c r="V1089" i="10" s="1"/>
  <c r="T1089" i="10" a="1"/>
  <c r="T1089" i="10" s="1"/>
  <c r="O1089" i="10" a="1"/>
  <c r="O1089" i="10" s="1"/>
  <c r="Q1093" i="10" a="1"/>
  <c r="Q1093" i="10" s="1"/>
  <c r="V1093" i="10" a="1"/>
  <c r="V1093" i="10" s="1"/>
  <c r="O1093" i="10" a="1"/>
  <c r="O1093" i="10" s="1"/>
  <c r="P1093" i="10" a="1"/>
  <c r="P1093" i="10" s="1"/>
  <c r="T1093" i="10" a="1"/>
  <c r="T1093" i="10" s="1"/>
  <c r="V1097" i="10" a="1"/>
  <c r="V1097" i="10" s="1"/>
  <c r="Q1097" i="10" a="1"/>
  <c r="Q1097" i="10" s="1"/>
  <c r="T1097" i="10" a="1"/>
  <c r="T1097" i="10" s="1"/>
  <c r="P1097" i="10" a="1"/>
  <c r="P1097" i="10" s="1"/>
  <c r="O1097" i="10" a="1"/>
  <c r="O1097" i="10" s="1"/>
  <c r="T1106" i="10" a="1"/>
  <c r="T1106" i="10" s="1"/>
  <c r="Q1106" i="10" a="1"/>
  <c r="Q1106" i="10" s="1"/>
  <c r="V1106" i="10" a="1"/>
  <c r="V1106" i="10" s="1"/>
  <c r="P1106" i="10" a="1"/>
  <c r="P1106" i="10" s="1"/>
  <c r="T1114" i="10" a="1"/>
  <c r="T1114" i="10" s="1"/>
  <c r="Q1114" i="10" a="1"/>
  <c r="Q1114" i="10" s="1"/>
  <c r="V1114" i="10" a="1"/>
  <c r="V1114" i="10" s="1"/>
  <c r="P1114" i="10" a="1"/>
  <c r="P1114" i="10" s="1"/>
  <c r="P1122" i="10" a="1"/>
  <c r="P1122" i="10" s="1"/>
  <c r="T1122" i="10" a="1"/>
  <c r="T1122" i="10" s="1"/>
  <c r="Q1122" i="10" a="1"/>
  <c r="Q1122" i="10" s="1"/>
  <c r="V1122" i="10" a="1"/>
  <c r="V1122" i="10" s="1"/>
  <c r="P1130" i="10" a="1"/>
  <c r="P1130" i="10" s="1"/>
  <c r="T1130" i="10" a="1"/>
  <c r="T1130" i="10" s="1"/>
  <c r="V1130" i="10" a="1"/>
  <c r="V1130" i="10" s="1"/>
  <c r="Q1130" i="10" a="1"/>
  <c r="Q1130" i="10" s="1"/>
  <c r="T1138" i="10" a="1"/>
  <c r="T1138" i="10" s="1"/>
  <c r="Q1138" i="10" a="1"/>
  <c r="Q1138" i="10" s="1"/>
  <c r="V1138" i="10" a="1"/>
  <c r="V1138" i="10" s="1"/>
  <c r="P1138" i="10" a="1"/>
  <c r="P1138" i="10" s="1"/>
  <c r="T1146" i="10" a="1"/>
  <c r="T1146" i="10" s="1"/>
  <c r="Q1146" i="10" a="1"/>
  <c r="Q1146" i="10" s="1"/>
  <c r="V1146" i="10" a="1"/>
  <c r="V1146" i="10" s="1"/>
  <c r="P1146" i="10" a="1"/>
  <c r="P1146" i="10" s="1"/>
  <c r="V1154" i="10" a="1"/>
  <c r="V1154" i="10" s="1"/>
  <c r="T1154" i="10" a="1"/>
  <c r="T1154" i="10" s="1"/>
  <c r="P1154" i="10" a="1"/>
  <c r="P1154" i="10" s="1"/>
  <c r="Q1154" i="10" a="1"/>
  <c r="Q1154" i="10" s="1"/>
  <c r="T1162" i="10" a="1"/>
  <c r="T1162" i="10" s="1"/>
  <c r="Q1162" i="10" a="1"/>
  <c r="Q1162" i="10" s="1"/>
  <c r="V1162" i="10" a="1"/>
  <c r="V1162" i="10" s="1"/>
  <c r="P1162" i="10" a="1"/>
  <c r="P1162" i="10" s="1"/>
  <c r="P1170" i="10" a="1"/>
  <c r="P1170" i="10" s="1"/>
  <c r="T1170" i="10" a="1"/>
  <c r="T1170" i="10" s="1"/>
  <c r="Q1170" i="10" a="1"/>
  <c r="Q1170" i="10" s="1"/>
  <c r="V1170" i="10" a="1"/>
  <c r="V1170" i="10" s="1"/>
  <c r="V1178" i="10" a="1"/>
  <c r="V1178" i="10" s="1"/>
  <c r="P1178" i="10" a="1"/>
  <c r="P1178" i="10" s="1"/>
  <c r="T1178" i="10" a="1"/>
  <c r="T1178" i="10" s="1"/>
  <c r="Q1178" i="10" a="1"/>
  <c r="Q1178" i="10" s="1"/>
  <c r="V1186" i="10" a="1"/>
  <c r="V1186" i="10" s="1"/>
  <c r="T1186" i="10" a="1"/>
  <c r="T1186" i="10" s="1"/>
  <c r="P1186" i="10" a="1"/>
  <c r="P1186" i="10" s="1"/>
  <c r="Q1186" i="10" a="1"/>
  <c r="Q1186" i="10" s="1"/>
  <c r="Q1194" i="10" a="1"/>
  <c r="Q1194" i="10" s="1"/>
  <c r="V1194" i="10" a="1"/>
  <c r="V1194" i="10" s="1"/>
  <c r="P1194" i="10" a="1"/>
  <c r="P1194" i="10" s="1"/>
  <c r="T1194" i="10" a="1"/>
  <c r="T1194" i="10" s="1"/>
  <c r="T1202" i="10" a="1"/>
  <c r="T1202" i="10" s="1"/>
  <c r="Q1202" i="10" a="1"/>
  <c r="Q1202" i="10" s="1"/>
  <c r="V1202" i="10" a="1"/>
  <c r="V1202" i="10" s="1"/>
  <c r="P1202" i="10" a="1"/>
  <c r="P1202" i="10" s="1"/>
  <c r="P1103" i="10" a="1"/>
  <c r="P1103" i="10" s="1"/>
  <c r="V1103" i="10" a="1"/>
  <c r="V1103" i="10" s="1"/>
  <c r="T1103" i="10" a="1"/>
  <c r="T1103" i="10" s="1"/>
  <c r="Q1103" i="10" a="1"/>
  <c r="Q1103" i="10" s="1"/>
  <c r="T1111" i="10" a="1"/>
  <c r="T1111" i="10" s="1"/>
  <c r="V1111" i="10" a="1"/>
  <c r="V1111" i="10" s="1"/>
  <c r="P1111" i="10" a="1"/>
  <c r="P1111" i="10" s="1"/>
  <c r="Q1111" i="10" a="1"/>
  <c r="Q1111" i="10" s="1"/>
  <c r="T1119" i="10" a="1"/>
  <c r="T1119" i="10" s="1"/>
  <c r="P1119" i="10" a="1"/>
  <c r="P1119" i="10" s="1"/>
  <c r="V1119" i="10" a="1"/>
  <c r="V1119" i="10" s="1"/>
  <c r="Q1119" i="10" a="1"/>
  <c r="Q1119" i="10" s="1"/>
  <c r="T1127" i="10" a="1"/>
  <c r="T1127" i="10" s="1"/>
  <c r="V1127" i="10" a="1"/>
  <c r="V1127" i="10" s="1"/>
  <c r="P1127" i="10" a="1"/>
  <c r="P1127" i="10" s="1"/>
  <c r="Q1127" i="10" a="1"/>
  <c r="Q1127" i="10" s="1"/>
  <c r="T1135" i="10" a="1"/>
  <c r="T1135" i="10" s="1"/>
  <c r="P1135" i="10" a="1"/>
  <c r="P1135" i="10" s="1"/>
  <c r="Q1135" i="10" a="1"/>
  <c r="Q1135" i="10" s="1"/>
  <c r="V1135" i="10" a="1"/>
  <c r="V1135" i="10" s="1"/>
  <c r="T1143" i="10" a="1"/>
  <c r="T1143" i="10" s="1"/>
  <c r="P1143" i="10" a="1"/>
  <c r="P1143" i="10" s="1"/>
  <c r="V1143" i="10" a="1"/>
  <c r="V1143" i="10" s="1"/>
  <c r="Q1143" i="10" a="1"/>
  <c r="Q1143" i="10" s="1"/>
  <c r="Q1151" i="10" a="1"/>
  <c r="Q1151" i="10" s="1"/>
  <c r="T1151" i="10" a="1"/>
  <c r="T1151" i="10" s="1"/>
  <c r="P1151" i="10" a="1"/>
  <c r="P1151" i="10" s="1"/>
  <c r="V1151" i="10" a="1"/>
  <c r="V1151" i="10" s="1"/>
  <c r="P1159" i="10" a="1"/>
  <c r="P1159" i="10" s="1"/>
  <c r="V1159" i="10" a="1"/>
  <c r="V1159" i="10" s="1"/>
  <c r="Q1159" i="10" a="1"/>
  <c r="Q1159" i="10" s="1"/>
  <c r="T1159" i="10" a="1"/>
  <c r="T1159" i="10" s="1"/>
  <c r="P1167" i="10" a="1"/>
  <c r="P1167" i="10" s="1"/>
  <c r="Q1167" i="10" a="1"/>
  <c r="Q1167" i="10" s="1"/>
  <c r="T1167" i="10" a="1"/>
  <c r="T1167" i="10" s="1"/>
  <c r="V1167" i="10" a="1"/>
  <c r="V1167" i="10" s="1"/>
  <c r="T1175" i="10" a="1"/>
  <c r="T1175" i="10" s="1"/>
  <c r="V1175" i="10" a="1"/>
  <c r="V1175" i="10" s="1"/>
  <c r="P1175" i="10" a="1"/>
  <c r="P1175" i="10" s="1"/>
  <c r="Q1175" i="10" a="1"/>
  <c r="Q1175" i="10" s="1"/>
  <c r="V1183" i="10" a="1"/>
  <c r="V1183" i="10" s="1"/>
  <c r="Q1183" i="10" a="1"/>
  <c r="Q1183" i="10" s="1"/>
  <c r="P1183" i="10" a="1"/>
  <c r="P1183" i="10" s="1"/>
  <c r="T1183" i="10" a="1"/>
  <c r="T1183" i="10" s="1"/>
  <c r="P1191" i="10" a="1"/>
  <c r="P1191" i="10" s="1"/>
  <c r="Q1191" i="10" a="1"/>
  <c r="Q1191" i="10" s="1"/>
  <c r="T1191" i="10" a="1"/>
  <c r="T1191" i="10" s="1"/>
  <c r="V1191" i="10" a="1"/>
  <c r="V1191" i="10" s="1"/>
  <c r="T1199" i="10" a="1"/>
  <c r="T1199" i="10" s="1"/>
  <c r="Q1199" i="10" a="1"/>
  <c r="Q1199" i="10" s="1"/>
  <c r="P1199" i="10" a="1"/>
  <c r="P1199" i="10" s="1"/>
  <c r="V1199" i="10" a="1"/>
  <c r="V1199" i="10" s="1"/>
  <c r="T1207" i="10" a="1"/>
  <c r="T1207" i="10" s="1"/>
  <c r="P1207" i="10" a="1"/>
  <c r="P1207" i="10" s="1"/>
  <c r="Q1207" i="10" a="1"/>
  <c r="Q1207" i="10" s="1"/>
  <c r="V1207" i="10" a="1"/>
  <c r="V1207" i="10" s="1"/>
  <c r="Q1032" i="10" a="1"/>
  <c r="Q1032" i="10" s="1"/>
  <c r="O1032" i="10" a="1"/>
  <c r="O1032" i="10" s="1"/>
  <c r="V1032" i="10" a="1"/>
  <c r="V1032" i="10" s="1"/>
  <c r="R1032" i="10" a="1"/>
  <c r="R1032" i="10" s="1"/>
  <c r="U1032" i="10"/>
  <c r="T1032" i="10" a="1"/>
  <c r="T1032" i="10" s="1"/>
  <c r="P1032" i="10" a="1"/>
  <c r="P1032" i="10" s="1"/>
  <c r="Q1036" i="10" a="1"/>
  <c r="Q1036" i="10" s="1"/>
  <c r="P1036" i="10" a="1"/>
  <c r="P1036" i="10" s="1"/>
  <c r="U1036" i="10"/>
  <c r="O1036" i="10" a="1"/>
  <c r="O1036" i="10" s="1"/>
  <c r="T1036" i="10" a="1"/>
  <c r="T1036" i="10" s="1"/>
  <c r="V1036" i="10" a="1"/>
  <c r="V1036" i="10" s="1"/>
  <c r="P1040" i="10" a="1"/>
  <c r="P1040" i="10" s="1"/>
  <c r="U1040" i="10"/>
  <c r="O1040" i="10" a="1"/>
  <c r="O1040" i="10" s="1"/>
  <c r="V1040" i="10" a="1"/>
  <c r="V1040" i="10" s="1"/>
  <c r="T1040" i="10" a="1"/>
  <c r="T1040" i="10" s="1"/>
  <c r="Q1040" i="10" a="1"/>
  <c r="Q1040" i="10" s="1"/>
  <c r="T1044" i="10" a="1"/>
  <c r="T1044" i="10" s="1"/>
  <c r="P1044" i="10" a="1"/>
  <c r="P1044" i="10" s="1"/>
  <c r="O1044" i="10" a="1"/>
  <c r="O1044" i="10" s="1"/>
  <c r="Q1044" i="10" a="1"/>
  <c r="Q1044" i="10" s="1"/>
  <c r="U1044" i="10"/>
  <c r="V1044" i="10" a="1"/>
  <c r="V1044" i="10" s="1"/>
  <c r="O1048" i="10" a="1"/>
  <c r="O1048" i="10" s="1"/>
  <c r="T1048" i="10" a="1"/>
  <c r="T1048" i="10" s="1"/>
  <c r="Q1048" i="10" a="1"/>
  <c r="Q1048" i="10" s="1"/>
  <c r="V1048" i="10" a="1"/>
  <c r="V1048" i="10" s="1"/>
  <c r="P1048" i="10" a="1"/>
  <c r="P1048" i="10" s="1"/>
  <c r="U1048" i="10"/>
  <c r="O1052" i="10" a="1"/>
  <c r="O1052" i="10" s="1"/>
  <c r="V1052" i="10" a="1"/>
  <c r="V1052" i="10" s="1"/>
  <c r="P1052" i="10" a="1"/>
  <c r="P1052" i="10" s="1"/>
  <c r="T1052" i="10" a="1"/>
  <c r="T1052" i="10" s="1"/>
  <c r="U1052" i="10"/>
  <c r="Q1052" i="10" a="1"/>
  <c r="Q1052" i="10" s="1"/>
  <c r="V1056" i="10" a="1"/>
  <c r="V1056" i="10" s="1"/>
  <c r="P1056" i="10" a="1"/>
  <c r="P1056" i="10" s="1"/>
  <c r="O1056" i="10" a="1"/>
  <c r="O1056" i="10" s="1"/>
  <c r="T1056" i="10" a="1"/>
  <c r="T1056" i="10" s="1"/>
  <c r="U1056" i="10"/>
  <c r="Q1056" i="10" a="1"/>
  <c r="Q1056" i="10" s="1"/>
  <c r="Q1060" i="10" a="1"/>
  <c r="Q1060" i="10" s="1"/>
  <c r="T1060" i="10" a="1"/>
  <c r="T1060" i="10" s="1"/>
  <c r="U1060" i="10"/>
  <c r="V1060" i="10" a="1"/>
  <c r="V1060" i="10" s="1"/>
  <c r="P1060" i="10" a="1"/>
  <c r="P1060" i="10" s="1"/>
  <c r="O1060" i="10" a="1"/>
  <c r="O1060" i="10" s="1"/>
  <c r="V1064" i="10" a="1"/>
  <c r="V1064" i="10" s="1"/>
  <c r="O1064" i="10" a="1"/>
  <c r="O1064" i="10" s="1"/>
  <c r="P1064" i="10" a="1"/>
  <c r="P1064" i="10" s="1"/>
  <c r="Q1064" i="10" a="1"/>
  <c r="Q1064" i="10" s="1"/>
  <c r="U1064" i="10"/>
  <c r="T1064" i="10" a="1"/>
  <c r="T1064" i="10" s="1"/>
  <c r="O1068" i="10" a="1"/>
  <c r="O1068" i="10" s="1"/>
  <c r="V1068" i="10" a="1"/>
  <c r="V1068" i="10" s="1"/>
  <c r="T1068" i="10" a="1"/>
  <c r="T1068" i="10" s="1"/>
  <c r="Q1068" i="10" a="1"/>
  <c r="Q1068" i="10" s="1"/>
  <c r="P1068" i="10" a="1"/>
  <c r="P1068" i="10" s="1"/>
  <c r="V1072" i="10" a="1"/>
  <c r="V1072" i="10" s="1"/>
  <c r="P1072" i="10" a="1"/>
  <c r="P1072" i="10" s="1"/>
  <c r="O1072" i="10" a="1"/>
  <c r="O1072" i="10" s="1"/>
  <c r="T1072" i="10" a="1"/>
  <c r="T1072" i="10" s="1"/>
  <c r="Q1072" i="10" a="1"/>
  <c r="Q1072" i="10" s="1"/>
  <c r="O1076" i="10" a="1"/>
  <c r="O1076" i="10" s="1"/>
  <c r="P1076" i="10" a="1"/>
  <c r="P1076" i="10" s="1"/>
  <c r="V1076" i="10" a="1"/>
  <c r="V1076" i="10" s="1"/>
  <c r="Q1076" i="10" a="1"/>
  <c r="Q1076" i="10" s="1"/>
  <c r="T1076" i="10" a="1"/>
  <c r="T1076" i="10" s="1"/>
  <c r="Q1080" i="10" a="1"/>
  <c r="Q1080" i="10" s="1"/>
  <c r="P1080" i="10" a="1"/>
  <c r="P1080" i="10" s="1"/>
  <c r="O1080" i="10" a="1"/>
  <c r="O1080" i="10" s="1"/>
  <c r="V1080" i="10" a="1"/>
  <c r="V1080" i="10" s="1"/>
  <c r="T1080" i="10" a="1"/>
  <c r="T1080" i="10" s="1"/>
  <c r="T1084" i="10" a="1"/>
  <c r="T1084" i="10" s="1"/>
  <c r="V1084" i="10" a="1"/>
  <c r="V1084" i="10" s="1"/>
  <c r="P1084" i="10" a="1"/>
  <c r="P1084" i="10" s="1"/>
  <c r="Q1084" i="10" a="1"/>
  <c r="Q1084" i="10" s="1"/>
  <c r="O1084" i="10" a="1"/>
  <c r="O1084" i="10" s="1"/>
  <c r="T1088" i="10" a="1"/>
  <c r="T1088" i="10" s="1"/>
  <c r="V1088" i="10" a="1"/>
  <c r="V1088" i="10" s="1"/>
  <c r="Q1088" i="10" a="1"/>
  <c r="Q1088" i="10" s="1"/>
  <c r="P1088" i="10" a="1"/>
  <c r="P1088" i="10" s="1"/>
  <c r="O1088" i="10" a="1"/>
  <c r="O1088" i="10" s="1"/>
  <c r="P1092" i="10" a="1"/>
  <c r="P1092" i="10" s="1"/>
  <c r="V1092" i="10" a="1"/>
  <c r="V1092" i="10" s="1"/>
  <c r="Q1092" i="10" a="1"/>
  <c r="Q1092" i="10" s="1"/>
  <c r="O1092" i="10" a="1"/>
  <c r="O1092" i="10" s="1"/>
  <c r="T1092" i="10" a="1"/>
  <c r="T1092" i="10" s="1"/>
  <c r="Q1096" i="10" a="1"/>
  <c r="Q1096" i="10" s="1"/>
  <c r="V1096" i="10" a="1"/>
  <c r="V1096" i="10" s="1"/>
  <c r="P1096" i="10" a="1"/>
  <c r="P1096" i="10" s="1"/>
  <c r="O1096" i="10" a="1"/>
  <c r="O1096" i="10" s="1"/>
  <c r="T1096" i="10" a="1"/>
  <c r="T1096" i="10" s="1"/>
  <c r="P1100" i="10" a="1"/>
  <c r="P1100" i="10" s="1"/>
  <c r="T1100" i="10" a="1"/>
  <c r="T1100" i="10" s="1"/>
  <c r="O1100" i="10" a="1"/>
  <c r="O1100" i="10" s="1"/>
  <c r="V1100" i="10" a="1"/>
  <c r="V1100" i="10" s="1"/>
  <c r="Q1100" i="10" a="1"/>
  <c r="Q1100" i="10" s="1"/>
  <c r="V1108" i="10" a="1"/>
  <c r="V1108" i="10" s="1"/>
  <c r="T1108" i="10" a="1"/>
  <c r="T1108" i="10" s="1"/>
  <c r="P1108" i="10" a="1"/>
  <c r="P1108" i="10" s="1"/>
  <c r="Q1108" i="10" a="1"/>
  <c r="Q1108" i="10" s="1"/>
  <c r="V1116" i="10" a="1"/>
  <c r="V1116" i="10" s="1"/>
  <c r="Q1116" i="10" a="1"/>
  <c r="Q1116" i="10" s="1"/>
  <c r="P1116" i="10" a="1"/>
  <c r="P1116" i="10" s="1"/>
  <c r="T1116" i="10" a="1"/>
  <c r="T1116" i="10" s="1"/>
  <c r="V1124" i="10" a="1"/>
  <c r="V1124" i="10" s="1"/>
  <c r="P1124" i="10" a="1"/>
  <c r="P1124" i="10" s="1"/>
  <c r="Q1124" i="10" a="1"/>
  <c r="Q1124" i="10" s="1"/>
  <c r="T1124" i="10" a="1"/>
  <c r="T1124" i="10" s="1"/>
  <c r="V1132" i="10" a="1"/>
  <c r="V1132" i="10" s="1"/>
  <c r="T1132" i="10" a="1"/>
  <c r="T1132" i="10" s="1"/>
  <c r="Q1132" i="10" a="1"/>
  <c r="Q1132" i="10" s="1"/>
  <c r="P1132" i="10" a="1"/>
  <c r="P1132" i="10" s="1"/>
  <c r="P1140" i="10" a="1"/>
  <c r="P1140" i="10" s="1"/>
  <c r="Q1140" i="10" a="1"/>
  <c r="Q1140" i="10" s="1"/>
  <c r="T1140" i="10" a="1"/>
  <c r="T1140" i="10" s="1"/>
  <c r="V1140" i="10" a="1"/>
  <c r="V1140" i="10" s="1"/>
  <c r="V1148" i="10" a="1"/>
  <c r="V1148" i="10" s="1"/>
  <c r="P1148" i="10" a="1"/>
  <c r="P1148" i="10" s="1"/>
  <c r="T1148" i="10" a="1"/>
  <c r="T1148" i="10" s="1"/>
  <c r="Q1148" i="10" a="1"/>
  <c r="Q1148" i="10" s="1"/>
  <c r="Q1156" i="10" a="1"/>
  <c r="Q1156" i="10" s="1"/>
  <c r="P1156" i="10" a="1"/>
  <c r="P1156" i="10" s="1"/>
  <c r="V1156" i="10" a="1"/>
  <c r="V1156" i="10" s="1"/>
  <c r="T1156" i="10" a="1"/>
  <c r="T1156" i="10" s="1"/>
  <c r="P1164" i="10" a="1"/>
  <c r="P1164" i="10" s="1"/>
  <c r="V1164" i="10" a="1"/>
  <c r="V1164" i="10" s="1"/>
  <c r="Q1164" i="10" a="1"/>
  <c r="Q1164" i="10" s="1"/>
  <c r="T1164" i="10" a="1"/>
  <c r="T1164" i="10" s="1"/>
  <c r="P1172" i="10" a="1"/>
  <c r="P1172" i="10" s="1"/>
  <c r="T1172" i="10" a="1"/>
  <c r="T1172" i="10" s="1"/>
  <c r="Q1172" i="10" a="1"/>
  <c r="Q1172" i="10" s="1"/>
  <c r="V1172" i="10" a="1"/>
  <c r="V1172" i="10" s="1"/>
  <c r="V1180" i="10" a="1"/>
  <c r="V1180" i="10" s="1"/>
  <c r="P1180" i="10" a="1"/>
  <c r="P1180" i="10" s="1"/>
  <c r="Q1180" i="10" a="1"/>
  <c r="Q1180" i="10" s="1"/>
  <c r="T1180" i="10" a="1"/>
  <c r="T1180" i="10" s="1"/>
  <c r="T1188" i="10" a="1"/>
  <c r="T1188" i="10" s="1"/>
  <c r="V1188" i="10" a="1"/>
  <c r="V1188" i="10" s="1"/>
  <c r="P1188" i="10" a="1"/>
  <c r="P1188" i="10" s="1"/>
  <c r="Q1188" i="10" a="1"/>
  <c r="Q1188" i="10" s="1"/>
  <c r="T1196" i="10" a="1"/>
  <c r="T1196" i="10" s="1"/>
  <c r="P1196" i="10" a="1"/>
  <c r="P1196" i="10" s="1"/>
  <c r="Q1196" i="10" a="1"/>
  <c r="Q1196" i="10" s="1"/>
  <c r="V1196" i="10" a="1"/>
  <c r="V1196" i="10" s="1"/>
  <c r="V1204" i="10" a="1"/>
  <c r="V1204" i="10" s="1"/>
  <c r="P1204" i="10" a="1"/>
  <c r="P1204" i="10" s="1"/>
  <c r="T1204" i="10" a="1"/>
  <c r="T1204" i="10" s="1"/>
  <c r="Q1204" i="10" a="1"/>
  <c r="Q1204" i="10" s="1"/>
  <c r="F4" i="9"/>
  <c r="F11" i="8" s="1" a="1"/>
  <c r="F11" i="8" s="1"/>
  <c r="F20" i="8" s="1"/>
  <c r="F23" i="8" s="1"/>
  <c r="F5" i="9"/>
  <c r="G4" i="9" s="1"/>
  <c r="H4" i="9" s="1"/>
  <c r="F7" i="9"/>
  <c r="G7" i="9"/>
  <c r="H7" i="9" s="1"/>
  <c r="G6" i="9"/>
  <c r="H6" i="9" s="1"/>
  <c r="F6" i="9"/>
  <c r="A676" i="13" l="1" a="1"/>
  <c r="A677" i="13"/>
  <c r="U9" i="10"/>
  <c r="U18" i="10"/>
  <c r="U6" i="10"/>
  <c r="U22" i="10"/>
  <c r="U13" i="10"/>
  <c r="U39" i="10" s="1"/>
  <c r="U19" i="10"/>
  <c r="U15" i="10"/>
  <c r="U23" i="10"/>
  <c r="Y4" i="10"/>
  <c r="U20" i="10" s="1"/>
  <c r="AB10" i="10"/>
  <c r="U10" i="10" s="1"/>
  <c r="U44" i="10" s="1"/>
  <c r="U16" i="10" s="1"/>
  <c r="U14" i="10" s="1"/>
  <c r="U37" i="10" s="1"/>
  <c r="U41" i="10" s="1"/>
  <c r="U38" i="10" s="1"/>
  <c r="U33" i="10" s="1"/>
  <c r="U31" i="10" s="1"/>
  <c r="U29" i="10" s="1"/>
  <c r="U21" i="10" s="1"/>
  <c r="U8" i="10" s="1"/>
  <c r="AB9" i="10"/>
  <c r="M4" i="9"/>
  <c r="M7" i="9"/>
  <c r="M8" i="9"/>
  <c r="M6" i="9"/>
  <c r="M3" i="9"/>
  <c r="M5" i="9"/>
  <c r="L2" i="9"/>
  <c r="M2" i="9" s="1"/>
  <c r="N2" i="9" s="1" a="1"/>
  <c r="N2" i="9" s="1"/>
  <c r="Y3" i="10"/>
  <c r="Y11" i="10" a="1"/>
  <c r="Y11" i="10" s="1"/>
  <c r="AB3" i="10"/>
  <c r="AB4" i="10" a="1"/>
  <c r="AB4" i="10" s="1"/>
  <c r="F21" i="8"/>
  <c r="A675" i="13" l="1" a="1"/>
  <c r="A676" i="13"/>
  <c r="Y10" i="10"/>
  <c r="Y5" i="10"/>
  <c r="Y6" i="10" s="1"/>
  <c r="A674" i="13" l="1" a="1"/>
  <c r="A675" i="13"/>
  <c r="A673" i="13" l="1" a="1"/>
  <c r="A674" i="13"/>
  <c r="A672" i="13" l="1" a="1"/>
  <c r="A673" i="13"/>
  <c r="A671" i="13" l="1" a="1"/>
  <c r="A672" i="13"/>
  <c r="A670" i="13" l="1" a="1"/>
  <c r="A671" i="13"/>
  <c r="A669" i="13" l="1" a="1"/>
  <c r="A670" i="13"/>
  <c r="A668" i="13" l="1" a="1"/>
  <c r="A669" i="13"/>
  <c r="A667" i="13" l="1" a="1"/>
  <c r="A668" i="13"/>
  <c r="A666" i="13" l="1" a="1"/>
  <c r="A667" i="13"/>
  <c r="A665" i="13" l="1" a="1"/>
  <c r="A666" i="13"/>
  <c r="A664" i="13" l="1" a="1"/>
  <c r="A665" i="13"/>
  <c r="A663" i="13" l="1" a="1"/>
  <c r="A664" i="13"/>
  <c r="A662" i="13" l="1" a="1"/>
  <c r="A663" i="13"/>
  <c r="A661" i="13" l="1" a="1"/>
  <c r="A662" i="13"/>
  <c r="A660" i="13" l="1" a="1"/>
  <c r="A661" i="13"/>
  <c r="A659" i="13" l="1" a="1"/>
  <c r="A660" i="13"/>
  <c r="A658" i="13" l="1" a="1"/>
  <c r="A659" i="13"/>
  <c r="A657" i="13" l="1" a="1"/>
  <c r="A658" i="13"/>
  <c r="A656" i="13" l="1" a="1"/>
  <c r="A657" i="13"/>
  <c r="A655" i="13" l="1" a="1"/>
  <c r="A656" i="13"/>
  <c r="A654" i="13" l="1" a="1"/>
  <c r="A655" i="13"/>
  <c r="A653" i="13" l="1" a="1"/>
  <c r="A654" i="13"/>
  <c r="A652" i="13" l="1" a="1"/>
  <c r="A653" i="13"/>
  <c r="A651" i="13" l="1" a="1"/>
  <c r="A652" i="13"/>
  <c r="A650" i="13" l="1" a="1"/>
  <c r="A651" i="13"/>
  <c r="A649" i="13" l="1" a="1"/>
  <c r="A650" i="13"/>
  <c r="A648" i="13" l="1" a="1"/>
  <c r="A649" i="13"/>
  <c r="A647" i="13" l="1" a="1"/>
  <c r="A648" i="13"/>
  <c r="A646" i="13" l="1" a="1"/>
  <c r="A647" i="13"/>
  <c r="A645" i="13" l="1" a="1"/>
  <c r="A646" i="13"/>
  <c r="A644" i="13" l="1" a="1"/>
  <c r="A645" i="13"/>
  <c r="A643" i="13" l="1" a="1"/>
  <c r="A644" i="13"/>
  <c r="A642" i="13" l="1" a="1"/>
  <c r="A643" i="13"/>
  <c r="A641" i="13" l="1" a="1"/>
  <c r="A642" i="13"/>
  <c r="A640" i="13" l="1" a="1"/>
  <c r="A641" i="13"/>
  <c r="A639" i="13" l="1" a="1"/>
  <c r="A640" i="13"/>
  <c r="A638" i="13" l="1" a="1"/>
  <c r="A639" i="13"/>
  <c r="A637" i="13" l="1" a="1"/>
  <c r="A638" i="13"/>
  <c r="A636" i="13" l="1" a="1"/>
  <c r="A637" i="13"/>
  <c r="A635" i="13" l="1" a="1"/>
  <c r="A636" i="13"/>
  <c r="A634" i="13" l="1" a="1"/>
  <c r="A635" i="13"/>
  <c r="A633" i="13" l="1" a="1"/>
  <c r="A634" i="13"/>
  <c r="A632" i="13" l="1" a="1"/>
  <c r="A633" i="13"/>
  <c r="B7" i="12" l="1"/>
  <c r="T47" i="3" s="1"/>
  <c r="T46" i="3" s="1"/>
  <c r="T45" i="3" s="1"/>
  <c r="T41" i="3" s="1"/>
  <c r="T20" i="3" s="1"/>
  <c r="T6" i="3" s="1"/>
  <c r="E15" i="9" s="1"/>
  <c r="A632" i="13"/>
  <c r="K5" i="8" l="1"/>
  <c r="J5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<sst xmlns="http://schemas.openxmlformats.org/spreadsheetml/2006/main" count="3585" uniqueCount="801">
  <si>
    <t>KM REALES HECHOS POR FURGONETA</t>
  </si>
  <si>
    <t>Fecha</t>
  </si>
  <si>
    <t>Contrato</t>
  </si>
  <si>
    <t>Vehículo</t>
  </si>
  <si>
    <t>Conductor</t>
  </si>
  <si>
    <t>Personal adicional</t>
  </si>
  <si>
    <t>Km reales</t>
  </si>
  <si>
    <t>Horas</t>
  </si>
  <si>
    <t>Año</t>
  </si>
  <si>
    <t>Mes</t>
  </si>
  <si>
    <t>Día</t>
  </si>
  <si>
    <t>Obs.</t>
  </si>
  <si>
    <t>Ruta fija Ilunion tarde</t>
  </si>
  <si>
    <t>Vehículo 01</t>
  </si>
  <si>
    <t>Conductor 01</t>
  </si>
  <si>
    <t>Ruta extras mañana</t>
  </si>
  <si>
    <t>Ruta Guadalajara mañana</t>
  </si>
  <si>
    <t>Administrador</t>
  </si>
  <si>
    <t>Desplazamiento necesario</t>
  </si>
  <si>
    <t>Me llevo la furgo a casa</t>
  </si>
  <si>
    <t>No hago vuelta a Guada</t>
  </si>
  <si>
    <t>Me trae furgo a casa</t>
  </si>
  <si>
    <t>Prueba mecánica</t>
  </si>
  <si>
    <t>Conductor 02</t>
  </si>
  <si>
    <t>Servicio extraordinario Ilunion</t>
  </si>
  <si>
    <t>INCENDIO SM</t>
  </si>
  <si>
    <t>Entrega urgente</t>
  </si>
  <si>
    <t>ENTREGA A BEXT VALLECAS</t>
  </si>
  <si>
    <t>Conductor 03</t>
  </si>
  <si>
    <t>SERV: -35 (SANSE A BOADILLA)</t>
  </si>
  <si>
    <t>VF1JZ14A647273724</t>
  </si>
  <si>
    <t>Operativa puntuales Madrid</t>
  </si>
  <si>
    <t>ID Servicio</t>
  </si>
  <si>
    <t>Cliente</t>
  </si>
  <si>
    <t>Cliente final</t>
  </si>
  <si>
    <t>Origen</t>
  </si>
  <si>
    <t>Destino</t>
  </si>
  <si>
    <t>Km servicio</t>
  </si>
  <si>
    <t>Imp. suplemento (€)</t>
  </si>
  <si>
    <t>Tipo suplemento</t>
  </si>
  <si>
    <t>Base imponible (€)</t>
  </si>
  <si>
    <t>Estado</t>
  </si>
  <si>
    <t>Trimestre</t>
  </si>
  <si>
    <t>ID Factura</t>
  </si>
  <si>
    <t>Observaciones</t>
  </si>
  <si>
    <t>S000135</t>
  </si>
  <si>
    <t>Cliente 01</t>
  </si>
  <si>
    <t>Ilunion</t>
  </si>
  <si>
    <t>Boadilla (Base Ilunion)</t>
  </si>
  <si>
    <t>Pendiente</t>
  </si>
  <si>
    <t>S000134</t>
  </si>
  <si>
    <t>S000133</t>
  </si>
  <si>
    <t>4 Puntos, 160e</t>
  </si>
  <si>
    <t>S000132</t>
  </si>
  <si>
    <t>Guadalajara (Base Ilunion)</t>
  </si>
  <si>
    <t>NO HACE NADA, SE LLEVARON SUS CARROS, IDA Y VUELTA A TALLER</t>
  </si>
  <si>
    <t>S000131</t>
  </si>
  <si>
    <t>S000130</t>
  </si>
  <si>
    <t>3 puntos, 120e</t>
  </si>
  <si>
    <t>S000129</t>
  </si>
  <si>
    <t>Hotel Hyatt Regency Residences</t>
  </si>
  <si>
    <t>Solo entrega limpios</t>
  </si>
  <si>
    <t>S000128</t>
  </si>
  <si>
    <t>FE000003</t>
  </si>
  <si>
    <t>S000127</t>
  </si>
  <si>
    <t>S000126</t>
  </si>
  <si>
    <t>S000125</t>
  </si>
  <si>
    <t>S000124</t>
  </si>
  <si>
    <t>Retraso en planta, 2h de espera de Julio para 2 viaje</t>
  </si>
  <si>
    <t>S000123</t>
  </si>
  <si>
    <t>Cliente final 01</t>
  </si>
  <si>
    <t>Recogida sucio en el centro, llevo a Base, llevo limpio a centro, Boadilla y vuelta</t>
  </si>
  <si>
    <t>S000122</t>
  </si>
  <si>
    <t>S000121</t>
  </si>
  <si>
    <t>S000120</t>
  </si>
  <si>
    <t>S000119</t>
  </si>
  <si>
    <t>S000118</t>
  </si>
  <si>
    <t>S000117</t>
  </si>
  <si>
    <t>S000116</t>
  </si>
  <si>
    <t>S000115</t>
  </si>
  <si>
    <t>S000114</t>
  </si>
  <si>
    <t>S000113</t>
  </si>
  <si>
    <t>Punto extra</t>
  </si>
  <si>
    <t>Se pasa por Getafe para recoger sucio, punto extra 40€</t>
  </si>
  <si>
    <t>S000112</t>
  </si>
  <si>
    <t>S000111</t>
  </si>
  <si>
    <t>Fuencarrales, 1 viaje</t>
  </si>
  <si>
    <t>S000110</t>
  </si>
  <si>
    <t>S000109</t>
  </si>
  <si>
    <t>S000108</t>
  </si>
  <si>
    <t>S000107</t>
  </si>
  <si>
    <t>S000106</t>
  </si>
  <si>
    <t>S000105</t>
  </si>
  <si>
    <t>S000104</t>
  </si>
  <si>
    <t>No hago vuelta a Guadalajara, solo entrego limpios y me voy a Boadilla</t>
  </si>
  <si>
    <t>S000103</t>
  </si>
  <si>
    <t>S000102</t>
  </si>
  <si>
    <t>Solo hago 1 punto, Santos Praga.</t>
  </si>
  <si>
    <t>S000101</t>
  </si>
  <si>
    <t>S000100</t>
  </si>
  <si>
    <t>S000099</t>
  </si>
  <si>
    <t>S000098</t>
  </si>
  <si>
    <t>S000097</t>
  </si>
  <si>
    <t>S000096</t>
  </si>
  <si>
    <t>S000095</t>
  </si>
  <si>
    <t>S000094</t>
  </si>
  <si>
    <t>S000093</t>
  </si>
  <si>
    <t>S000092</t>
  </si>
  <si>
    <t>S000091</t>
  </si>
  <si>
    <t>S000090</t>
  </si>
  <si>
    <t>S000089</t>
  </si>
  <si>
    <t>120e, 3 puntos</t>
  </si>
  <si>
    <t>S000088</t>
  </si>
  <si>
    <t>S000087</t>
  </si>
  <si>
    <t>Se facturan solo 120€, 3 puntos.</t>
  </si>
  <si>
    <t>S000086</t>
  </si>
  <si>
    <t>S000085</t>
  </si>
  <si>
    <t>S000084</t>
  </si>
  <si>
    <t>SE FACTURA SOLO MEDIA RUTA (160/2)</t>
  </si>
  <si>
    <t>S000083</t>
  </si>
  <si>
    <t>S000082</t>
  </si>
  <si>
    <t>S000081</t>
  </si>
  <si>
    <t>Facturado</t>
  </si>
  <si>
    <t>FE000002</t>
  </si>
  <si>
    <t>S000080</t>
  </si>
  <si>
    <t>S000079</t>
  </si>
  <si>
    <t>S000078</t>
  </si>
  <si>
    <t>S000076</t>
  </si>
  <si>
    <t>S000075</t>
  </si>
  <si>
    <t>S000074</t>
  </si>
  <si>
    <t>S000073</t>
  </si>
  <si>
    <t>1H de espera para cargar, llego 9 a base y a las 10 salgo.</t>
  </si>
  <si>
    <t>S000072</t>
  </si>
  <si>
    <t>S000071</t>
  </si>
  <si>
    <t>S000070</t>
  </si>
  <si>
    <t>S000069</t>
  </si>
  <si>
    <t>DIA INCENDIO DE S.M , JULIO ESTUVO PRÁCTICAMENTE 24H</t>
  </si>
  <si>
    <t>S000068</t>
  </si>
  <si>
    <t>S000067</t>
  </si>
  <si>
    <t>S000066</t>
  </si>
  <si>
    <t>S000064</t>
  </si>
  <si>
    <t>S000063</t>
  </si>
  <si>
    <t>S000062</t>
  </si>
  <si>
    <t>S000061</t>
  </si>
  <si>
    <t>S000060</t>
  </si>
  <si>
    <t>S000059</t>
  </si>
  <si>
    <t>Hora extra</t>
  </si>
  <si>
    <t>SE FACTURA HORA Y MEDIA EXTRA</t>
  </si>
  <si>
    <t>S000058</t>
  </si>
  <si>
    <t>S000057</t>
  </si>
  <si>
    <t>S000056</t>
  </si>
  <si>
    <t>S000055</t>
  </si>
  <si>
    <t>S000054</t>
  </si>
  <si>
    <t>S000053</t>
  </si>
  <si>
    <t>S000052</t>
  </si>
  <si>
    <t>Se facturan 2 puntos extra (no sé porqué)</t>
  </si>
  <si>
    <t>S000051</t>
  </si>
  <si>
    <t>Otro</t>
  </si>
  <si>
    <t>Se factura 2 entregas extra (30+30) y 1h extra. (25)</t>
  </si>
  <si>
    <t>S000050</t>
  </si>
  <si>
    <t>S000049</t>
  </si>
  <si>
    <t>ENTREGA URGENTE A HOTEL BEXT VALLECAS TRULIVING</t>
  </si>
  <si>
    <t>S000047</t>
  </si>
  <si>
    <t>S000046</t>
  </si>
  <si>
    <t>S000045</t>
  </si>
  <si>
    <t>S000044</t>
  </si>
  <si>
    <t>S000043</t>
  </si>
  <si>
    <t>S000042</t>
  </si>
  <si>
    <t>S000041</t>
  </si>
  <si>
    <t>S000040</t>
  </si>
  <si>
    <t>S000039</t>
  </si>
  <si>
    <t>S000038</t>
  </si>
  <si>
    <t>S000037</t>
  </si>
  <si>
    <t>S000036</t>
  </si>
  <si>
    <t>4 puntos de entrega</t>
  </si>
  <si>
    <t>S000035</t>
  </si>
  <si>
    <t>S000034</t>
  </si>
  <si>
    <t>S000033</t>
  </si>
  <si>
    <t>S000032</t>
  </si>
  <si>
    <t>Fuenlabrada (Base Ilunion)</t>
  </si>
  <si>
    <t>Residencia Vista Alegre</t>
  </si>
  <si>
    <t>S000031</t>
  </si>
  <si>
    <t>S000030</t>
  </si>
  <si>
    <t>OJO, LE HACEN HACER 2 RUTAS, OSEA LE DAN 9 SITIOS</t>
  </si>
  <si>
    <t>S000029</t>
  </si>
  <si>
    <t>S000028</t>
  </si>
  <si>
    <t>S000027</t>
  </si>
  <si>
    <t>Julio no ha hecho absolutamente nada, no han salido pedidos.</t>
  </si>
  <si>
    <t>S000026</t>
  </si>
  <si>
    <t>Ruta de 3 puntos, Vista Alegre, Parla y Getafe</t>
  </si>
  <si>
    <t>S000025</t>
  </si>
  <si>
    <t>FE000001</t>
  </si>
  <si>
    <t>S000024</t>
  </si>
  <si>
    <t>S000023</t>
  </si>
  <si>
    <t>Solo KM reales de Boadilla a Sanse</t>
  </si>
  <si>
    <t>S000022</t>
  </si>
  <si>
    <t>Primer dia Gonzalo ruta extras mañana (35€ entrega extra facturado)</t>
  </si>
  <si>
    <t>S000021</t>
  </si>
  <si>
    <t>Acompaña Migue</t>
  </si>
  <si>
    <t>S000020</t>
  </si>
  <si>
    <t>No se entregan Micampus I y II Getafe</t>
  </si>
  <si>
    <t>S000019</t>
  </si>
  <si>
    <t>S000018</t>
  </si>
  <si>
    <t>KM REALES SOLO CONTAR DE SANSE A BOADILLA</t>
  </si>
  <si>
    <t>S000017</t>
  </si>
  <si>
    <t>S000016</t>
  </si>
  <si>
    <t>S000015</t>
  </si>
  <si>
    <t>3h de espera Carga</t>
  </si>
  <si>
    <t>S000014</t>
  </si>
  <si>
    <t>Rotura de manguito turbo</t>
  </si>
  <si>
    <t>S000013</t>
  </si>
  <si>
    <t>Xiaomi</t>
  </si>
  <si>
    <t>EDA Pinto</t>
  </si>
  <si>
    <t>Tienda Xiaomi C.C La Gavia</t>
  </si>
  <si>
    <t>S000012</t>
  </si>
  <si>
    <t>S000011</t>
  </si>
  <si>
    <t>S000010</t>
  </si>
  <si>
    <t>S000009</t>
  </si>
  <si>
    <t>TNT San Fernando</t>
  </si>
  <si>
    <t>Bodas El Mirador de Cuatro Vientos</t>
  </si>
  <si>
    <t>S000008</t>
  </si>
  <si>
    <t>Kuehne and Nagels S.A</t>
  </si>
  <si>
    <t>Airbus Crisa - Tres Cantos</t>
  </si>
  <si>
    <t>Kuehne and Nagels S.A - Mejorada del Campo</t>
  </si>
  <si>
    <t>S000007</t>
  </si>
  <si>
    <t>Cargored</t>
  </si>
  <si>
    <t>Cargored - C/Foxtrot S/N Nave 7, 28042</t>
  </si>
  <si>
    <t>S000006</t>
  </si>
  <si>
    <t>Medtronic</t>
  </si>
  <si>
    <t>Hospital Ramón y Cajal - M-607</t>
  </si>
  <si>
    <t>Almacén Medtronic Alcalá</t>
  </si>
  <si>
    <t>S000005</t>
  </si>
  <si>
    <t>Vodafone España</t>
  </si>
  <si>
    <t>Axians - Torres de la Alameda</t>
  </si>
  <si>
    <t>Vodafone España - C/Basauri 11</t>
  </si>
  <si>
    <t>Extrarradio</t>
  </si>
  <si>
    <t>S000004</t>
  </si>
  <si>
    <t>Decathlon</t>
  </si>
  <si>
    <t>Decathlon Logística - Getafe</t>
  </si>
  <si>
    <t>Decathlon City Embajadores</t>
  </si>
  <si>
    <t>S000003</t>
  </si>
  <si>
    <t>Vallecas (Base Ilunion)</t>
  </si>
  <si>
    <t>S000002</t>
  </si>
  <si>
    <t>Axians</t>
  </si>
  <si>
    <t>Aeropuerto Barajas T2 Salidas</t>
  </si>
  <si>
    <t>S000001</t>
  </si>
  <si>
    <t>LOGISTICA CANDY CAR</t>
  </si>
  <si>
    <t>Septiembre</t>
  </si>
  <si>
    <t>Vehiculo</t>
  </si>
  <si>
    <t>Tipo</t>
  </si>
  <si>
    <t>Situación</t>
  </si>
  <si>
    <t>Falta</t>
  </si>
  <si>
    <t>Cambio aceite</t>
  </si>
  <si>
    <t>Márgen operativo</t>
  </si>
  <si>
    <t>ITV</t>
  </si>
  <si>
    <t>Facturación</t>
  </si>
  <si>
    <t>Combustible</t>
  </si>
  <si>
    <t>Coste personal</t>
  </si>
  <si>
    <t>Margen Bruto</t>
  </si>
  <si>
    <t>Seguro</t>
  </si>
  <si>
    <t>Gastos de explotación</t>
  </si>
  <si>
    <t>Composición de la facturación</t>
  </si>
  <si>
    <t>UTILIZACIÓN DEL VEHÍCULO</t>
  </si>
  <si>
    <t>Km vacío</t>
  </si>
  <si>
    <t>% Km vacío</t>
  </si>
  <si>
    <t>% Km facturados</t>
  </si>
  <si>
    <t>Coste comb. Km vacío</t>
  </si>
  <si>
    <t>⛽ DATOS COMBUSTIBLE</t>
  </si>
  <si>
    <t>Litros rep.</t>
  </si>
  <si>
    <t>Precio medio (€/L)</t>
  </si>
  <si>
    <t>Cons. Medio (L/100km)</t>
  </si>
  <si>
    <t>Coste comb.</t>
  </si>
  <si>
    <t>Coste comb./km</t>
  </si>
  <si>
    <t>Total suplementos</t>
  </si>
  <si>
    <t>Facturación base</t>
  </si>
  <si>
    <t>Facturación total</t>
  </si>
  <si>
    <t>% Suplementos sobre facturación</t>
  </si>
  <si>
    <t>Total gastos explotacion</t>
  </si>
  <si>
    <t>Resultado de explotacion</t>
  </si>
  <si>
    <t>Análisis por contrato (USO DE TASAS ESTÁNDAR)</t>
  </si>
  <si>
    <t>Facturacion</t>
  </si>
  <si>
    <t>Coste combustible</t>
  </si>
  <si>
    <t>Resultado diario</t>
  </si>
  <si>
    <t>ID Serv.</t>
  </si>
  <si>
    <t>Resultado por serv.</t>
  </si>
  <si>
    <t>SIMULADOR ESCENARIOS</t>
  </si>
  <si>
    <t>Nombre mes</t>
  </si>
  <si>
    <t>Precio medio combustible</t>
  </si>
  <si>
    <t>Litros repostados</t>
  </si>
  <si>
    <t>Gasto combustible</t>
  </si>
  <si>
    <t>€/km</t>
  </si>
  <si>
    <t>Eficiencia</t>
  </si>
  <si>
    <t>Margen operativo (estimado)</t>
  </si>
  <si>
    <t>Coste comb. Vacío</t>
  </si>
  <si>
    <t>Coste comb. Serv.</t>
  </si>
  <si>
    <t>Km totales</t>
  </si>
  <si>
    <t>Coste comb. Total</t>
  </si>
  <si>
    <t>% km en vacio</t>
  </si>
  <si>
    <t>Coste conductor</t>
  </si>
  <si>
    <t>Margen para empresa</t>
  </si>
  <si>
    <t>⛽ COSTE COMBUSTIBLE</t>
  </si>
  <si>
    <t>⛽ CONSUMO MEDIO VEHÍCULOS</t>
  </si>
  <si>
    <t>Km recorridos</t>
  </si>
  <si>
    <t>Consumo medio (L/100km)</t>
  </si>
  <si>
    <t>Última vez</t>
  </si>
  <si>
    <t>Próxima vez</t>
  </si>
  <si>
    <t>Faltan para próx.</t>
  </si>
  <si>
    <t>Cambio de aceite</t>
  </si>
  <si>
    <t>Distribución (Cadena/Correa)</t>
  </si>
  <si>
    <t>ID Repostaje</t>
  </si>
  <si>
    <t>Gasolinera</t>
  </si>
  <si>
    <t>Tipo de combustible</t>
  </si>
  <si>
    <t>Precio/Litro(€)</t>
  </si>
  <si>
    <t>% IVA</t>
  </si>
  <si>
    <t>IVA (€)</t>
  </si>
  <si>
    <t>Importe total (€)</t>
  </si>
  <si>
    <t>Km Odómetro</t>
  </si>
  <si>
    <t>Método pago</t>
  </si>
  <si>
    <t>índice</t>
  </si>
  <si>
    <t>Km desde ult. Repostaje</t>
  </si>
  <si>
    <t>Consumo (L/100 km)</t>
  </si>
  <si>
    <t>R000044</t>
  </si>
  <si>
    <t>Ballenoil</t>
  </si>
  <si>
    <t>Gasoil</t>
  </si>
  <si>
    <t>DNI &amp; Go</t>
  </si>
  <si>
    <t>Pendiente factura</t>
  </si>
  <si>
    <t>R000043</t>
  </si>
  <si>
    <t>Alcampo</t>
  </si>
  <si>
    <t>Tarjeta empresa</t>
  </si>
  <si>
    <t>R000042</t>
  </si>
  <si>
    <t>R000041</t>
  </si>
  <si>
    <t>R000040</t>
  </si>
  <si>
    <t>R000039</t>
  </si>
  <si>
    <t>R000038</t>
  </si>
  <si>
    <t>Vehículo 02</t>
  </si>
  <si>
    <t>Factura a fin mes</t>
  </si>
  <si>
    <t>R000037</t>
  </si>
  <si>
    <t>R000036</t>
  </si>
  <si>
    <t>R000035</t>
  </si>
  <si>
    <t>R000034</t>
  </si>
  <si>
    <t>R000033</t>
  </si>
  <si>
    <t>R000032</t>
  </si>
  <si>
    <t>R000031</t>
  </si>
  <si>
    <t>R000030</t>
  </si>
  <si>
    <t>R000029</t>
  </si>
  <si>
    <t>R000028</t>
  </si>
  <si>
    <t>R000027</t>
  </si>
  <si>
    <t>R000026</t>
  </si>
  <si>
    <t>R000025</t>
  </si>
  <si>
    <t>Plenoil</t>
  </si>
  <si>
    <t>R000024</t>
  </si>
  <si>
    <t>R000023</t>
  </si>
  <si>
    <t>R000022</t>
  </si>
  <si>
    <t>R000021</t>
  </si>
  <si>
    <t>R000020</t>
  </si>
  <si>
    <t>R000019</t>
  </si>
  <si>
    <t>R000018</t>
  </si>
  <si>
    <t>R000017</t>
  </si>
  <si>
    <t>R000016</t>
  </si>
  <si>
    <t>R000015</t>
  </si>
  <si>
    <t>R000014</t>
  </si>
  <si>
    <t>R000013</t>
  </si>
  <si>
    <t>R000012</t>
  </si>
  <si>
    <t>R000011</t>
  </si>
  <si>
    <t>R000010</t>
  </si>
  <si>
    <t>R000009</t>
  </si>
  <si>
    <t>R000008</t>
  </si>
  <si>
    <t>R000007</t>
  </si>
  <si>
    <t>R000006</t>
  </si>
  <si>
    <t>R000005</t>
  </si>
  <si>
    <t>R000004</t>
  </si>
  <si>
    <t>R000003</t>
  </si>
  <si>
    <t>Shell</t>
  </si>
  <si>
    <t>Efectivo</t>
  </si>
  <si>
    <t>Factura anotada</t>
  </si>
  <si>
    <t>R000002</t>
  </si>
  <si>
    <t>NO FACTURA</t>
  </si>
  <si>
    <t>R000001</t>
  </si>
  <si>
    <t>Fecha factura</t>
  </si>
  <si>
    <t>Proveedor</t>
  </si>
  <si>
    <t>Concepto</t>
  </si>
  <si>
    <t>Categoría</t>
  </si>
  <si>
    <t>Forma de pago</t>
  </si>
  <si>
    <t>Pagada</t>
  </si>
  <si>
    <t>Total (€)</t>
  </si>
  <si>
    <t>FR000089</t>
  </si>
  <si>
    <t>Desguaces Pedro</t>
  </si>
  <si>
    <t>Rueda de repuesto Blanquita</t>
  </si>
  <si>
    <t>Inversión en vehículos</t>
  </si>
  <si>
    <t xml:space="preserve">Si </t>
  </si>
  <si>
    <t>0% (exento)</t>
  </si>
  <si>
    <t>FR000088</t>
  </si>
  <si>
    <t>Reynasa S.A</t>
  </si>
  <si>
    <t>Abono pantalones de trabajo Leroy Merlin</t>
  </si>
  <si>
    <t>EPIs</t>
  </si>
  <si>
    <t>Empresa</t>
  </si>
  <si>
    <t>Devolución pantalón M y XXL</t>
  </si>
  <si>
    <t>FR000087</t>
  </si>
  <si>
    <t>Abono Caudalimetro</t>
  </si>
  <si>
    <t>Domiciliación</t>
  </si>
  <si>
    <t>No</t>
  </si>
  <si>
    <t>FR000086</t>
  </si>
  <si>
    <t>Red de Carreteras del Estado</t>
  </si>
  <si>
    <t>Peaje recogida Iveco Daily FR</t>
  </si>
  <si>
    <t>Iveco Daily FR</t>
  </si>
  <si>
    <t>FR000085</t>
  </si>
  <si>
    <t>FR000084</t>
  </si>
  <si>
    <t>Junta de tapa de balancines</t>
  </si>
  <si>
    <t>FR000083</t>
  </si>
  <si>
    <t>Terranea 2000 Correduria de Seguros SL</t>
  </si>
  <si>
    <t>Seguro por 2 días Iveco Daily</t>
  </si>
  <si>
    <t>FR000082</t>
  </si>
  <si>
    <t>Peajes totales para recogida Iveco con Caixa Transporte</t>
  </si>
  <si>
    <t>FR000081</t>
  </si>
  <si>
    <t>Gasolinera AVIA</t>
  </si>
  <si>
    <t>Combustible para Focus HVT para recoger Iveco</t>
  </si>
  <si>
    <t>Combustible en Itziar para recogida de Iveco</t>
  </si>
  <si>
    <t>FR000080</t>
  </si>
  <si>
    <t>Total peajes Ida y vuelta Focus HVT para recoger Iveco</t>
  </si>
  <si>
    <t>No meto IVA ya que no tengo tickets</t>
  </si>
  <si>
    <t>FR000079</t>
  </si>
  <si>
    <t>Repsol</t>
  </si>
  <si>
    <t>Combustible vuelta a España Iveco Daily FR</t>
  </si>
  <si>
    <t>Combustible vuelta Iveco</t>
  </si>
  <si>
    <t>FR000078</t>
  </si>
  <si>
    <t>Peaje vuelta FR</t>
  </si>
  <si>
    <t>Peaje vuelta para recoger Iveco Daily FR</t>
  </si>
  <si>
    <t>FR000077</t>
  </si>
  <si>
    <t>Fiverr</t>
  </si>
  <si>
    <t>App interna</t>
  </si>
  <si>
    <t>Software</t>
  </si>
  <si>
    <t>FR000076</t>
  </si>
  <si>
    <t>Web</t>
  </si>
  <si>
    <t>FR000075</t>
  </si>
  <si>
    <t>Caudalimetro</t>
  </si>
  <si>
    <t>FR000074</t>
  </si>
  <si>
    <t>Valvula control presion</t>
  </si>
  <si>
    <t>FR000073</t>
  </si>
  <si>
    <t>Soporte de transmisión</t>
  </si>
  <si>
    <t>FR000072</t>
  </si>
  <si>
    <t>Peaje Guadalajara - Sanse</t>
  </si>
  <si>
    <t>Peajes</t>
  </si>
  <si>
    <t>FR000071</t>
  </si>
  <si>
    <t>Leroy Merlin España S.L.U</t>
  </si>
  <si>
    <t>Pletinas en L para sujección carros</t>
  </si>
  <si>
    <t>Equipamiento vehículo</t>
  </si>
  <si>
    <t>Pletinas en L y tornillos, sujección carros</t>
  </si>
  <si>
    <t>FR000070</t>
  </si>
  <si>
    <t>Dekra ITV España SLU</t>
  </si>
  <si>
    <t>ITV Furgo</t>
  </si>
  <si>
    <t>FR000069</t>
  </si>
  <si>
    <t>Seguro por dias 8 dias</t>
  </si>
  <si>
    <t>Seguro por dias</t>
  </si>
  <si>
    <t>FR000068</t>
  </si>
  <si>
    <t>Pantalon largo trabajo Julio XXL y Gonzalo</t>
  </si>
  <si>
    <t>Lo más seguro es que se haga 1 abono de un pantalon</t>
  </si>
  <si>
    <t>FR000067</t>
  </si>
  <si>
    <t>Cristal espejo derecho</t>
  </si>
  <si>
    <t>FR000066</t>
  </si>
  <si>
    <t>Deposito refrigerante</t>
  </si>
  <si>
    <t>FR000065</t>
  </si>
  <si>
    <t>Placa matricula</t>
  </si>
  <si>
    <t>FR000064</t>
  </si>
  <si>
    <t>Tapon deposito agua</t>
  </si>
  <si>
    <t>FR000063</t>
  </si>
  <si>
    <t>Discos de freno traseros</t>
  </si>
  <si>
    <t>FR000062</t>
  </si>
  <si>
    <t>Enfriador EGR (bueno)</t>
  </si>
  <si>
    <t>FR000061</t>
  </si>
  <si>
    <t>Abono Enfriador EGR</t>
  </si>
  <si>
    <t>Abono de Enfriador</t>
  </si>
  <si>
    <t>FR000060</t>
  </si>
  <si>
    <t>Colector de escape</t>
  </si>
  <si>
    <t>FR000059</t>
  </si>
  <si>
    <t>Repuestos Miguel S.L</t>
  </si>
  <si>
    <t>Aceite de caja de cambios 80W-90</t>
  </si>
  <si>
    <t>Caja de 5L, sobrará un poco.</t>
  </si>
  <si>
    <t>FR000058</t>
  </si>
  <si>
    <t>Ruedas Triangle 18575R16 104102T x2</t>
  </si>
  <si>
    <t>Para completar las 6 ruedas nuevas.</t>
  </si>
  <si>
    <t>FR000057</t>
  </si>
  <si>
    <t>Pastillas de freno traseras</t>
  </si>
  <si>
    <t>FR000056</t>
  </si>
  <si>
    <t>Kit de fuelle de dirección (x2)</t>
  </si>
  <si>
    <t>FR000055</t>
  </si>
  <si>
    <t>Soporte engranaje, rodamiento, soporte transmision</t>
  </si>
  <si>
    <t>FR000054</t>
  </si>
  <si>
    <t>Peaje Guada - Sanse para volver al taller.</t>
  </si>
  <si>
    <t>FR000053</t>
  </si>
  <si>
    <t>Talleres Esbema S.L</t>
  </si>
  <si>
    <t>Inyectores</t>
  </si>
  <si>
    <t>Reparar 4 inyectores en B</t>
  </si>
  <si>
    <t>FR000052</t>
  </si>
  <si>
    <t>Mr Casa Sanse S.L</t>
  </si>
  <si>
    <t>Pintura negra para llantas</t>
  </si>
  <si>
    <t>Acondicionamiento vehículo</t>
  </si>
  <si>
    <t>FR000051</t>
  </si>
  <si>
    <t>FR000050</t>
  </si>
  <si>
    <t>Ruedas Triangle 18575R16 104102T x4</t>
  </si>
  <si>
    <t>FR000049</t>
  </si>
  <si>
    <t>Media Markt Saturn S.A</t>
  </si>
  <si>
    <t>Altavoz</t>
  </si>
  <si>
    <t>FR000048</t>
  </si>
  <si>
    <t>Guantes x2 (Julio y yo), Zapatos seguridad</t>
  </si>
  <si>
    <t>FR000047</t>
  </si>
  <si>
    <t>Romadrid Car S.L.U</t>
  </si>
  <si>
    <t xml:space="preserve">Perno, conjunto tubos, </t>
  </si>
  <si>
    <t>FR000046</t>
  </si>
  <si>
    <t>Manguera calefactor, tubos,  manguito deposito</t>
  </si>
  <si>
    <t>FR000045</t>
  </si>
  <si>
    <t>Proveedor 01</t>
  </si>
  <si>
    <t>Brocas, laminas , discos…</t>
  </si>
  <si>
    <t>Todo esto para la caja interior de la furgo</t>
  </si>
  <si>
    <t>FR000044</t>
  </si>
  <si>
    <t>Tubo y 3 puntas atornillar</t>
  </si>
  <si>
    <t>FR000043</t>
  </si>
  <si>
    <t>Tornillos</t>
  </si>
  <si>
    <t>FR000042</t>
  </si>
  <si>
    <t>Abono de 1 tablero contrachapado</t>
  </si>
  <si>
    <t>SE DEVUELVE 1 TABLERO YA QUE HABIA SOBRADO</t>
  </si>
  <si>
    <t>FR000041</t>
  </si>
  <si>
    <t>Recambios España S.L</t>
  </si>
  <si>
    <t>Rail para atar cinchas</t>
  </si>
  <si>
    <t>FR000040</t>
  </si>
  <si>
    <t>Gaeza Multiservicios S.L</t>
  </si>
  <si>
    <t>Aceite de motor</t>
  </si>
  <si>
    <t>Mantenimiento</t>
  </si>
  <si>
    <t>Transferencia</t>
  </si>
  <si>
    <t>SE TIENE QUE VOLVER A ECHAR ACEITE, ROTURA MOTOR</t>
  </si>
  <si>
    <t>FR000039</t>
  </si>
  <si>
    <t>Rectificados Josima S.R.L</t>
  </si>
  <si>
    <t>Mano de obra reparar culata</t>
  </si>
  <si>
    <t>ROTURA MOTOR</t>
  </si>
  <si>
    <t>FR000038</t>
  </si>
  <si>
    <t>Botella expansión y tapon botella</t>
  </si>
  <si>
    <t>FR000037</t>
  </si>
  <si>
    <t>Filtro de aceite</t>
  </si>
  <si>
    <t>FR000036</t>
  </si>
  <si>
    <t>Radiador de agua y anticongelante</t>
  </si>
  <si>
    <t>FR000035</t>
  </si>
  <si>
    <t>Ventilador, Termostato, Tornillos, Bomba agua</t>
  </si>
  <si>
    <t>FR000034</t>
  </si>
  <si>
    <t>Soporte motor, tornillos y Junta culata</t>
  </si>
  <si>
    <t>FR000033</t>
  </si>
  <si>
    <t>Reten cigüeñal delantero</t>
  </si>
  <si>
    <t>FR000032</t>
  </si>
  <si>
    <t>Contrachapado, bridas, cinta aislante…</t>
  </si>
  <si>
    <t>FR000031</t>
  </si>
  <si>
    <t>Tornillos y pegamento</t>
  </si>
  <si>
    <t>FR000030</t>
  </si>
  <si>
    <t>Reprorace S.L</t>
  </si>
  <si>
    <t>Electrónica DPF</t>
  </si>
  <si>
    <t>FR000029</t>
  </si>
  <si>
    <t>Taller Veracar S.L</t>
  </si>
  <si>
    <t>Pago chapa y pintura</t>
  </si>
  <si>
    <t>FR000028</t>
  </si>
  <si>
    <t>Ministerio de Transportes y Movilidad</t>
  </si>
  <si>
    <t>Pago tasa autorización MDLE para 8324-HGZ</t>
  </si>
  <si>
    <t>Tasas (puesta en marcha)</t>
  </si>
  <si>
    <t>PAGO TASA MDLE PARA AÑADIR FURGO A NUESTRA TARJETA</t>
  </si>
  <si>
    <t>FR000027</t>
  </si>
  <si>
    <t>Enfriador EGR</t>
  </si>
  <si>
    <t>FR000026</t>
  </si>
  <si>
    <t>Vico Técnica del Espectáculo SLU</t>
  </si>
  <si>
    <t>Seguro hasta 01/10</t>
  </si>
  <si>
    <t>Seguros</t>
  </si>
  <si>
    <t>SEGURO 2,77 DIA HASTA 1 OCTUBRE Y FIN DE LA POLIZA</t>
  </si>
  <si>
    <t>FR000025</t>
  </si>
  <si>
    <t>Seguro hasta 01/09</t>
  </si>
  <si>
    <t>SEGURO 2,77 DIA HASTA 1 SEP</t>
  </si>
  <si>
    <t>FR000024</t>
  </si>
  <si>
    <t>Seguro hasta 01/08</t>
  </si>
  <si>
    <t>SEGURO 2,77 DIA HASTA 1 AGOSTO</t>
  </si>
  <si>
    <t>FR000023</t>
  </si>
  <si>
    <t>Seguro hasta 01/07</t>
  </si>
  <si>
    <t>PRORRATEO MES DE JUNIO DEL SEGURO A 2,77€ EL DIA</t>
  </si>
  <si>
    <t>FR000022</t>
  </si>
  <si>
    <t>FR000021</t>
  </si>
  <si>
    <t>Compra y puesta en marcha furgo</t>
  </si>
  <si>
    <t>5000€ incluyen compra furgo y motor etc puesta en marcha</t>
  </si>
  <si>
    <t>FR000020</t>
  </si>
  <si>
    <t>Openlane Europe NV</t>
  </si>
  <si>
    <t>Compra furgoneta</t>
  </si>
  <si>
    <t>Compra furgo en Francia (Tarnos)</t>
  </si>
  <si>
    <t>FR000019</t>
  </si>
  <si>
    <t>Manguito enfriador EGR</t>
  </si>
  <si>
    <t>FR000018</t>
  </si>
  <si>
    <t>Frenada delantera</t>
  </si>
  <si>
    <t>FR000017</t>
  </si>
  <si>
    <t>Manguito sup/inf radiador</t>
  </si>
  <si>
    <t>Manguito superior e inferior de radiador de agua</t>
  </si>
  <si>
    <t>FR000016</t>
  </si>
  <si>
    <t>Aceite de motor 10L</t>
  </si>
  <si>
    <t>FR000015</t>
  </si>
  <si>
    <t>Filtro aceite, mantenimiento furgo</t>
  </si>
  <si>
    <t>FR000014</t>
  </si>
  <si>
    <t>Especialidades Eléctricas Lausan SAU</t>
  </si>
  <si>
    <t>Cambio motor arranque</t>
  </si>
  <si>
    <t>Motor de arranque para la furgo</t>
  </si>
  <si>
    <t>FR000013</t>
  </si>
  <si>
    <t>Neruda Gestoria Administrativa SLP</t>
  </si>
  <si>
    <t>Cambio nombre</t>
  </si>
  <si>
    <t>Cambio de nombre de la furgo</t>
  </si>
  <si>
    <t>FR000012</t>
  </si>
  <si>
    <t>Gruas Oscar</t>
  </si>
  <si>
    <t>Transporte Astrain - Madrid</t>
  </si>
  <si>
    <t>En B</t>
  </si>
  <si>
    <t>FR000011</t>
  </si>
  <si>
    <t>Jonatan Samuel Ferreruela Jimenez</t>
  </si>
  <si>
    <t>REBU</t>
  </si>
  <si>
    <t>FR000010</t>
  </si>
  <si>
    <t>Alex Dario Saucedo Ferreira</t>
  </si>
  <si>
    <t>Arreglo aire</t>
  </si>
  <si>
    <t>Arreglo aire acondicionado (tubo incluido)</t>
  </si>
  <si>
    <t>FR000009</t>
  </si>
  <si>
    <t>Frenada trasera</t>
  </si>
  <si>
    <t>Discos y pastillas traseras</t>
  </si>
  <si>
    <t>FR000008</t>
  </si>
  <si>
    <t>Ropa Gonzalo</t>
  </si>
  <si>
    <t>Ropa para Gonzalo</t>
  </si>
  <si>
    <t>FR000007</t>
  </si>
  <si>
    <t>Ballenoil S.A</t>
  </si>
  <si>
    <t>Diesel</t>
  </si>
  <si>
    <t>Todos</t>
  </si>
  <si>
    <t>Factura mes Combustible</t>
  </si>
  <si>
    <t>FR000006</t>
  </si>
  <si>
    <t>Cambio botella expansion</t>
  </si>
  <si>
    <t>Botella de expansión, no roto pero para mejorar visibilidad.</t>
  </si>
  <si>
    <t>FR000005</t>
  </si>
  <si>
    <t>Cambio manguito turbo</t>
  </si>
  <si>
    <t xml:space="preserve">Manguito turbo, se ha roto </t>
  </si>
  <si>
    <t>FR000004</t>
  </si>
  <si>
    <t>Explotación Estación de Servicio S.A</t>
  </si>
  <si>
    <t>FR000003</t>
  </si>
  <si>
    <t>FR000002</t>
  </si>
  <si>
    <t>Ropa Julio</t>
  </si>
  <si>
    <t>Ropa para Julio</t>
  </si>
  <si>
    <t>FR000001</t>
  </si>
  <si>
    <t>Compra traspalé</t>
  </si>
  <si>
    <t>Maquinaria</t>
  </si>
  <si>
    <t>Empleado</t>
  </si>
  <si>
    <t>Coste real (€)</t>
  </si>
  <si>
    <t>Horas extra (€)</t>
  </si>
  <si>
    <t>Dietas (€)</t>
  </si>
  <si>
    <t>Otros (€)</t>
  </si>
  <si>
    <t>Coste total (€)</t>
  </si>
  <si>
    <t>Coste fijo diario (€)</t>
  </si>
  <si>
    <t>Tributa</t>
  </si>
  <si>
    <t>RENDIMIENTOS DEL PERSONAL</t>
  </si>
  <si>
    <t>DATOS Y KPIs POR EMPLEADO</t>
  </si>
  <si>
    <t>Agosto</t>
  </si>
  <si>
    <t>💸  FACTURACIÓN</t>
  </si>
  <si>
    <t>🚚 ACTIVIDAD</t>
  </si>
  <si>
    <t>💰 Facturacion base</t>
  </si>
  <si>
    <t>Nº Servicios realizados</t>
  </si>
  <si>
    <t>💵 Facturacion sup.</t>
  </si>
  <si>
    <t>📅 Nº de días trabajados</t>
  </si>
  <si>
    <t>Base</t>
  </si>
  <si>
    <t>Suplemento</t>
  </si>
  <si>
    <t>Total</t>
  </si>
  <si>
    <t>Rol</t>
  </si>
  <si>
    <t>Km reales realizados</t>
  </si>
  <si>
    <t>Fact. Por km real</t>
  </si>
  <si>
    <t>Km servicio realizados</t>
  </si>
  <si>
    <t>📈 PRODUCTIVIDAD</t>
  </si>
  <si>
    <t>👥 PARTICIPACIÓN</t>
  </si>
  <si>
    <t>Ticket medios</t>
  </si>
  <si>
    <t>Servicios como conductor</t>
  </si>
  <si>
    <t>Fact. Media por servicio</t>
  </si>
  <si>
    <t>Servicios como Pers. Adicional</t>
  </si>
  <si>
    <t>Fact. Media por día</t>
  </si>
  <si>
    <t>Nº Factura</t>
  </si>
  <si>
    <t>Fecha emisión</t>
  </si>
  <si>
    <t>Fecha cobro</t>
  </si>
  <si>
    <t>Forma de cobro</t>
  </si>
  <si>
    <t>T-00003</t>
  </si>
  <si>
    <t>Facturada y enviada</t>
  </si>
  <si>
    <t>T-00002</t>
  </si>
  <si>
    <t>T-00001</t>
  </si>
  <si>
    <t>Cobrada</t>
  </si>
  <si>
    <t>INGRESAR</t>
  </si>
  <si>
    <t>DEVOLVER</t>
  </si>
  <si>
    <t>IVA Soportado</t>
  </si>
  <si>
    <t>IVA Repercutido</t>
  </si>
  <si>
    <t>IVA a Ingresar/devolver</t>
  </si>
  <si>
    <t>Total Inversión</t>
  </si>
  <si>
    <t>Inversión recuperada</t>
  </si>
  <si>
    <t>Total Inversión IVA incl.</t>
  </si>
  <si>
    <t>Diferencia inversión</t>
  </si>
  <si>
    <t>IVA</t>
  </si>
  <si>
    <t>Fila</t>
  </si>
  <si>
    <t>Beneficio</t>
  </si>
  <si>
    <t>ç</t>
  </si>
  <si>
    <t>ID Mantenimiento</t>
  </si>
  <si>
    <t>Fecha realización</t>
  </si>
  <si>
    <t>Km realizacion</t>
  </si>
  <si>
    <t>Próximo km</t>
  </si>
  <si>
    <t>Próxima fecha</t>
  </si>
  <si>
    <t>MT000005</t>
  </si>
  <si>
    <t>MT000004</t>
  </si>
  <si>
    <t>Cadena de distribucion</t>
  </si>
  <si>
    <t>MT000003</t>
  </si>
  <si>
    <t>MT000002</t>
  </si>
  <si>
    <t>MT000001</t>
  </si>
  <si>
    <t>ESTADO</t>
  </si>
  <si>
    <t>CONTRATO</t>
  </si>
  <si>
    <t>VEHICULO</t>
  </si>
  <si>
    <t>CONDUCTOR</t>
  </si>
  <si>
    <t>CLIENTE</t>
  </si>
  <si>
    <t>CLIENTES FINALES</t>
  </si>
  <si>
    <t>GASOLINERAS</t>
  </si>
  <si>
    <t>TIPOS COMBUSTIBLE</t>
  </si>
  <si>
    <t>MÉTODO DE PAGO</t>
  </si>
  <si>
    <t>PROVEEDORES</t>
  </si>
  <si>
    <t>CATEGORIAS GASTOS</t>
  </si>
  <si>
    <t>PAGADA</t>
  </si>
  <si>
    <t>FORMA DE PAGO</t>
  </si>
  <si>
    <t>TRIMESTRES</t>
  </si>
  <si>
    <t>AÑOS</t>
  </si>
  <si>
    <t>MESES</t>
  </si>
  <si>
    <t>Nº Mes</t>
  </si>
  <si>
    <t>TIPO SUP.</t>
  </si>
  <si>
    <t>Tarifa base (€)</t>
  </si>
  <si>
    <t>ESTADO FACT. EMITIDA</t>
  </si>
  <si>
    <t>TIPOS MANTENIMIENTO</t>
  </si>
  <si>
    <t>Operación</t>
  </si>
  <si>
    <t>Año completo</t>
  </si>
  <si>
    <t>Pendiente facturar</t>
  </si>
  <si>
    <t>Gasolina 95</t>
  </si>
  <si>
    <t>Herramientas</t>
  </si>
  <si>
    <t>Enero</t>
  </si>
  <si>
    <t>Km extra</t>
  </si>
  <si>
    <t>Cobro parcial</t>
  </si>
  <si>
    <t>CEPSA</t>
  </si>
  <si>
    <t>GLP</t>
  </si>
  <si>
    <t>Inversión</t>
  </si>
  <si>
    <t>Febrero</t>
  </si>
  <si>
    <t>Cobrado</t>
  </si>
  <si>
    <t>Marzo</t>
  </si>
  <si>
    <t>Espera</t>
  </si>
  <si>
    <t>Neumáticos</t>
  </si>
  <si>
    <t>Abril</t>
  </si>
  <si>
    <t>Festivo</t>
  </si>
  <si>
    <t>Correa de distribucion</t>
  </si>
  <si>
    <t>Entrega urgente Ilunion</t>
  </si>
  <si>
    <t>Mayo</t>
  </si>
  <si>
    <t>Nocturnidad</t>
  </si>
  <si>
    <t>Otros</t>
  </si>
  <si>
    <t>Moeve</t>
  </si>
  <si>
    <t>Junio</t>
  </si>
  <si>
    <t>BP</t>
  </si>
  <si>
    <t>Julio</t>
  </si>
  <si>
    <t>Gestoría</t>
  </si>
  <si>
    <t>Telefonía</t>
  </si>
  <si>
    <t>Octubre</t>
  </si>
  <si>
    <t>Publicidad</t>
  </si>
  <si>
    <t>Noviembre</t>
  </si>
  <si>
    <t>Formación</t>
  </si>
  <si>
    <t>Diciembre</t>
  </si>
  <si>
    <t>Impuestos y tasas</t>
  </si>
  <si>
    <t>No operativo</t>
  </si>
  <si>
    <t>Dietas</t>
  </si>
  <si>
    <t>Parking</t>
  </si>
  <si>
    <t>Lavados</t>
  </si>
  <si>
    <t>Petro Jarama S.L</t>
  </si>
  <si>
    <t>Último Servicio</t>
  </si>
  <si>
    <t>Último Repostaje</t>
  </si>
  <si>
    <t>Última Factura Recibida</t>
  </si>
  <si>
    <t>Última factura emitida</t>
  </si>
  <si>
    <t>Último mantenimiento</t>
  </si>
  <si>
    <t>Intervalo cambio aceite (km)</t>
  </si>
  <si>
    <t>Parámetro (Tasa pred.)</t>
  </si>
  <si>
    <t>Valor</t>
  </si>
  <si>
    <t>90_Modelo</t>
  </si>
  <si>
    <t>PT01FactFecha</t>
  </si>
  <si>
    <t>PT03RepostajesMes</t>
  </si>
  <si>
    <t>PT04ServiciosMes</t>
  </si>
  <si>
    <t>PT05FacturacionContrato</t>
  </si>
  <si>
    <t>PT06KmContrato</t>
  </si>
  <si>
    <t>Suma de Base imponible (€)</t>
  </si>
  <si>
    <t>Etiquetas de fila</t>
  </si>
  <si>
    <t>Años (Fecha)</t>
  </si>
  <si>
    <t>Meses (Fecha)</t>
  </si>
  <si>
    <t>Cuenta de ID Servicio</t>
  </si>
  <si>
    <t>Suma de Km servicio</t>
  </si>
  <si>
    <t>Suma de Km reales</t>
  </si>
  <si>
    <t>2026</t>
  </si>
  <si>
    <t>jun</t>
  </si>
  <si>
    <t>jul</t>
  </si>
  <si>
    <t>ago</t>
  </si>
  <si>
    <t>sep</t>
  </si>
  <si>
    <t>Total general</t>
  </si>
  <si>
    <t>S000136</t>
  </si>
  <si>
    <t>S000137</t>
  </si>
  <si>
    <t>R000045</t>
  </si>
  <si>
    <t>R000046</t>
  </si>
  <si>
    <t>S000138</t>
  </si>
  <si>
    <t>S000139</t>
  </si>
  <si>
    <t>S000140</t>
  </si>
  <si>
    <t>FR000090</t>
  </si>
  <si>
    <t>Ruedas (x6) para Iveco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</si>
</sst>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.00\ &quot;€&quot;"/>
    <numFmt numFmtId="165" formatCode="0.000"/>
    <numFmt numFmtId="166" formatCode="#,##0.000\ &quot;€&quot;"/>
    <numFmt numFmtId="167" formatCode="_-* #,##0.000\ &quot;€&quot;_-;\-* #,##0.00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6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88">
    <xf numFmtId="0" fontId="0" fillId="0" borderId="0" xfId="0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164" fontId="0" fillId="0" borderId="4" xfId="0" applyNumberFormat="1" applyBorder="1"/>
    <xf numFmtId="2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3" xfId="0" applyBorder="1"/>
    <xf numFmtId="0" fontId="0" fillId="0" borderId="5" xfId="0" applyBorder="1"/>
    <xf numFmtId="164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0" fontId="3" fillId="0" borderId="5" xfId="0" applyFont="1" applyBorder="1"/>
    <xf numFmtId="164" fontId="0" fillId="0" borderId="5" xfId="0" applyNumberFormat="1" applyBorder="1"/>
    <xf numFmtId="164" fontId="3" fillId="0" borderId="3" xfId="0" applyNumberFormat="1" applyFont="1" applyBorder="1"/>
    <xf numFmtId="164" fontId="3" fillId="0" borderId="4" xfId="0" applyNumberFormat="1" applyFont="1" applyBorder="1"/>
    <xf numFmtId="164" fontId="1" fillId="4" borderId="0" xfId="0" applyNumberFormat="1" applyFont="1" applyFill="1"/>
    <xf numFmtId="0" fontId="1" fillId="4" borderId="0" xfId="0" applyFont="1" applyFill="1"/>
    <xf numFmtId="165" fontId="0" fillId="0" borderId="0" xfId="0" applyNumberFormat="1"/>
    <xf numFmtId="166" fontId="0" fillId="0" borderId="0" xfId="0" applyNumberFormat="1"/>
    <xf numFmtId="0" fontId="1" fillId="0" borderId="0" xfId="0" applyFont="1"/>
    <xf numFmtId="44" fontId="0" fillId="0" borderId="0" xfId="1" applyFont="1"/>
    <xf numFmtId="14" fontId="1" fillId="4" borderId="0" xfId="0" applyNumberFormat="1" applyFont="1" applyFill="1"/>
    <xf numFmtId="0" fontId="1" fillId="2" borderId="0" xfId="0" applyFont="1" applyFill="1"/>
    <xf numFmtId="0" fontId="5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0" borderId="0" xfId="1" applyNumberFormat="1" applyFont="1"/>
    <xf numFmtId="44" fontId="0" fillId="0" borderId="0" xfId="0" applyNumberFormat="1"/>
    <xf numFmtId="0" fontId="6" fillId="0" borderId="0" xfId="0" applyFont="1"/>
    <xf numFmtId="2" fontId="0" fillId="0" borderId="0" xfId="0" applyNumberFormat="1"/>
    <xf numFmtId="167" fontId="0" fillId="0" borderId="0" xfId="0" applyNumberFormat="1"/>
    <xf numFmtId="0" fontId="7" fillId="0" borderId="0" xfId="0" applyFont="1"/>
    <xf numFmtId="14" fontId="7" fillId="0" borderId="0" xfId="0" applyNumberFormat="1" applyFont="1"/>
    <xf numFmtId="10" fontId="7" fillId="0" borderId="0" xfId="0" applyNumberFormat="1" applyFont="1"/>
    <xf numFmtId="164" fontId="7" fillId="0" borderId="0" xfId="0" applyNumberFormat="1" applyFont="1"/>
    <xf numFmtId="0" fontId="0" fillId="0" borderId="9" xfId="0" applyBorder="1"/>
    <xf numFmtId="0" fontId="0" fillId="0" borderId="4" xfId="0" applyBorder="1"/>
    <xf numFmtId="10" fontId="0" fillId="0" borderId="9" xfId="0" applyNumberFormat="1" applyBorder="1"/>
    <xf numFmtId="0" fontId="7" fillId="0" borderId="5" xfId="0" applyFont="1" applyBorder="1"/>
    <xf numFmtId="167" fontId="0" fillId="0" borderId="9" xfId="0" applyNumberFormat="1" applyBorder="1"/>
    <xf numFmtId="2" fontId="0" fillId="0" borderId="9" xfId="0" applyNumberFormat="1" applyBorder="1"/>
    <xf numFmtId="0" fontId="0" fillId="0" borderId="7" xfId="0" applyBorder="1"/>
    <xf numFmtId="0" fontId="0" fillId="0" borderId="10" xfId="0" applyBorder="1"/>
    <xf numFmtId="0" fontId="0" fillId="0" borderId="8" xfId="0" applyBorder="1"/>
    <xf numFmtId="164" fontId="0" fillId="0" borderId="9" xfId="0" applyNumberFormat="1" applyBorder="1"/>
    <xf numFmtId="166" fontId="7" fillId="0" borderId="0" xfId="0" applyNumberFormat="1" applyFont="1"/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14" borderId="12" xfId="0" applyFont="1" applyFill="1" applyBorder="1"/>
    <xf numFmtId="0" fontId="1" fillId="14" borderId="13" xfId="0" applyFont="1" applyFill="1" applyBorder="1"/>
    <xf numFmtId="0" fontId="1" fillId="14" borderId="14" xfId="0" applyFont="1" applyFill="1" applyBorder="1"/>
    <xf numFmtId="14" fontId="0" fillId="0" borderId="11" xfId="0" applyNumberFormat="1" applyBorder="1"/>
    <xf numFmtId="164" fontId="0" fillId="0" borderId="11" xfId="0" applyNumberFormat="1" applyBorder="1"/>
    <xf numFmtId="164" fontId="0" fillId="0" borderId="2" xfId="0" applyNumberFormat="1" applyBorder="1"/>
    <xf numFmtId="164" fontId="1" fillId="15" borderId="1" xfId="0" applyNumberFormat="1" applyFont="1" applyFill="1" applyBorder="1"/>
    <xf numFmtId="164" fontId="1" fillId="15" borderId="11" xfId="0" applyNumberFormat="1" applyFont="1" applyFill="1" applyBorder="1"/>
    <xf numFmtId="164" fontId="1" fillId="15" borderId="2" xfId="0" applyNumberFormat="1" applyFont="1" applyFill="1" applyBorder="1"/>
    <xf numFmtId="2" fontId="7" fillId="0" borderId="0" xfId="0" applyNumberFormat="1" applyFont="1"/>
    <xf numFmtId="0" fontId="1" fillId="2" borderId="0" xfId="0" applyFont="1" applyFill="1" applyAlignment="1">
      <alignment horizontal="center"/>
    </xf>
    <xf numFmtId="0" fontId="0" fillId="0" borderId="0" xfId="0" applyNumberFormat="1"/>
    <xf numFmtId="0" fontId="1" fillId="2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/>
    </xf>
    <xf numFmtId="0" fontId="1" fillId="13" borderId="10" xfId="0" applyFont="1" applyFill="1" applyBorder="1" applyAlignment="1">
      <alignment horizontal="center"/>
    </xf>
    <xf numFmtId="0" fontId="1" fillId="13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</cellXfs>
  <cellStyles count="2">
    <cellStyle name="Moneda" xfId="1" builtinId="4"/>
    <cellStyle name="Normal" xfId="0" builtinId="0"/>
  </cellStyles>
  <dxfs count="92"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u val="none"/>
        <color theme="0"/>
      </font>
      <fill>
        <patternFill>
          <bgColor rgb="FF41DF67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9" formatCode="dd/mm/yyyy"/>
    </dxf>
    <dxf>
      <numFmt numFmtId="19" formatCode="dd/mm/yyyy"/>
    </dxf>
    <dxf>
      <numFmt numFmtId="164" formatCode="#,##0.00\ &quot;€&quot;"/>
    </dxf>
    <dxf>
      <numFmt numFmtId="13" formatCode="0%"/>
    </dxf>
    <dxf>
      <numFmt numFmtId="164" formatCode="#,##0.00\ &quot;€&quot;"/>
    </dxf>
    <dxf>
      <numFmt numFmtId="19" formatCode="dd/mm/yyyy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4" formatCode="0.00%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0" formatCode="General"/>
    </dxf>
    <dxf>
      <numFmt numFmtId="19" formatCode="dd/mm/yyyy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4" formatCode="0.00%"/>
    </dxf>
    <dxf>
      <numFmt numFmtId="164" formatCode="#,##0.00\ &quot;€&quot;"/>
    </dxf>
    <dxf>
      <numFmt numFmtId="166" formatCode="#,##0.000\ &quot;€&quot;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2" formatCode="0.00"/>
    </dxf>
    <dxf>
      <numFmt numFmtId="167" formatCode="_-* #,##0.000\ &quot;€&quot;_-;\-* #,##0.000\ &quot;€&quot;_-;_-* &quot;-&quot;??\ &quot;€&quot;_-;_-@_-"/>
    </dxf>
    <dxf>
      <numFmt numFmtId="164" formatCode="#,##0.00\ &quot;€&quot;"/>
    </dxf>
    <dxf>
      <numFmt numFmtId="14" formatCode="0.00%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4" formatCode="0.00%"/>
    </dxf>
    <dxf>
      <numFmt numFmtId="0" formatCode="General"/>
    </dxf>
    <dxf>
      <numFmt numFmtId="164" formatCode="#,##0.00\ &quot;€&quot;"/>
    </dxf>
    <dxf>
      <numFmt numFmtId="0" formatCode="General"/>
    </dxf>
    <dxf>
      <numFmt numFmtId="164" formatCode="#,##0.00\ &quot;€&quot;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164" formatCode="#,##0.00\ &quot;€&quot;"/>
    </dxf>
    <dxf>
      <numFmt numFmtId="164" formatCode="#,##0.00\ &quot;€&quot;"/>
      <alignment horizontal="center" vertical="bottom" textRotation="0" wrapText="0" indent="0" justifyLastLine="0" shrinkToFit="0" readingOrder="0"/>
    </dxf>
    <dxf>
      <numFmt numFmtId="164" formatCode="#,##0.00\ &quot;€&quot;"/>
      <alignment horizontal="center" vertical="bottom" textRotation="0" wrapText="0" indent="0" justifyLastLine="0" shrinkToFit="0" readingOrder="0"/>
    </dxf>
    <dxf>
      <numFmt numFmtId="164" formatCode="#,##0.00\ &quot;€&quot;"/>
      <alignment horizontal="center" vertical="bottom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Medium9"/>
  <colors>
    <mruColors>
      <color rgb="FF41DF67"/>
      <color rgb="FFD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Facturación BRIBAR Logistics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'00Análisis'!$AJ$1</c:f>
              <c:strCache>
                <c:ptCount val="1"/>
                <c:pt idx="0">
                  <c:v>Facturación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'00Análisis'!$AK$2:$AK$13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'00Análisis'!$AJ$2:$AJ$13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3420</c:v>
                </c:pt>
                <c:pt idx="6">
                  <c:v>9132.5</c:v>
                </c:pt>
                <c:pt idx="7">
                  <c:v>7100</c:v>
                </c:pt>
                <c:pt idx="8">
                  <c:v>1820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36-46E4-8751-55ABA1C2B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002783"/>
        <c:axId val="432265999"/>
      </c:lineChart>
      <c:catAx>
        <c:axId val="30900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2265999"/>
        <c:crosses val="autoZero"/>
        <c:auto val="1"/>
        <c:lblAlgn val="ctr"/>
        <c:lblOffset val="100"/>
        <c:noMultiLvlLbl val="0"/>
      </c:catAx>
      <c:valAx>
        <c:axId val="432265999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09002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Evolución precio medio gasoil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Precio medio (€/L)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85-4C80-BB8F-B0AFA6FA99BD}"/>
              </c:ext>
            </c:extLst>
          </c:dPt>
          <c:cat>
            <c:strRef>
              <c:f>'00Análisis'!$AK$2:$AK$13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'00Análisis'!$AL$2:$AL$13</c:f>
              <c:numCache>
                <c:formatCode>#,##0.000\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1.4763327153288013</c:v>
                </c:pt>
                <c:pt idx="6">
                  <c:v>1.5471066823453086</c:v>
                </c:pt>
                <c:pt idx="7">
                  <c:v>1.7835652791063656</c:v>
                </c:pt>
                <c:pt idx="8">
                  <c:v>1.7061781963414031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5-4C80-BB8F-B0AFA6FA9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048559"/>
        <c:axId val="432333199"/>
      </c:lineChart>
      <c:catAx>
        <c:axId val="312048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2333199"/>
        <c:crosses val="autoZero"/>
        <c:auto val="1"/>
        <c:lblAlgn val="ctr"/>
        <c:lblOffset val="100"/>
        <c:noMultiLvlLbl val="0"/>
      </c:catAx>
      <c:valAx>
        <c:axId val="43233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048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Evolución</a:t>
            </a:r>
            <a:r>
              <a:rPr lang="en-US" b="1" baseline="0"/>
              <a:t> mensual de litros repostados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Litros repostados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'00Análisis'!$AK$2:$AK$13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'00Análisis'!$AM$2:$AM$13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436.89</c:v>
                </c:pt>
                <c:pt idx="6">
                  <c:v>986.48</c:v>
                </c:pt>
                <c:pt idx="7">
                  <c:v>972.21000000000015</c:v>
                </c:pt>
                <c:pt idx="8">
                  <c:v>202.81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2-4E69-8CD0-8E4F4858D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240096"/>
        <c:axId val="1434643536"/>
      </c:barChart>
      <c:catAx>
        <c:axId val="157824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643536"/>
        <c:crosses val="autoZero"/>
        <c:auto val="1"/>
        <c:lblAlgn val="ctr"/>
        <c:lblOffset val="100"/>
        <c:noMultiLvlLbl val="0"/>
      </c:catAx>
      <c:valAx>
        <c:axId val="14346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7824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Evolución</a:t>
            </a:r>
            <a:r>
              <a:rPr lang="en-US" b="1" baseline="0"/>
              <a:t> del gasto en combustible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Gasto combusitble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'00Análisis'!$AK$2:$AK$13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'00Análisis'!$AN$2:$AN$13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586.36000000000013</c:v>
                </c:pt>
                <c:pt idx="6">
                  <c:v>1261.3100000000002</c:v>
                </c:pt>
                <c:pt idx="7">
                  <c:v>1433.0533057851242</c:v>
                </c:pt>
                <c:pt idx="8">
                  <c:v>285.97520661157023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C7-4F66-93A3-5B32DD5E0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0641888"/>
        <c:axId val="1434678576"/>
      </c:barChart>
      <c:catAx>
        <c:axId val="159064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678576"/>
        <c:crosses val="autoZero"/>
        <c:auto val="1"/>
        <c:lblAlgn val="ctr"/>
        <c:lblOffset val="100"/>
        <c:noMultiLvlLbl val="0"/>
      </c:catAx>
      <c:valAx>
        <c:axId val="1434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064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</xdr:colOff>
          <xdr:row>2</xdr:row>
          <xdr:rowOff>0</xdr:rowOff>
        </xdr:from>
        <xdr:to>
          <xdr:col>16</xdr:col>
          <xdr:colOff>19050</xdr:colOff>
          <xdr:row>4</xdr:row>
          <xdr:rowOff>82550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📅 Nuevo Día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0</xdr:row>
          <xdr:rowOff>158750</xdr:rowOff>
        </xdr:from>
        <xdr:to>
          <xdr:col>24</xdr:col>
          <xdr:colOff>6350</xdr:colOff>
          <xdr:row>3</xdr:row>
          <xdr:rowOff>158750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🚚 Nuevo Servicio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1261860</xdr:colOff>
      <xdr:row>24</xdr:row>
      <xdr:rowOff>21079</xdr:rowOff>
    </xdr:from>
    <xdr:to>
      <xdr:col>6</xdr:col>
      <xdr:colOff>56989</xdr:colOff>
      <xdr:row>37</xdr:row>
      <xdr:rowOff>65128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795094</xdr:colOff>
      <xdr:row>19</xdr:row>
      <xdr:rowOff>13092</xdr:rowOff>
    </xdr:from>
    <xdr:to>
      <xdr:col>11</xdr:col>
      <xdr:colOff>261856</xdr:colOff>
      <xdr:row>33</xdr:row>
      <xdr:rowOff>14013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414387</xdr:colOff>
      <xdr:row>18</xdr:row>
      <xdr:rowOff>183168</xdr:rowOff>
    </xdr:from>
    <xdr:to>
      <xdr:col>16</xdr:col>
      <xdr:colOff>6546</xdr:colOff>
      <xdr:row>33</xdr:row>
      <xdr:rowOff>19639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1963</xdr:colOff>
      <xdr:row>33</xdr:row>
      <xdr:rowOff>183298</xdr:rowOff>
    </xdr:from>
    <xdr:to>
      <xdr:col>11</xdr:col>
      <xdr:colOff>281495</xdr:colOff>
      <xdr:row>46</xdr:row>
      <xdr:rowOff>52370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6350</xdr:colOff>
          <xdr:row>0</xdr:row>
          <xdr:rowOff>177800</xdr:rowOff>
        </xdr:from>
        <xdr:to>
          <xdr:col>24</xdr:col>
          <xdr:colOff>603250</xdr:colOff>
          <xdr:row>4</xdr:row>
          <xdr:rowOff>31750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⛽Nuevo Repostaje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0</xdr:row>
          <xdr:rowOff>171450</xdr:rowOff>
        </xdr:from>
        <xdr:to>
          <xdr:col>21</xdr:col>
          <xdr:colOff>19050</xdr:colOff>
          <xdr:row>4</xdr:row>
          <xdr:rowOff>177800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📃Nueva Factura Recibida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755650</xdr:colOff>
          <xdr:row>1</xdr:row>
          <xdr:rowOff>19050</xdr:rowOff>
        </xdr:from>
        <xdr:to>
          <xdr:col>21</xdr:col>
          <xdr:colOff>12700</xdr:colOff>
          <xdr:row>3</xdr:row>
          <xdr:rowOff>38100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Factura Emitida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12700</xdr:rowOff>
        </xdr:from>
        <xdr:to>
          <xdr:col>11</xdr:col>
          <xdr:colOff>736600</xdr:colOff>
          <xdr:row>3</xdr:row>
          <xdr:rowOff>165100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🔧Nuevo Mantenimiento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247.680802893519" createdVersion="8" refreshedVersion="7" minRefreshableVersion="3" recordCount="88" xr:uid="{E11FBED8-67C1-48C7-A4A1-9CCFC368741C}">
  <cacheSource type="worksheet">
    <worksheetSource name="tblKmReales"/>
  </cacheSource>
  <cacheFields count="13">
    <cacheField name="Fecha" numFmtId="14">
      <sharedItems containsSemiMixedTypes="0" containsNonDate="0" containsDate="1" containsString="0" minDate="2026-06-15T00:00:00" maxDate="2026-08-14T00:00:00" count="55">
        <d v="2026-08-13T00:00:00"/>
        <d v="2026-08-12T00:00:00"/>
        <d v="2026-08-11T00:00:00"/>
        <d v="2026-08-10T00:00:00"/>
        <d v="2026-08-04T00:00:00"/>
        <d v="2026-08-03T00:00:00"/>
        <d v="2026-08-02T00:00:00"/>
        <d v="2026-08-01T00:00:00"/>
        <d v="2026-07-31T00:00:00"/>
        <d v="2026-07-30T00:00:00"/>
        <d v="2026-07-29T00:00:00"/>
        <d v="2026-07-28T00:00:00"/>
        <d v="2026-07-27T00:00:00"/>
        <d v="2026-07-26T00:00:00"/>
        <d v="2026-07-25T00:00:00"/>
        <d v="2026-07-24T00:00:00"/>
        <d v="2026-07-23T00:00:00"/>
        <d v="2026-07-22T00:00:00"/>
        <d v="2026-07-21T00:00:00"/>
        <d v="2026-07-20T00:00:00"/>
        <d v="2026-07-19T00:00:00"/>
        <d v="2026-07-18T00:00:00"/>
        <d v="2026-07-17T00:00:00"/>
        <d v="2026-07-16T00:00:00"/>
        <d v="2026-07-15T00:00:00"/>
        <d v="2026-07-14T00:00:00"/>
        <d v="2026-07-13T00:00:00"/>
        <d v="2026-07-12T00:00:00"/>
        <d v="2026-07-11T00:00:00"/>
        <d v="2026-07-10T00:00:00"/>
        <d v="2026-07-09T00:00:00"/>
        <d v="2026-07-08T00:00:00"/>
        <d v="2026-07-07T00:00:00"/>
        <d v="2026-07-06T00:00:00"/>
        <d v="2026-07-05T00:00:00"/>
        <d v="2026-07-04T00:00:00"/>
        <d v="2026-07-03T00:00:00"/>
        <d v="2026-07-02T00:00:00"/>
        <d v="2026-07-01T00:00:00"/>
        <d v="2026-06-30T00:00:00"/>
        <d v="2026-06-29T00:00:00"/>
        <d v="2026-06-28T00:00:00"/>
        <d v="2026-06-27T00:00:00"/>
        <d v="2026-06-26T00:00:00"/>
        <d v="2026-06-25T00:00:00"/>
        <d v="2026-06-24T00:00:00"/>
        <d v="2026-06-23T00:00:00"/>
        <d v="2026-06-22T00:00:00"/>
        <d v="2026-06-21T00:00:00"/>
        <d v="2026-06-20T00:00:00"/>
        <d v="2026-06-19T00:00:00"/>
        <d v="2026-06-18T00:00:00"/>
        <d v="2026-06-17T00:00:00"/>
        <d v="2026-06-16T00:00:00"/>
        <d v="2026-06-15T00:00:00"/>
      </sharedItems>
      <fieldGroup par="12"/>
    </cacheField>
    <cacheField name="Contrato" numFmtId="0">
      <sharedItems count="6">
        <s v="Ruta extras mañana"/>
        <s v="Ruta fija Ilunion tarde"/>
        <s v="Prueba mecánica"/>
        <s v="Servicio extraordinario Ilunion"/>
        <s v="Entrega urgente"/>
        <s v="Operativa puntuales Madrid"/>
      </sharedItems>
    </cacheField>
    <cacheField name="Vehículo" numFmtId="0">
      <sharedItems/>
    </cacheField>
    <cacheField name="Conductor" numFmtId="0">
      <sharedItems containsBlank="1"/>
    </cacheField>
    <cacheField name="Personal adicional" numFmtId="0">
      <sharedItems containsBlank="1"/>
    </cacheField>
    <cacheField name="Km reales" numFmtId="0">
      <sharedItems containsSemiMixedTypes="0" containsString="0" containsNumber="1" minValue="51.2" maxValue="325"/>
    </cacheField>
    <cacheField name="Horas" numFmtId="0">
      <sharedItems containsDate="1" containsString="0" containsBlank="1" containsMixedTypes="1" minDate="1899-12-31T00:01:04" maxDate="1899-12-31T00:35:04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SemiMixedTypes="0" containsString="0" containsNumber="1" containsInteger="1" minValue="6" maxValue="8"/>
    </cacheField>
    <cacheField name="Día" numFmtId="0">
      <sharedItems containsSemiMixedTypes="0" containsString="0" containsNumber="1" containsInteger="1" minValue="1" maxValue="31"/>
    </cacheField>
    <cacheField name="Obs." numFmtId="0">
      <sharedItems containsBlank="1"/>
    </cacheField>
    <cacheField name="Meses (Fecha)" numFmtId="0" databaseField="0">
      <fieldGroup base="0">
        <rangePr groupBy="months" startDate="2026-06-15T00:00:00" endDate="2026-08-14T00:00:00"/>
        <groupItems count="14">
          <s v="&lt;15/06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4/08/2026"/>
        </groupItems>
      </fieldGroup>
    </cacheField>
    <cacheField name="Años (Fecha)" numFmtId="0" databaseField="0">
      <fieldGroup base="0">
        <rangePr groupBy="years" startDate="2026-06-15T00:00:00" endDate="2026-08-14T00:00:00"/>
        <groupItems count="3">
          <s v="&lt;15/06/2026"/>
          <s v="2026"/>
          <s v="&gt;14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uario" refreshedDate="46273.530878935184" createdVersion="8" refreshedVersion="7" minRefreshableVersion="3" recordCount="136" xr:uid="{99E6E1C0-9B16-4FE2-8FF4-17C192D129F5}">
  <cacheSource type="worksheet">
    <worksheetSource name="tblServicios"/>
  </cacheSource>
  <cacheFields count="22">
    <cacheField name="ID Servicio" numFmtId="0">
      <sharedItems/>
    </cacheField>
    <cacheField name="Fecha" numFmtId="14">
      <sharedItems containsSemiMixedTypes="0" containsNonDate="0" containsDate="1" containsString="0" minDate="2026-06-15T00:00:00" maxDate="2026-09-08T00:00:00" count="80">
        <d v="2026-09-07T00:00:00"/>
        <d v="2026-09-06T00:00:00"/>
        <d v="2026-09-05T00:00:00"/>
        <d v="2026-09-04T00:00:00"/>
        <d v="2026-09-03T00:00:00"/>
        <d v="2026-09-02T00:00:00"/>
        <d v="2026-09-01T00:00:00"/>
        <d v="2026-08-31T00:00:00"/>
        <d v="2026-08-30T00:00:00"/>
        <d v="2026-08-29T00:00:00"/>
        <d v="2026-08-28T00:00:00"/>
        <d v="2026-08-27T00:00:00"/>
        <d v="2026-08-26T00:00:00"/>
        <d v="2026-08-25T00:00:00"/>
        <d v="2026-08-24T00:00:00"/>
        <d v="2026-08-23T00:00:00"/>
        <d v="2026-08-22T00:00:00"/>
        <d v="2026-08-21T00:00:00"/>
        <d v="2026-08-20T00:00:00"/>
        <d v="2026-08-19T00:00:00"/>
        <d v="2026-08-18T00:00:00"/>
        <d v="2026-08-17T00:00:00"/>
        <d v="2026-08-16T00:00:00"/>
        <d v="2026-08-15T00:00:00"/>
        <d v="2026-08-14T00:00:00"/>
        <d v="2026-08-13T00:00:00"/>
        <d v="2026-08-12T00:00:00"/>
        <d v="2026-08-11T00:00:00"/>
        <d v="2026-08-10T00:00:00"/>
        <d v="2026-08-04T00:00:00"/>
        <d v="2026-08-03T00:00:00"/>
        <d v="2026-08-02T00:00:00"/>
        <d v="2026-08-01T00:00:00"/>
        <d v="2026-07-31T00:00:00"/>
        <d v="2026-07-30T00:00:00"/>
        <d v="2026-07-29T00:00:00"/>
        <d v="2026-07-28T00:00:00"/>
        <d v="2026-07-27T00:00:00"/>
        <d v="2026-07-26T00:00:00"/>
        <d v="2026-07-25T00:00:00"/>
        <d v="2026-07-24T00:00:00"/>
        <d v="2026-07-23T00:00:00"/>
        <d v="2026-07-22T00:00:00"/>
        <d v="2026-07-21T00:00:00"/>
        <d v="2026-07-20T00:00:00"/>
        <d v="2026-07-19T00:00:00"/>
        <d v="2026-07-18T00:00:00"/>
        <d v="2026-07-17T00:00:00"/>
        <d v="2026-07-16T00:00:00"/>
        <d v="2026-07-15T00:00:00"/>
        <d v="2026-07-14T00:00:00"/>
        <d v="2026-07-13T00:00:00"/>
        <d v="2026-07-12T00:00:00"/>
        <d v="2026-07-11T00:00:00"/>
        <d v="2026-07-10T00:00:00"/>
        <d v="2026-07-09T00:00:00"/>
        <d v="2026-07-08T00:00:00"/>
        <d v="2026-07-07T00:00:00"/>
        <d v="2026-07-06T00:00:00"/>
        <d v="2026-07-05T00:00:00"/>
        <d v="2026-07-04T00:00:00"/>
        <d v="2026-07-03T00:00:00"/>
        <d v="2026-07-02T00:00:00"/>
        <d v="2026-07-01T00:00:00"/>
        <d v="2026-06-30T00:00:00"/>
        <d v="2026-06-29T00:00:00"/>
        <d v="2026-06-28T00:00:00"/>
        <d v="2026-06-27T00:00:00"/>
        <d v="2026-06-26T00:00:00"/>
        <d v="2026-06-25T00:00:00"/>
        <d v="2026-06-24T00:00:00"/>
        <d v="2026-06-23T00:00:00"/>
        <d v="2026-06-22T00:00:00"/>
        <d v="2026-06-21T00:00:00"/>
        <d v="2026-06-20T00:00:00"/>
        <d v="2026-06-19T00:00:00"/>
        <d v="2026-06-18T00:00:00"/>
        <d v="2026-06-17T00:00:00"/>
        <d v="2026-06-16T00:00:00"/>
        <d v="2026-06-15T00:00:00"/>
      </sharedItems>
      <fieldGroup par="21"/>
    </cacheField>
    <cacheField name="Cliente" numFmtId="0">
      <sharedItems/>
    </cacheField>
    <cacheField name="Cliente final" numFmtId="0">
      <sharedItems/>
    </cacheField>
    <cacheField name="Contrato" numFmtId="0">
      <sharedItems containsBlank="1" count="6">
        <s v="Ruta extras mañana"/>
        <s v="Ruta fija Ilunion tarde"/>
        <s v="Ruta Guadalajara mañana"/>
        <s v="Entrega urgente"/>
        <s v="Operativa puntuales Madrid"/>
        <m u="1"/>
      </sharedItems>
    </cacheField>
    <cacheField name="Vehículo" numFmtId="0">
      <sharedItems containsBlank="1" count="3">
        <s v="Vehículo 01"/>
        <m u="1"/>
        <s v="Mercedes TESR" u="1"/>
      </sharedItems>
    </cacheField>
    <cacheField name="Conductor" numFmtId="0">
      <sharedItems/>
    </cacheField>
    <cacheField name="Personal adicional" numFmtId="0">
      <sharedItems containsBlank="1"/>
    </cacheField>
    <cacheField name="Origen" numFmtId="0">
      <sharedItems/>
    </cacheField>
    <cacheField name="Destino" numFmtId="0">
      <sharedItems/>
    </cacheField>
    <cacheField name="Km servicio" numFmtId="0">
      <sharedItems containsSemiMixedTypes="0" containsString="0" containsNumber="1" minValue="10" maxValue="264"/>
    </cacheField>
    <cacheField name="Imp. suplemento (€)" numFmtId="164">
      <sharedItems containsString="0" containsBlank="1" containsNumber="1" minValue="20" maxValue="85"/>
    </cacheField>
    <cacheField name="Tipo suplemento" numFmtId="0">
      <sharedItems containsBlank="1"/>
    </cacheField>
    <cacheField name="Base imponible (€)" numFmtId="164">
      <sharedItems containsSemiMixedTypes="0" containsString="0" containsNumber="1" minValue="40" maxValue="265"/>
    </cacheField>
    <cacheField name="Estado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SemiMixedTypes="0" containsString="0" containsNumber="1" containsInteger="1" minValue="6" maxValue="9"/>
    </cacheField>
    <cacheField name="Trimestre" numFmtId="0">
      <sharedItems containsSemiMixedTypes="0" containsString="0" containsNumber="1" containsInteger="1" minValue="2" maxValue="3"/>
    </cacheField>
    <cacheField name="ID Factura" numFmtId="0">
      <sharedItems containsBlank="1"/>
    </cacheField>
    <cacheField name="Observaciones" numFmtId="0">
      <sharedItems containsBlank="1"/>
    </cacheField>
    <cacheField name="Meses (Fecha)" numFmtId="0" databaseField="0">
      <fieldGroup base="1">
        <rangePr groupBy="months" startDate="2026-06-15T00:00:00" endDate="2026-09-08T00:00:00"/>
        <groupItems count="14">
          <s v="&lt;15/06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8/09/2026"/>
        </groupItems>
      </fieldGroup>
    </cacheField>
    <cacheField name="Años (Fecha)" numFmtId="0" databaseField="0">
      <fieldGroup base="1">
        <rangePr groupBy="years" startDate="2026-06-15T00:00:00" endDate="2026-09-08T00:00:00"/>
        <groupItems count="3">
          <s v="&lt;15/06/2026"/>
          <s v="2026"/>
          <s v="&gt;08/0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uario" refreshedDate="46273.530879745369" createdVersion="7" refreshedVersion="7" minRefreshableVersion="3" recordCount="46" xr:uid="{006FA977-047C-46CA-BB39-20A1BBAF12D7}">
  <cacheSource type="worksheet">
    <worksheetSource name="tblRepostajes"/>
  </cacheSource>
  <cacheFields count="22">
    <cacheField name="ID Repostaje" numFmtId="0">
      <sharedItems/>
    </cacheField>
    <cacheField name="Fecha" numFmtId="14">
      <sharedItems containsSemiMixedTypes="0" containsNonDate="0" containsDate="1" containsString="0" minDate="2026-06-15T00:00:00" maxDate="2026-09-07T00:00:00" count="45">
        <d v="2026-09-06T00:00:00"/>
        <d v="2026-09-04T00:00:00"/>
        <d v="2026-09-02T00:00:00"/>
        <d v="2026-08-31T00:00:00"/>
        <d v="2026-08-28T00:00:00"/>
        <d v="2026-08-27T00:00:00"/>
        <d v="2026-08-25T00:00:00"/>
        <d v="2026-08-24T00:00:00"/>
        <d v="2026-08-22T00:00:00"/>
        <d v="2026-08-20T00:00:00"/>
        <d v="2026-08-19T00:00:00"/>
        <d v="2026-08-18T00:00:00"/>
        <d v="2026-08-17T00:00:00"/>
        <d v="2026-08-15T00:00:00"/>
        <d v="2026-08-14T00:00:00"/>
        <d v="2026-08-13T00:00:00"/>
        <d v="2026-08-11T00:00:00"/>
        <d v="2026-08-10T00:00:00"/>
        <d v="2026-08-03T00:00:00"/>
        <d v="2026-08-01T00:00:00"/>
        <d v="2026-07-31T00:00:00"/>
        <d v="2026-07-29T00:00:00"/>
        <d v="2026-07-28T00:00:00"/>
        <d v="2026-07-25T00:00:00"/>
        <d v="2026-07-24T00:00:00"/>
        <d v="2026-07-22T00:00:00"/>
        <d v="2026-07-20T00:00:00"/>
        <d v="2026-07-17T00:00:00"/>
        <d v="2026-07-16T00:00:00"/>
        <d v="2026-07-14T00:00:00"/>
        <d v="2026-07-13T00:00:00"/>
        <d v="2026-07-11T00:00:00"/>
        <d v="2026-07-10T00:00:00"/>
        <d v="2026-07-08T00:00:00"/>
        <d v="2026-07-06T00:00:00"/>
        <d v="2026-07-04T00:00:00"/>
        <d v="2026-07-01T00:00:00"/>
        <d v="2026-06-29T00:00:00"/>
        <d v="2026-06-27T00:00:00"/>
        <d v="2026-06-25T00:00:00"/>
        <d v="2026-06-23T00:00:00"/>
        <d v="2026-06-21T00:00:00"/>
        <d v="2026-06-19T00:00:00"/>
        <d v="2026-06-16T00:00:00"/>
        <d v="2026-06-15T00:00:00"/>
      </sharedItems>
      <fieldGroup par="21" base="1">
        <rangePr groupBy="months" startDate="2026-06-15T00:00:00" endDate="2026-09-07T00:00:00"/>
        <groupItems count="14">
          <s v="&lt;15/06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7/09/2026"/>
        </groupItems>
      </fieldGroup>
    </cacheField>
    <cacheField name="Vehículo" numFmtId="0">
      <sharedItems/>
    </cacheField>
    <cacheField name="Conductor" numFmtId="0">
      <sharedItems containsBlank="1"/>
    </cacheField>
    <cacheField name="Gasolinera" numFmtId="0">
      <sharedItems/>
    </cacheField>
    <cacheField name="Tipo de combustible" numFmtId="0">
      <sharedItems/>
    </cacheField>
    <cacheField name="Litros repostados" numFmtId="0">
      <sharedItems containsSemiMixedTypes="0" containsString="0" containsNumber="1" minValue="16.77" maxValue="73.5"/>
    </cacheField>
    <cacheField name="Precio/Litro(€)" numFmtId="166">
      <sharedItems containsSemiMixedTypes="0" containsString="0" containsNumber="1" minValue="1.4589716365842558" maxValue="1.8790725867555691"/>
    </cacheField>
    <cacheField name="Base imponible (€)" numFmtId="164">
      <sharedItems containsSemiMixedTypes="0" containsString="0" containsNumber="1" minValue="24.793388429752067" maxValue="103.31"/>
    </cacheField>
    <cacheField name="% IVA" numFmtId="10">
      <sharedItems containsSemiMixedTypes="0" containsString="0" containsNumber="1" minValue="0.1" maxValue="0.21"/>
    </cacheField>
    <cacheField name="IVA (€)" numFmtId="164">
      <sharedItems containsSemiMixedTypes="0" containsString="0" containsNumber="1" minValue="4.5450000000000008" maxValue="21.69"/>
    </cacheField>
    <cacheField name="Importe total (€)" numFmtId="164">
      <sharedItems containsSemiMixedTypes="0" containsString="0" containsNumber="1" minValue="30" maxValue="125"/>
    </cacheField>
    <cacheField name="Km Odómetro" numFmtId="0">
      <sharedItems containsString="0" containsBlank="1" containsNumber="1" containsInteger="1" minValue="614799" maxValue="637381"/>
    </cacheField>
    <cacheField name="Método pago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SemiMixedTypes="0" containsString="0" containsNumber="1" containsInteger="1" minValue="6" maxValue="9"/>
    </cacheField>
    <cacheField name="Trimestre" numFmtId="0">
      <sharedItems containsSemiMixedTypes="0" containsString="0" containsNumber="1" containsInteger="1" minValue="2" maxValue="3"/>
    </cacheField>
    <cacheField name="índice" numFmtId="0">
      <sharedItems containsSemiMixedTypes="0" containsString="0" containsNumber="1" containsInteger="1" minValue="1" maxValue="46"/>
    </cacheField>
    <cacheField name="Km desde ult. Repostaje" numFmtId="0">
      <sharedItems containsBlank="1" containsMixedTypes="1" containsNumber="1" containsInteger="1" minValue="0" maxValue="801"/>
    </cacheField>
    <cacheField name="Consumo (L/100 km)" numFmtId="2">
      <sharedItems containsMixedTypes="1" containsNumber="1" minValue="7.9424920127795522" maxValue="15.032679738562091"/>
    </cacheField>
    <cacheField name="Observaciones" numFmtId="0">
      <sharedItems/>
    </cacheField>
    <cacheField name="Años" numFmtId="0" databaseField="0">
      <fieldGroup base="1">
        <rangePr groupBy="years" startDate="2026-06-15T00:00:00" endDate="2026-09-07T00:00:00"/>
        <groupItems count="3">
          <s v="&lt;15/06/2026"/>
          <s v="2026"/>
          <s v="&gt;07/0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s v="Vehículo 01"/>
    <s v="Administrador"/>
    <m/>
    <n v="97.2"/>
    <n v="3"/>
    <n v="2026"/>
    <n v="8"/>
    <n v="13"/>
    <m/>
  </r>
  <r>
    <x v="1"/>
    <x v="1"/>
    <s v="Vehículo 01"/>
    <s v="Conductor 01"/>
    <m/>
    <n v="241"/>
    <d v="1899-12-30T06:30:00"/>
    <n v="2026"/>
    <n v="8"/>
    <n v="12"/>
    <m/>
  </r>
  <r>
    <x v="2"/>
    <x v="1"/>
    <s v="Vehículo 01"/>
    <s v="Conductor 01"/>
    <m/>
    <n v="198"/>
    <d v="1899-12-30T06:10:00"/>
    <n v="2026"/>
    <n v="8"/>
    <n v="11"/>
    <m/>
  </r>
  <r>
    <x v="2"/>
    <x v="0"/>
    <s v="Vehículo 01"/>
    <s v="Administrador"/>
    <m/>
    <n v="104.6"/>
    <d v="1899-12-30T03:30:00"/>
    <n v="2026"/>
    <n v="8"/>
    <n v="11"/>
    <m/>
  </r>
  <r>
    <x v="3"/>
    <x v="1"/>
    <s v="Vehículo 01"/>
    <s v="Conductor 01"/>
    <m/>
    <n v="223.7"/>
    <d v="1899-12-30T06:20:00"/>
    <n v="2026"/>
    <n v="8"/>
    <n v="10"/>
    <m/>
  </r>
  <r>
    <x v="3"/>
    <x v="0"/>
    <s v="Vehículo 01"/>
    <s v="Administrador"/>
    <m/>
    <n v="104.7"/>
    <n v="4"/>
    <n v="2026"/>
    <n v="8"/>
    <n v="10"/>
    <m/>
  </r>
  <r>
    <x v="4"/>
    <x v="2"/>
    <s v="Vehículo 01"/>
    <m/>
    <m/>
    <n v="117"/>
    <m/>
    <n v="2026"/>
    <n v="8"/>
    <n v="4"/>
    <m/>
  </r>
  <r>
    <x v="4"/>
    <x v="1"/>
    <s v="Vehículo 01"/>
    <s v="Conductor 01"/>
    <m/>
    <n v="230"/>
    <d v="1899-12-30T07:23:00"/>
    <n v="2026"/>
    <n v="8"/>
    <n v="4"/>
    <m/>
  </r>
  <r>
    <x v="5"/>
    <x v="1"/>
    <s v="Vehículo 01"/>
    <s v="Conductor 01"/>
    <m/>
    <n v="224"/>
    <d v="1899-12-30T07:10:00"/>
    <n v="2026"/>
    <n v="8"/>
    <n v="3"/>
    <m/>
  </r>
  <r>
    <x v="5"/>
    <x v="0"/>
    <s v="Vehículo 01"/>
    <s v="Administrador"/>
    <m/>
    <n v="78"/>
    <d v="1899-12-30T02:25:00"/>
    <n v="2026"/>
    <n v="8"/>
    <n v="3"/>
    <m/>
  </r>
  <r>
    <x v="6"/>
    <x v="1"/>
    <s v="Vehículo 01"/>
    <s v="Conductor 01"/>
    <s v="Conductor 02"/>
    <n v="187"/>
    <d v="1899-12-30T05:26:00"/>
    <n v="2026"/>
    <n v="8"/>
    <n v="2"/>
    <m/>
  </r>
  <r>
    <x v="7"/>
    <x v="1"/>
    <s v="Vehículo 01"/>
    <s v="Conductor 01"/>
    <s v="Conductor 02"/>
    <n v="266"/>
    <n v="7"/>
    <n v="2026"/>
    <n v="8"/>
    <n v="1"/>
    <m/>
  </r>
  <r>
    <x v="8"/>
    <x v="1"/>
    <s v="Vehículo 01"/>
    <s v="Conductor 01"/>
    <m/>
    <n v="298"/>
    <d v="1899-12-30T08:30:00"/>
    <n v="2026"/>
    <n v="7"/>
    <n v="31"/>
    <m/>
  </r>
  <r>
    <x v="8"/>
    <x v="1"/>
    <s v="Vehículo 01"/>
    <s v="Administrador"/>
    <m/>
    <n v="121"/>
    <d v="1899-12-30T02:30:00"/>
    <n v="2026"/>
    <n v="7"/>
    <n v="31"/>
    <m/>
  </r>
  <r>
    <x v="8"/>
    <x v="0"/>
    <s v="Vehículo 01"/>
    <s v="Administrador"/>
    <m/>
    <n v="74.900000000000006"/>
    <n v="2"/>
    <n v="2026"/>
    <n v="7"/>
    <n v="31"/>
    <m/>
  </r>
  <r>
    <x v="9"/>
    <x v="1"/>
    <s v="Vehículo 01"/>
    <s v="Conductor 01"/>
    <m/>
    <n v="201"/>
    <n v="7"/>
    <n v="2026"/>
    <n v="7"/>
    <n v="30"/>
    <m/>
  </r>
  <r>
    <x v="10"/>
    <x v="1"/>
    <s v="Vehículo 01"/>
    <s v="Conductor 01"/>
    <m/>
    <n v="254"/>
    <n v="7"/>
    <n v="2026"/>
    <n v="7"/>
    <n v="29"/>
    <m/>
  </r>
  <r>
    <x v="11"/>
    <x v="1"/>
    <s v="Vehículo 01"/>
    <s v="Conductor 01"/>
    <m/>
    <n v="92"/>
    <n v="4"/>
    <n v="2026"/>
    <n v="7"/>
    <n v="28"/>
    <m/>
  </r>
  <r>
    <x v="11"/>
    <x v="3"/>
    <s v="Vehículo 01"/>
    <s v="Administrador"/>
    <m/>
    <n v="218.4"/>
    <n v="5"/>
    <n v="2026"/>
    <n v="7"/>
    <n v="28"/>
    <m/>
  </r>
  <r>
    <x v="11"/>
    <x v="0"/>
    <s v="Vehículo 01"/>
    <s v="Administrador"/>
    <m/>
    <n v="97.1"/>
    <d v="1899-12-30T04:52:00"/>
    <n v="2026"/>
    <n v="7"/>
    <n v="28"/>
    <m/>
  </r>
  <r>
    <x v="12"/>
    <x v="1"/>
    <s v="Vehículo 01"/>
    <s v="Conductor 01"/>
    <m/>
    <n v="185.6"/>
    <d v="1899-12-30T06:10:00"/>
    <n v="2026"/>
    <n v="7"/>
    <n v="27"/>
    <m/>
  </r>
  <r>
    <x v="12"/>
    <x v="0"/>
    <s v="Vehículo 01"/>
    <s v="Administrador"/>
    <m/>
    <n v="119"/>
    <d v="1899-12-30T04:15:00"/>
    <n v="2026"/>
    <n v="7"/>
    <n v="27"/>
    <m/>
  </r>
  <r>
    <x v="13"/>
    <x v="1"/>
    <s v="Vehículo 01"/>
    <s v="Conductor 01"/>
    <s v="Conductor 02"/>
    <n v="167"/>
    <d v="1899-12-30T06:50:00"/>
    <n v="2026"/>
    <n v="7"/>
    <n v="26"/>
    <m/>
  </r>
  <r>
    <x v="14"/>
    <x v="1"/>
    <s v="Vehículo 01"/>
    <s v="Conductor 01"/>
    <m/>
    <n v="242"/>
    <d v="1899-12-30T06:40:00"/>
    <n v="2026"/>
    <n v="7"/>
    <n v="25"/>
    <m/>
  </r>
  <r>
    <x v="15"/>
    <x v="1"/>
    <s v="Vehículo 01"/>
    <s v="Conductor 01"/>
    <m/>
    <n v="185.6"/>
    <d v="1899-12-30T07:26:00"/>
    <n v="2026"/>
    <n v="7"/>
    <n v="24"/>
    <m/>
  </r>
  <r>
    <x v="16"/>
    <x v="1"/>
    <s v="Vehículo 01"/>
    <s v="Conductor 01"/>
    <m/>
    <n v="234"/>
    <m/>
    <n v="2026"/>
    <n v="7"/>
    <n v="23"/>
    <s v="INCENDIO SM"/>
  </r>
  <r>
    <x v="16"/>
    <x v="0"/>
    <s v="Vehículo 01"/>
    <s v="Administrador"/>
    <m/>
    <n v="96.5"/>
    <d v="1899-12-30T04:30:00"/>
    <n v="2026"/>
    <n v="7"/>
    <n v="23"/>
    <m/>
  </r>
  <r>
    <x v="17"/>
    <x v="1"/>
    <s v="Vehículo 01"/>
    <s v="Conductor 01"/>
    <m/>
    <n v="254"/>
    <n v="7"/>
    <n v="2026"/>
    <n v="7"/>
    <n v="22"/>
    <m/>
  </r>
  <r>
    <x v="18"/>
    <x v="1"/>
    <s v="Vehículo 01"/>
    <s v="Conductor 01"/>
    <m/>
    <n v="239"/>
    <n v="8"/>
    <n v="2026"/>
    <n v="7"/>
    <n v="21"/>
    <m/>
  </r>
  <r>
    <x v="19"/>
    <x v="1"/>
    <s v="Vehículo 01"/>
    <s v="Conductor 01"/>
    <m/>
    <n v="243.4"/>
    <d v="1899-12-30T07:50:00"/>
    <n v="2026"/>
    <n v="7"/>
    <n v="20"/>
    <m/>
  </r>
  <r>
    <x v="19"/>
    <x v="0"/>
    <s v="Vehículo 01"/>
    <s v="Administrador"/>
    <m/>
    <n v="96.5"/>
    <d v="1899-12-30T03:50:00"/>
    <n v="2026"/>
    <n v="7"/>
    <n v="20"/>
    <m/>
  </r>
  <r>
    <x v="20"/>
    <x v="1"/>
    <s v="Vehículo 01"/>
    <s v="Administrador"/>
    <s v="Conductor 01"/>
    <n v="183"/>
    <d v="1899-12-30T02:56:00"/>
    <n v="2026"/>
    <n v="7"/>
    <n v="19"/>
    <m/>
  </r>
  <r>
    <x v="20"/>
    <x v="0"/>
    <s v="Vehículo 01"/>
    <s v="Administrador"/>
    <s v="Conductor 01"/>
    <n v="97.8"/>
    <d v="1899-12-30T03:15:00"/>
    <n v="2026"/>
    <n v="7"/>
    <n v="19"/>
    <m/>
  </r>
  <r>
    <x v="21"/>
    <x v="1"/>
    <s v="Vehículo 01"/>
    <s v="Conductor 01"/>
    <m/>
    <n v="295"/>
    <n v="7"/>
    <n v="2026"/>
    <n v="7"/>
    <n v="18"/>
    <m/>
  </r>
  <r>
    <x v="22"/>
    <x v="1"/>
    <s v="Vehículo 01"/>
    <s v="Conductor 01"/>
    <m/>
    <n v="250.9"/>
    <d v="1899-12-30T07:40:00"/>
    <n v="2026"/>
    <n v="7"/>
    <n v="17"/>
    <m/>
  </r>
  <r>
    <x v="22"/>
    <x v="4"/>
    <s v="Vehículo 01"/>
    <s v="Conductor 01"/>
    <m/>
    <n v="60"/>
    <d v="1899-12-30T02:30:00"/>
    <n v="2026"/>
    <n v="7"/>
    <n v="17"/>
    <m/>
  </r>
  <r>
    <x v="23"/>
    <x v="1"/>
    <s v="Vehículo 01"/>
    <s v="Conductor 01"/>
    <m/>
    <n v="219"/>
    <d v="1899-12-30T07:30:00"/>
    <n v="2026"/>
    <n v="7"/>
    <n v="16"/>
    <m/>
  </r>
  <r>
    <x v="23"/>
    <x v="0"/>
    <s v="Vehículo 01"/>
    <s v="Administrador"/>
    <s v="Conductor 01"/>
    <n v="123.1"/>
    <d v="1899-12-30T03:45:00"/>
    <n v="2026"/>
    <n v="7"/>
    <n v="16"/>
    <m/>
  </r>
  <r>
    <x v="24"/>
    <x v="1"/>
    <s v="Vehículo 01"/>
    <s v="Conductor 01"/>
    <m/>
    <n v="223.2"/>
    <n v="8"/>
    <n v="2026"/>
    <n v="7"/>
    <n v="15"/>
    <m/>
  </r>
  <r>
    <x v="24"/>
    <x v="0"/>
    <s v="Vehículo 01"/>
    <s v="Administrador"/>
    <s v="Conductor 01"/>
    <n v="124.5"/>
    <d v="1899-12-30T06:15:00"/>
    <n v="2026"/>
    <n v="7"/>
    <n v="15"/>
    <m/>
  </r>
  <r>
    <x v="25"/>
    <x v="1"/>
    <s v="Vehículo 01"/>
    <s v="Conductor 01"/>
    <m/>
    <n v="162"/>
    <d v="1899-12-30T03:20:00"/>
    <n v="2026"/>
    <n v="7"/>
    <n v="14"/>
    <m/>
  </r>
  <r>
    <x v="25"/>
    <x v="0"/>
    <s v="Vehículo 01"/>
    <s v="Conductor 01"/>
    <m/>
    <n v="197"/>
    <d v="1899-12-30T09:40:00"/>
    <n v="2026"/>
    <n v="7"/>
    <n v="14"/>
    <m/>
  </r>
  <r>
    <x v="26"/>
    <x v="1"/>
    <s v="Vehículo 01"/>
    <s v="Conductor 01"/>
    <m/>
    <n v="247"/>
    <d v="1899-12-30T08:10:00"/>
    <n v="2026"/>
    <n v="7"/>
    <n v="13"/>
    <m/>
  </r>
  <r>
    <x v="26"/>
    <x v="0"/>
    <s v="Vehículo 01"/>
    <s v="Conductor 01"/>
    <m/>
    <n v="51.2"/>
    <d v="1899-12-30T03:30:00"/>
    <n v="2026"/>
    <n v="7"/>
    <n v="13"/>
    <m/>
  </r>
  <r>
    <x v="26"/>
    <x v="4"/>
    <s v="Vehículo 01"/>
    <s v="Conductor 01"/>
    <m/>
    <n v="92.1"/>
    <n v="3"/>
    <n v="2026"/>
    <n v="7"/>
    <n v="13"/>
    <s v="ENTREGA A BEXT VALLECAS"/>
  </r>
  <r>
    <x v="27"/>
    <x v="1"/>
    <s v="Vehículo 01"/>
    <s v="Administrador"/>
    <s v="Conductor 03"/>
    <n v="226"/>
    <d v="1899-12-30T05:15:00"/>
    <n v="2026"/>
    <n v="7"/>
    <n v="12"/>
    <m/>
  </r>
  <r>
    <x v="27"/>
    <x v="0"/>
    <s v="Vehículo 01"/>
    <s v="Administrador"/>
    <s v="Conductor 03"/>
    <n v="86"/>
    <n v="3"/>
    <n v="2026"/>
    <n v="7"/>
    <n v="12"/>
    <m/>
  </r>
  <r>
    <x v="28"/>
    <x v="1"/>
    <s v="Vehículo 01"/>
    <s v="Administrador"/>
    <s v="Conductor 03"/>
    <n v="145.69999999999999"/>
    <d v="1899-12-30T05:30:00"/>
    <n v="2026"/>
    <n v="7"/>
    <n v="11"/>
    <m/>
  </r>
  <r>
    <x v="28"/>
    <x v="0"/>
    <s v="Vehículo 01"/>
    <s v="Administrador"/>
    <m/>
    <n v="142.19999999999999"/>
    <d v="1899-12-30T03:30:00"/>
    <n v="2026"/>
    <n v="7"/>
    <n v="11"/>
    <m/>
  </r>
  <r>
    <x v="29"/>
    <x v="1"/>
    <s v="Vehículo 01"/>
    <s v="Conductor 01"/>
    <m/>
    <n v="224"/>
    <d v="1899-12-30T07:05:00"/>
    <n v="2026"/>
    <n v="7"/>
    <n v="10"/>
    <m/>
  </r>
  <r>
    <x v="29"/>
    <x v="0"/>
    <s v="Vehículo 01"/>
    <s v="Conductor 01"/>
    <m/>
    <n v="143.4"/>
    <d v="1899-12-30T05:10:00"/>
    <n v="2026"/>
    <n v="7"/>
    <n v="10"/>
    <m/>
  </r>
  <r>
    <x v="30"/>
    <x v="1"/>
    <s v="Vehículo 01"/>
    <s v="Conductor 01"/>
    <m/>
    <n v="252.4"/>
    <d v="1899-12-30T07:50:00"/>
    <n v="2026"/>
    <n v="7"/>
    <n v="9"/>
    <m/>
  </r>
  <r>
    <x v="30"/>
    <x v="0"/>
    <s v="Vehículo 01"/>
    <s v="Administrador"/>
    <s v="Conductor 01"/>
    <n v="111.1"/>
    <d v="1899-12-30T03:20:00"/>
    <n v="2026"/>
    <n v="7"/>
    <n v="9"/>
    <m/>
  </r>
  <r>
    <x v="31"/>
    <x v="1"/>
    <s v="Vehículo 01"/>
    <s v="Conductor 01"/>
    <m/>
    <n v="131"/>
    <d v="1899-12-30T07:53:00"/>
    <n v="2026"/>
    <n v="7"/>
    <n v="8"/>
    <m/>
  </r>
  <r>
    <x v="31"/>
    <x v="0"/>
    <s v="Vehículo 01"/>
    <s v="Administrador"/>
    <s v="Conductor 01"/>
    <n v="97.8"/>
    <d v="1899-12-30T03:45:00"/>
    <n v="2026"/>
    <n v="7"/>
    <n v="8"/>
    <m/>
  </r>
  <r>
    <x v="32"/>
    <x v="1"/>
    <s v="Vehículo 01"/>
    <s v="Conductor 01"/>
    <m/>
    <n v="241.9"/>
    <d v="1899-12-30T07:30:00"/>
    <n v="2026"/>
    <n v="7"/>
    <n v="7"/>
    <m/>
  </r>
  <r>
    <x v="32"/>
    <x v="0"/>
    <s v="Vehículo 01"/>
    <s v="Administrador"/>
    <s v="Conductor 01"/>
    <n v="136.30000000000001"/>
    <n v="5"/>
    <n v="2026"/>
    <n v="7"/>
    <n v="7"/>
    <m/>
  </r>
  <r>
    <x v="33"/>
    <x v="1"/>
    <s v="Vehículo 01"/>
    <s v="Conductor 01"/>
    <m/>
    <n v="205.6"/>
    <n v="8"/>
    <n v="2026"/>
    <n v="7"/>
    <n v="6"/>
    <m/>
  </r>
  <r>
    <x v="33"/>
    <x v="0"/>
    <s v="Vehículo 01"/>
    <s v="Administrador"/>
    <s v="Conductor 01"/>
    <n v="119.2"/>
    <n v="5"/>
    <n v="2026"/>
    <n v="7"/>
    <n v="6"/>
    <m/>
  </r>
  <r>
    <x v="34"/>
    <x v="1"/>
    <s v="Vehículo 01"/>
    <s v="Conductor 01"/>
    <m/>
    <n v="164"/>
    <d v="1899-12-30T06:50:00"/>
    <n v="2026"/>
    <n v="7"/>
    <n v="5"/>
    <m/>
  </r>
  <r>
    <x v="34"/>
    <x v="0"/>
    <s v="Vehículo 01"/>
    <s v="Conductor 01"/>
    <m/>
    <n v="137"/>
    <d v="1899-12-30T05:20:00"/>
    <n v="2026"/>
    <n v="7"/>
    <n v="5"/>
    <m/>
  </r>
  <r>
    <x v="35"/>
    <x v="1"/>
    <s v="Vehículo 01"/>
    <s v="Conductor 01"/>
    <m/>
    <n v="222"/>
    <m/>
    <n v="2026"/>
    <n v="7"/>
    <n v="4"/>
    <m/>
  </r>
  <r>
    <x v="36"/>
    <x v="1"/>
    <s v="Vehículo 01"/>
    <s v="Conductor 01"/>
    <m/>
    <n v="243.3"/>
    <d v="1899-12-30T12:49:00"/>
    <n v="2026"/>
    <n v="7"/>
    <n v="3"/>
    <m/>
  </r>
  <r>
    <x v="37"/>
    <x v="1"/>
    <s v="Vehículo 01"/>
    <s v="Conductor 01"/>
    <m/>
    <n v="157.1"/>
    <n v="8"/>
    <n v="2026"/>
    <n v="7"/>
    <n v="2"/>
    <m/>
  </r>
  <r>
    <x v="37"/>
    <x v="0"/>
    <s v="Vehículo 01"/>
    <s v="Administrador"/>
    <s v="Conductor 01"/>
    <n v="131.5"/>
    <n v="6"/>
    <n v="2026"/>
    <n v="7"/>
    <n v="2"/>
    <m/>
  </r>
  <r>
    <x v="38"/>
    <x v="1"/>
    <s v="Vehículo 01"/>
    <s v="Conductor 01"/>
    <m/>
    <n v="87.4"/>
    <d v="1899-12-30T08:30:00"/>
    <n v="2026"/>
    <n v="7"/>
    <n v="1"/>
    <m/>
  </r>
  <r>
    <x v="38"/>
    <x v="0"/>
    <s v="Vehículo 01"/>
    <s v="Administrador"/>
    <s v="Conductor 01"/>
    <n v="102"/>
    <n v="4"/>
    <n v="2026"/>
    <n v="7"/>
    <n v="1"/>
    <s v="SERV: -35 (SANSE A BOADILLA)"/>
  </r>
  <r>
    <x v="39"/>
    <x v="1"/>
    <s v="Vehículo 01"/>
    <s v="Conductor 01"/>
    <m/>
    <n v="192.8"/>
    <n v="10"/>
    <n v="2026"/>
    <n v="6"/>
    <n v="30"/>
    <m/>
  </r>
  <r>
    <x v="39"/>
    <x v="0"/>
    <s v="Vehículo 01"/>
    <s v="Administrador"/>
    <m/>
    <n v="132"/>
    <n v="5"/>
    <n v="2026"/>
    <n v="6"/>
    <n v="30"/>
    <m/>
  </r>
  <r>
    <x v="40"/>
    <x v="1"/>
    <s v="Vehículo 01"/>
    <s v="Conductor 01"/>
    <m/>
    <n v="236"/>
    <d v="1899-12-30T10:25:00"/>
    <n v="2026"/>
    <n v="6"/>
    <n v="29"/>
    <s v="VF1JZ14A647273724"/>
  </r>
  <r>
    <x v="40"/>
    <x v="0"/>
    <s v="Vehículo 01"/>
    <s v="Administrador"/>
    <m/>
    <n v="180.1"/>
    <n v="6.3"/>
    <n v="2026"/>
    <n v="6"/>
    <n v="29"/>
    <m/>
  </r>
  <r>
    <x v="41"/>
    <x v="1"/>
    <s v="Vehículo 01"/>
    <s v="Conductor 01"/>
    <m/>
    <n v="170"/>
    <n v="7"/>
    <n v="2026"/>
    <n v="6"/>
    <n v="28"/>
    <m/>
  </r>
  <r>
    <x v="42"/>
    <x v="1"/>
    <s v="Vehículo 01"/>
    <s v="Conductor 01"/>
    <m/>
    <n v="315"/>
    <d v="1899-12-30T09:54:00"/>
    <n v="2026"/>
    <n v="6"/>
    <n v="27"/>
    <m/>
  </r>
  <r>
    <x v="43"/>
    <x v="1"/>
    <s v="Vehículo 01"/>
    <s v="Conductor 01"/>
    <m/>
    <n v="249"/>
    <d v="1899-12-30T07:20:00"/>
    <n v="2026"/>
    <n v="6"/>
    <n v="26"/>
    <m/>
  </r>
  <r>
    <x v="43"/>
    <x v="0"/>
    <s v="Vehículo 01"/>
    <s v="Conductor 01"/>
    <m/>
    <n v="171"/>
    <n v="8"/>
    <n v="2026"/>
    <n v="6"/>
    <n v="26"/>
    <m/>
  </r>
  <r>
    <x v="44"/>
    <x v="1"/>
    <s v="Vehículo 01"/>
    <s v="Conductor 01"/>
    <m/>
    <n v="247"/>
    <n v="10"/>
    <n v="2026"/>
    <n v="6"/>
    <n v="25"/>
    <m/>
  </r>
  <r>
    <x v="45"/>
    <x v="1"/>
    <s v="Vehículo 01"/>
    <s v="Conductor 01"/>
    <m/>
    <n v="258"/>
    <d v="1899-12-30T09:41:00"/>
    <n v="2026"/>
    <n v="6"/>
    <n v="24"/>
    <m/>
  </r>
  <r>
    <x v="46"/>
    <x v="1"/>
    <s v="Vehículo 01"/>
    <s v="Conductor 01"/>
    <m/>
    <n v="220"/>
    <n v="9"/>
    <n v="2026"/>
    <n v="6"/>
    <n v="23"/>
    <m/>
  </r>
  <r>
    <x v="47"/>
    <x v="1"/>
    <s v="Vehículo 01"/>
    <s v="Conductor 01"/>
    <m/>
    <n v="280"/>
    <n v="7"/>
    <n v="2026"/>
    <n v="6"/>
    <n v="22"/>
    <m/>
  </r>
  <r>
    <x v="47"/>
    <x v="5"/>
    <s v="Vehículo 01"/>
    <s v="Conductor 01"/>
    <m/>
    <n v="110"/>
    <n v="4"/>
    <n v="2026"/>
    <n v="6"/>
    <n v="22"/>
    <m/>
  </r>
  <r>
    <x v="48"/>
    <x v="1"/>
    <s v="Vehículo 01"/>
    <s v="Conductor 01"/>
    <m/>
    <n v="184"/>
    <m/>
    <n v="2026"/>
    <n v="6"/>
    <n v="21"/>
    <m/>
  </r>
  <r>
    <x v="49"/>
    <x v="1"/>
    <s v="Vehículo 01"/>
    <s v="Conductor 01"/>
    <m/>
    <n v="300"/>
    <m/>
    <n v="2026"/>
    <n v="6"/>
    <n v="20"/>
    <m/>
  </r>
  <r>
    <x v="50"/>
    <x v="1"/>
    <s v="Vehículo 01"/>
    <s v="Conductor 01"/>
    <m/>
    <n v="325"/>
    <m/>
    <n v="2026"/>
    <n v="6"/>
    <n v="19"/>
    <m/>
  </r>
  <r>
    <x v="50"/>
    <x v="5"/>
    <s v="Vehículo 01"/>
    <s v="Conductor 01"/>
    <m/>
    <n v="162"/>
    <m/>
    <n v="2026"/>
    <n v="6"/>
    <n v="19"/>
    <m/>
  </r>
  <r>
    <x v="51"/>
    <x v="5"/>
    <s v="Vehículo 01"/>
    <s v="Conductor 01"/>
    <m/>
    <n v="94"/>
    <m/>
    <n v="2026"/>
    <n v="6"/>
    <n v="18"/>
    <m/>
  </r>
  <r>
    <x v="52"/>
    <x v="5"/>
    <s v="Vehículo 01"/>
    <s v="Conductor 01"/>
    <m/>
    <n v="124"/>
    <m/>
    <n v="2026"/>
    <n v="6"/>
    <n v="17"/>
    <m/>
  </r>
  <r>
    <x v="53"/>
    <x v="5"/>
    <s v="Vehículo 01"/>
    <s v="Conductor 01"/>
    <m/>
    <n v="84"/>
    <m/>
    <n v="2026"/>
    <n v="6"/>
    <n v="16"/>
    <m/>
  </r>
  <r>
    <x v="54"/>
    <x v="5"/>
    <s v="Vehículo 01"/>
    <s v="Conductor 01"/>
    <m/>
    <n v="264"/>
    <m/>
    <n v="2026"/>
    <n v="6"/>
    <n v="15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s v="S000139"/>
    <x v="0"/>
    <s v="Cliente 01"/>
    <s v="Ilunion"/>
    <x v="0"/>
    <x v="0"/>
    <s v="Administrador"/>
    <m/>
    <s v="Boadilla (Base Ilunion)"/>
    <s v="Boadilla (Base Ilunion)"/>
    <n v="63.6"/>
    <m/>
    <m/>
    <n v="120"/>
    <s v="Pendiente"/>
    <n v="2026"/>
    <n v="9"/>
    <n v="3"/>
    <m/>
    <s v="3 puntos, 120e"/>
  </r>
  <r>
    <s v="S000138"/>
    <x v="1"/>
    <s v="Cliente 01"/>
    <s v="Ilunion"/>
    <x v="1"/>
    <x v="0"/>
    <s v="Conductor 01"/>
    <m/>
    <s v="Boadilla (Base Ilunion)"/>
    <s v="Boadilla (Base Ilunion)"/>
    <n v="96.6"/>
    <m/>
    <m/>
    <n v="180"/>
    <s v="Pendiente"/>
    <n v="2026"/>
    <n v="9"/>
    <n v="3"/>
    <m/>
    <m/>
  </r>
  <r>
    <s v="S000137"/>
    <x v="2"/>
    <s v="Cliente 01"/>
    <s v="Ilunion"/>
    <x v="1"/>
    <x v="0"/>
    <s v="Conductor 01"/>
    <m/>
    <s v="Boadilla (Base Ilunion)"/>
    <s v="Boadilla (Base Ilunion)"/>
    <n v="199.6"/>
    <m/>
    <m/>
    <n v="180"/>
    <s v="Pendiente"/>
    <n v="2026"/>
    <n v="9"/>
    <n v="3"/>
    <m/>
    <m/>
  </r>
  <r>
    <s v="S000136"/>
    <x v="3"/>
    <s v="Cliente 01"/>
    <s v="Ilunion"/>
    <x v="1"/>
    <x v="0"/>
    <s v="Conductor 01"/>
    <m/>
    <s v="Boadilla (Base Ilunion)"/>
    <s v="Boadilla (Base Ilunion)"/>
    <n v="239"/>
    <m/>
    <m/>
    <n v="180"/>
    <s v="Pendiente"/>
    <n v="2026"/>
    <n v="9"/>
    <n v="3"/>
    <m/>
    <m/>
  </r>
  <r>
    <s v="S000135"/>
    <x v="4"/>
    <s v="Cliente 01"/>
    <s v="Ilunion"/>
    <x v="1"/>
    <x v="0"/>
    <s v="Conductor 01"/>
    <m/>
    <s v="Boadilla (Base Ilunion)"/>
    <s v="Boadilla (Base Ilunion)"/>
    <n v="144.6"/>
    <m/>
    <m/>
    <n v="180"/>
    <s v="Pendiente"/>
    <n v="2026"/>
    <n v="9"/>
    <n v="3"/>
    <m/>
    <m/>
  </r>
  <r>
    <s v="S000134"/>
    <x v="5"/>
    <s v="Cliente 01"/>
    <s v="Ilunion"/>
    <x v="1"/>
    <x v="0"/>
    <s v="Conductor 01"/>
    <m/>
    <s v="Boadilla (Base Ilunion)"/>
    <s v="Boadilla (Base Ilunion)"/>
    <n v="165"/>
    <m/>
    <m/>
    <n v="180"/>
    <s v="Pendiente"/>
    <n v="2026"/>
    <n v="9"/>
    <n v="3"/>
    <m/>
    <m/>
  </r>
  <r>
    <s v="S000133"/>
    <x v="5"/>
    <s v="Cliente 01"/>
    <s v="Ilunion"/>
    <x v="0"/>
    <x v="0"/>
    <s v="Conductor 01"/>
    <m/>
    <s v="Boadilla (Base Ilunion)"/>
    <s v="Boadilla (Base Ilunion)"/>
    <n v="102"/>
    <m/>
    <m/>
    <n v="160"/>
    <s v="Pendiente"/>
    <n v="2026"/>
    <n v="9"/>
    <n v="3"/>
    <m/>
    <s v="4 Puntos, 160e"/>
  </r>
  <r>
    <s v="S000132"/>
    <x v="5"/>
    <s v="Cliente 01"/>
    <s v="Ilunion"/>
    <x v="2"/>
    <x v="0"/>
    <s v="Conductor 01"/>
    <m/>
    <s v="Guadalajara (Base Ilunion)"/>
    <s v="Guadalajara (Base Ilunion)"/>
    <n v="107.5"/>
    <m/>
    <m/>
    <n v="80"/>
    <s v="Pendiente"/>
    <n v="2026"/>
    <n v="9"/>
    <n v="3"/>
    <m/>
    <s v="NO HACE NADA, SE LLEVARON SUS CARROS, IDA Y VUELTA A TALLER"/>
  </r>
  <r>
    <s v="S000131"/>
    <x v="6"/>
    <s v="Cliente 01"/>
    <s v="Ilunion"/>
    <x v="1"/>
    <x v="0"/>
    <s v="Conductor 01"/>
    <m/>
    <s v="Boadilla (Base Ilunion)"/>
    <s v="Boadilla (Base Ilunion)"/>
    <n v="129.6"/>
    <m/>
    <m/>
    <n v="180"/>
    <s v="Pendiente"/>
    <n v="2026"/>
    <n v="9"/>
    <n v="3"/>
    <m/>
    <m/>
  </r>
  <r>
    <s v="S000130"/>
    <x v="6"/>
    <s v="Cliente 01"/>
    <s v="Ilunion"/>
    <x v="0"/>
    <x v="0"/>
    <s v="Administrador"/>
    <m/>
    <s v="Boadilla (Base Ilunion)"/>
    <s v="Boadilla (Base Ilunion)"/>
    <n v="62.7"/>
    <m/>
    <m/>
    <n v="120"/>
    <s v="Pendiente"/>
    <n v="2026"/>
    <n v="9"/>
    <n v="3"/>
    <m/>
    <s v="3 puntos, 120e"/>
  </r>
  <r>
    <s v="S000129"/>
    <x v="6"/>
    <s v="Cliente 01"/>
    <s v="Ilunion"/>
    <x v="2"/>
    <x v="0"/>
    <s v="Administrador"/>
    <m/>
    <s v="Guadalajara (Base Ilunion)"/>
    <s v="Hotel Hyatt Regency Residences"/>
    <n v="59"/>
    <m/>
    <m/>
    <n v="80"/>
    <s v="Pendiente"/>
    <n v="2026"/>
    <n v="9"/>
    <n v="3"/>
    <m/>
    <s v="Solo entrega limpios"/>
  </r>
  <r>
    <s v="S000128"/>
    <x v="7"/>
    <s v="Cliente 01"/>
    <s v="Ilunion"/>
    <x v="1"/>
    <x v="0"/>
    <s v="Conductor 01"/>
    <m/>
    <s v="Boadilla (Base Ilunion)"/>
    <s v="Boadilla (Base Ilunion)"/>
    <n v="187.6"/>
    <m/>
    <m/>
    <n v="180"/>
    <s v="Pendiente"/>
    <n v="2026"/>
    <n v="8"/>
    <n v="3"/>
    <s v="FE000003"/>
    <m/>
  </r>
  <r>
    <s v="S000127"/>
    <x v="7"/>
    <s v="Cliente 01"/>
    <s v="Ilunion"/>
    <x v="2"/>
    <x v="0"/>
    <s v="Administrador"/>
    <m/>
    <s v="Guadalajara (Base Ilunion)"/>
    <s v="Guadalajara (Base Ilunion)"/>
    <n v="117"/>
    <m/>
    <m/>
    <n v="120"/>
    <s v="Pendiente"/>
    <n v="2026"/>
    <n v="8"/>
    <n v="3"/>
    <s v="FE000003"/>
    <m/>
  </r>
  <r>
    <s v="S000126"/>
    <x v="8"/>
    <s v="Cliente 01"/>
    <s v="Ilunion"/>
    <x v="1"/>
    <x v="0"/>
    <s v="Conductor 01"/>
    <m/>
    <s v="Boadilla (Base Ilunion)"/>
    <s v="Boadilla (Base Ilunion)"/>
    <n v="47.6"/>
    <m/>
    <m/>
    <n v="180"/>
    <s v="Pendiente"/>
    <n v="2026"/>
    <n v="8"/>
    <n v="3"/>
    <s v="FE000003"/>
    <m/>
  </r>
  <r>
    <s v="S000125"/>
    <x v="9"/>
    <s v="Cliente 01"/>
    <s v="Ilunion"/>
    <x v="1"/>
    <x v="0"/>
    <s v="Conductor 01"/>
    <m/>
    <s v="Boadilla (Base Ilunion)"/>
    <s v="Boadilla (Base Ilunion)"/>
    <n v="208.6"/>
    <m/>
    <m/>
    <n v="180"/>
    <s v="Pendiente"/>
    <n v="2026"/>
    <n v="8"/>
    <n v="3"/>
    <s v="FE000003"/>
    <m/>
  </r>
  <r>
    <s v="S000124"/>
    <x v="10"/>
    <s v="Cliente 01"/>
    <s v="Ilunion"/>
    <x v="1"/>
    <x v="0"/>
    <s v="Conductor 01"/>
    <m/>
    <s v="Boadilla (Base Ilunion)"/>
    <s v="Boadilla (Base Ilunion)"/>
    <n v="238.8"/>
    <m/>
    <m/>
    <n v="180"/>
    <s v="Pendiente"/>
    <n v="2026"/>
    <n v="8"/>
    <n v="3"/>
    <s v="FE000003"/>
    <s v="Retraso en planta, 2h de espera de Julio para 2 viaje"/>
  </r>
  <r>
    <s v="S000123"/>
    <x v="10"/>
    <s v="Cliente 01"/>
    <s v="Ilunion"/>
    <x v="2"/>
    <x v="0"/>
    <s v="Administrador"/>
    <m/>
    <s v="Cliente final 01"/>
    <s v="Guadalajara (Base Ilunion)"/>
    <n v="215"/>
    <m/>
    <m/>
    <n v="220"/>
    <s v="Pendiente"/>
    <n v="2026"/>
    <n v="8"/>
    <n v="3"/>
    <s v="FE000003"/>
    <s v="Recogida sucio en el centro, llevo a Base, llevo limpio a centro, Boadilla y vuelta"/>
  </r>
  <r>
    <s v="S000122"/>
    <x v="11"/>
    <s v="Cliente 01"/>
    <s v="Ilunion"/>
    <x v="1"/>
    <x v="0"/>
    <s v="Conductor 01"/>
    <m/>
    <s v="Boadilla (Base Ilunion)"/>
    <s v="Boadilla (Base Ilunion)"/>
    <n v="174"/>
    <m/>
    <m/>
    <n v="180"/>
    <s v="Pendiente"/>
    <n v="2026"/>
    <n v="8"/>
    <n v="3"/>
    <s v="FE000003"/>
    <m/>
  </r>
  <r>
    <s v="S000121"/>
    <x v="11"/>
    <s v="Cliente 01"/>
    <s v="Ilunion"/>
    <x v="0"/>
    <x v="0"/>
    <s v="Administrador"/>
    <m/>
    <s v="Boadilla (Base Ilunion)"/>
    <s v="Boadilla (Base Ilunion)"/>
    <n v="65.7"/>
    <m/>
    <m/>
    <n v="120"/>
    <s v="Pendiente"/>
    <n v="2026"/>
    <n v="8"/>
    <n v="3"/>
    <s v="FE000003"/>
    <s v="3 puntos, 120e"/>
  </r>
  <r>
    <s v="S000120"/>
    <x v="11"/>
    <s v="Cliente 01"/>
    <s v="Ilunion"/>
    <x v="2"/>
    <x v="0"/>
    <s v="Administrador"/>
    <m/>
    <s v="Guadalajara (Base Ilunion)"/>
    <s v="Hotel Hyatt Regency Residences"/>
    <n v="60.7"/>
    <m/>
    <m/>
    <n v="80"/>
    <s v="Pendiente"/>
    <n v="2026"/>
    <n v="8"/>
    <n v="3"/>
    <s v="FE000003"/>
    <s v="Solo entrega limpios"/>
  </r>
  <r>
    <s v="S000119"/>
    <x v="12"/>
    <s v="Cliente 01"/>
    <s v="Ilunion"/>
    <x v="1"/>
    <x v="0"/>
    <s v="Conductor 01"/>
    <m/>
    <s v="Boadilla (Base Ilunion)"/>
    <s v="Boadilla (Base Ilunion)"/>
    <n v="188"/>
    <m/>
    <m/>
    <n v="180"/>
    <s v="Pendiente"/>
    <n v="2026"/>
    <n v="8"/>
    <n v="3"/>
    <s v="FE000003"/>
    <m/>
  </r>
  <r>
    <s v="S000118"/>
    <x v="12"/>
    <s v="Cliente 01"/>
    <s v="Ilunion"/>
    <x v="0"/>
    <x v="0"/>
    <s v="Administrador"/>
    <m/>
    <s v="Boadilla (Base Ilunion)"/>
    <s v="Boadilla (Base Ilunion)"/>
    <n v="64"/>
    <m/>
    <m/>
    <n v="120"/>
    <s v="Pendiente"/>
    <n v="2026"/>
    <n v="8"/>
    <n v="3"/>
    <s v="FE000003"/>
    <s v="3 puntos, 120e"/>
  </r>
  <r>
    <s v="S000117"/>
    <x v="12"/>
    <s v="Cliente 01"/>
    <s v="Ilunion"/>
    <x v="2"/>
    <x v="0"/>
    <s v="Administrador"/>
    <m/>
    <s v="Guadalajara (Base Ilunion)"/>
    <s v="Hotel Hyatt Regency Residences"/>
    <n v="58.9"/>
    <m/>
    <m/>
    <n v="80"/>
    <s v="Pendiente"/>
    <n v="2026"/>
    <n v="8"/>
    <n v="3"/>
    <s v="FE000003"/>
    <s v="Solo entrega limpios"/>
  </r>
  <r>
    <s v="S000116"/>
    <x v="13"/>
    <s v="Cliente 01"/>
    <s v="Ilunion"/>
    <x v="1"/>
    <x v="0"/>
    <s v="Conductor 01"/>
    <m/>
    <s v="Boadilla (Base Ilunion)"/>
    <s v="Boadilla (Base Ilunion)"/>
    <n v="166"/>
    <m/>
    <m/>
    <n v="180"/>
    <s v="Pendiente"/>
    <n v="2026"/>
    <n v="8"/>
    <n v="3"/>
    <s v="FE000003"/>
    <m/>
  </r>
  <r>
    <s v="S000115"/>
    <x v="13"/>
    <s v="Cliente 01"/>
    <s v="Ilunion"/>
    <x v="0"/>
    <x v="0"/>
    <s v="Administrador"/>
    <m/>
    <s v="Boadilla (Base Ilunion)"/>
    <s v="Boadilla (Base Ilunion)"/>
    <n v="63.7"/>
    <m/>
    <m/>
    <n v="120"/>
    <s v="Pendiente"/>
    <n v="2026"/>
    <n v="8"/>
    <n v="3"/>
    <s v="FE000003"/>
    <s v="3 puntos, 120e"/>
  </r>
  <r>
    <s v="S000114"/>
    <x v="13"/>
    <s v="Cliente 01"/>
    <s v="Ilunion"/>
    <x v="2"/>
    <x v="0"/>
    <s v="Administrador"/>
    <m/>
    <s v="Guadalajara (Base Ilunion)"/>
    <s v="Hotel Hyatt Regency Residences"/>
    <n v="59.5"/>
    <m/>
    <m/>
    <n v="80"/>
    <s v="Pendiente"/>
    <n v="2026"/>
    <n v="8"/>
    <n v="3"/>
    <s v="FE000003"/>
    <s v="Solo entrega limpios"/>
  </r>
  <r>
    <s v="S000113"/>
    <x v="14"/>
    <s v="Cliente 01"/>
    <s v="Ilunion"/>
    <x v="1"/>
    <x v="0"/>
    <s v="Conductor 01"/>
    <m/>
    <s v="Boadilla (Base Ilunion)"/>
    <s v="Boadilla (Base Ilunion)"/>
    <n v="218.6"/>
    <n v="40"/>
    <s v="Punto extra"/>
    <n v="220"/>
    <s v="Pendiente"/>
    <n v="2026"/>
    <n v="8"/>
    <n v="3"/>
    <s v="FE000003"/>
    <s v="Se pasa por Getafe para recoger sucio, punto extra 40€"/>
  </r>
  <r>
    <s v="S000112"/>
    <x v="14"/>
    <s v="Cliente 01"/>
    <s v="Ilunion"/>
    <x v="2"/>
    <x v="0"/>
    <s v="Administrador"/>
    <m/>
    <s v="Guadalajara (Base Ilunion)"/>
    <s v="Guadalajara (Base Ilunion)"/>
    <n v="119"/>
    <m/>
    <m/>
    <n v="120"/>
    <s v="Pendiente"/>
    <n v="2026"/>
    <n v="8"/>
    <n v="3"/>
    <s v="FE000003"/>
    <m/>
  </r>
  <r>
    <s v="S000111"/>
    <x v="15"/>
    <s v="Cliente 01"/>
    <s v="Ilunion"/>
    <x v="1"/>
    <x v="0"/>
    <s v="Conductor 01"/>
    <m/>
    <s v="Boadilla (Base Ilunion)"/>
    <s v="Boadilla (Base Ilunion)"/>
    <n v="48.9"/>
    <m/>
    <m/>
    <n v="180"/>
    <s v="Pendiente"/>
    <n v="2026"/>
    <n v="8"/>
    <n v="3"/>
    <s v="FE000003"/>
    <s v="Fuencarrales, 1 viaje"/>
  </r>
  <r>
    <s v="S000110"/>
    <x v="16"/>
    <s v="Cliente 01"/>
    <s v="Ilunion"/>
    <x v="1"/>
    <x v="0"/>
    <s v="Conductor 01"/>
    <m/>
    <s v="Boadilla (Base Ilunion)"/>
    <s v="Boadilla (Base Ilunion)"/>
    <n v="225.7"/>
    <m/>
    <m/>
    <n v="180"/>
    <s v="Pendiente"/>
    <n v="2026"/>
    <n v="8"/>
    <n v="3"/>
    <s v="FE000003"/>
    <m/>
  </r>
  <r>
    <s v="S000109"/>
    <x v="17"/>
    <s v="Cliente 01"/>
    <s v="Ilunion"/>
    <x v="1"/>
    <x v="0"/>
    <s v="Conductor 01"/>
    <m/>
    <s v="Boadilla (Base Ilunion)"/>
    <s v="Boadilla (Base Ilunion)"/>
    <n v="242.6"/>
    <m/>
    <m/>
    <n v="180"/>
    <s v="Pendiente"/>
    <n v="2026"/>
    <n v="8"/>
    <n v="3"/>
    <s v="FE000003"/>
    <m/>
  </r>
  <r>
    <s v="S000108"/>
    <x v="17"/>
    <s v="Cliente 01"/>
    <s v="Ilunion"/>
    <x v="0"/>
    <x v="0"/>
    <s v="Administrador"/>
    <m/>
    <s v="Boadilla (Base Ilunion)"/>
    <s v="Boadilla (Base Ilunion)"/>
    <n v="84"/>
    <m/>
    <m/>
    <n v="120"/>
    <s v="Pendiente"/>
    <n v="2026"/>
    <n v="8"/>
    <n v="3"/>
    <s v="FE000003"/>
    <s v="3 puntos, 120e"/>
  </r>
  <r>
    <s v="S000107"/>
    <x v="17"/>
    <s v="Cliente 01"/>
    <s v="Ilunion"/>
    <x v="2"/>
    <x v="0"/>
    <s v="Administrador"/>
    <m/>
    <s v="Guadalajara (Base Ilunion)"/>
    <s v="Hotel Hyatt Regency Residences"/>
    <n v="58"/>
    <m/>
    <m/>
    <n v="80"/>
    <s v="Pendiente"/>
    <n v="2026"/>
    <n v="8"/>
    <n v="3"/>
    <s v="FE000003"/>
    <s v="Solo entrega limpios"/>
  </r>
  <r>
    <s v="S000106"/>
    <x v="18"/>
    <s v="Cliente 01"/>
    <s v="Ilunion"/>
    <x v="1"/>
    <x v="0"/>
    <s v="Conductor 01"/>
    <m/>
    <s v="Boadilla (Base Ilunion)"/>
    <s v="Boadilla (Base Ilunion)"/>
    <n v="181"/>
    <m/>
    <m/>
    <n v="180"/>
    <s v="Pendiente"/>
    <n v="2026"/>
    <n v="8"/>
    <n v="3"/>
    <s v="FE000003"/>
    <m/>
  </r>
  <r>
    <s v="S000105"/>
    <x v="18"/>
    <s v="Cliente 01"/>
    <s v="Ilunion"/>
    <x v="0"/>
    <x v="0"/>
    <s v="Administrador"/>
    <m/>
    <s v="Boadilla (Base Ilunion)"/>
    <s v="Boadilla (Base Ilunion)"/>
    <n v="64"/>
    <m/>
    <m/>
    <n v="120"/>
    <s v="Pendiente"/>
    <n v="2026"/>
    <n v="8"/>
    <n v="3"/>
    <s v="FE000003"/>
    <s v="3 puntos, 120e"/>
  </r>
  <r>
    <s v="S000104"/>
    <x v="18"/>
    <s v="Cliente 01"/>
    <s v="Ilunion"/>
    <x v="2"/>
    <x v="0"/>
    <s v="Administrador"/>
    <m/>
    <s v="Guadalajara (Base Ilunion)"/>
    <s v="Hotel Hyatt Regency Residences"/>
    <n v="59.6"/>
    <m/>
    <m/>
    <n v="80"/>
    <s v="Pendiente"/>
    <n v="2026"/>
    <n v="8"/>
    <n v="3"/>
    <s v="FE000003"/>
    <s v="No hago vuelta a Guadalajara, solo entrego limpios y me voy a Boadilla"/>
  </r>
  <r>
    <s v="S000103"/>
    <x v="19"/>
    <s v="Cliente 01"/>
    <s v="Ilunion"/>
    <x v="1"/>
    <x v="0"/>
    <s v="Conductor 01"/>
    <m/>
    <s v="Boadilla (Base Ilunion)"/>
    <s v="Boadilla (Base Ilunion)"/>
    <n v="174"/>
    <m/>
    <m/>
    <n v="180"/>
    <s v="Pendiente"/>
    <n v="2026"/>
    <n v="8"/>
    <n v="3"/>
    <s v="FE000003"/>
    <m/>
  </r>
  <r>
    <s v="S000102"/>
    <x v="19"/>
    <s v="Cliente 01"/>
    <s v="Ilunion"/>
    <x v="2"/>
    <x v="0"/>
    <s v="Administrador"/>
    <m/>
    <s v="Guadalajara (Base Ilunion)"/>
    <s v="Guadalajara (Base Ilunion)"/>
    <n v="131.6"/>
    <m/>
    <m/>
    <n v="120"/>
    <s v="Pendiente"/>
    <n v="2026"/>
    <n v="8"/>
    <n v="3"/>
    <s v="FE000003"/>
    <s v="Solo hago 1 punto, Santos Praga."/>
  </r>
  <r>
    <s v="S000101"/>
    <x v="20"/>
    <s v="Cliente 01"/>
    <s v="Ilunion"/>
    <x v="1"/>
    <x v="0"/>
    <s v="Conductor 01"/>
    <m/>
    <s v="Boadilla (Base Ilunion)"/>
    <s v="Boadilla (Base Ilunion)"/>
    <n v="161.6"/>
    <m/>
    <m/>
    <n v="180"/>
    <s v="Pendiente"/>
    <n v="2026"/>
    <n v="8"/>
    <n v="3"/>
    <s v="FE000003"/>
    <m/>
  </r>
  <r>
    <s v="S000100"/>
    <x v="20"/>
    <s v="Cliente 01"/>
    <s v="Ilunion"/>
    <x v="2"/>
    <x v="0"/>
    <s v="Administrador"/>
    <m/>
    <s v="Guadalajara (Base Ilunion)"/>
    <s v="Guadalajara (Base Ilunion)"/>
    <n v="117"/>
    <m/>
    <m/>
    <n v="120"/>
    <s v="Pendiente"/>
    <n v="2026"/>
    <n v="8"/>
    <n v="3"/>
    <s v="FE000003"/>
    <m/>
  </r>
  <r>
    <s v="S000099"/>
    <x v="21"/>
    <s v="Cliente 01"/>
    <s v="Ilunion"/>
    <x v="1"/>
    <x v="0"/>
    <s v="Conductor 01"/>
    <m/>
    <s v="Boadilla (Base Ilunion)"/>
    <s v="Boadilla (Base Ilunion)"/>
    <n v="185.6"/>
    <m/>
    <m/>
    <n v="180"/>
    <s v="Pendiente"/>
    <n v="2026"/>
    <n v="8"/>
    <n v="3"/>
    <s v="FE000003"/>
    <m/>
  </r>
  <r>
    <s v="S000098"/>
    <x v="21"/>
    <s v="Cliente 01"/>
    <s v="Ilunion"/>
    <x v="2"/>
    <x v="0"/>
    <s v="Administrador"/>
    <m/>
    <s v="Guadalajara (Base Ilunion)"/>
    <s v="Guadalajara (Base Ilunion)"/>
    <n v="117"/>
    <m/>
    <m/>
    <n v="120"/>
    <s v="Pendiente"/>
    <n v="2026"/>
    <n v="8"/>
    <n v="3"/>
    <s v="FE000003"/>
    <m/>
  </r>
  <r>
    <s v="S000097"/>
    <x v="22"/>
    <s v="Cliente 01"/>
    <s v="Ilunion"/>
    <x v="1"/>
    <x v="0"/>
    <s v="Conductor 01"/>
    <m/>
    <s v="Boadilla (Base Ilunion)"/>
    <s v="Boadilla (Base Ilunion)"/>
    <n v="50.6"/>
    <m/>
    <m/>
    <n v="180"/>
    <s v="Pendiente"/>
    <n v="2026"/>
    <n v="8"/>
    <n v="3"/>
    <s v="FE000003"/>
    <m/>
  </r>
  <r>
    <s v="S000096"/>
    <x v="23"/>
    <s v="Cliente 01"/>
    <s v="Ilunion"/>
    <x v="1"/>
    <x v="0"/>
    <s v="Conductor 01"/>
    <m/>
    <s v="Boadilla (Base Ilunion)"/>
    <s v="Boadilla (Base Ilunion)"/>
    <n v="229"/>
    <m/>
    <m/>
    <n v="180"/>
    <s v="Pendiente"/>
    <n v="2026"/>
    <n v="8"/>
    <n v="3"/>
    <s v="FE000003"/>
    <m/>
  </r>
  <r>
    <s v="S000095"/>
    <x v="24"/>
    <s v="Cliente 01"/>
    <s v="Ilunion"/>
    <x v="1"/>
    <x v="0"/>
    <s v="Conductor 01"/>
    <m/>
    <s v="Boadilla (Base Ilunion)"/>
    <s v="Boadilla (Base Ilunion)"/>
    <n v="236.6"/>
    <m/>
    <m/>
    <n v="180"/>
    <s v="Pendiente"/>
    <n v="2026"/>
    <n v="8"/>
    <n v="3"/>
    <s v="FE000003"/>
    <m/>
  </r>
  <r>
    <s v="S000094"/>
    <x v="24"/>
    <s v="Cliente 01"/>
    <s v="Ilunion"/>
    <x v="2"/>
    <x v="0"/>
    <s v="Administrador"/>
    <m/>
    <s v="Guadalajara (Base Ilunion)"/>
    <s v="Guadalajara (Base Ilunion)"/>
    <n v="118"/>
    <m/>
    <m/>
    <n v="120"/>
    <s v="Pendiente"/>
    <n v="2026"/>
    <n v="8"/>
    <n v="3"/>
    <s v="FE000003"/>
    <m/>
  </r>
  <r>
    <s v="S000093"/>
    <x v="25"/>
    <s v="Cliente 01"/>
    <s v="Ilunion"/>
    <x v="1"/>
    <x v="0"/>
    <s v="Conductor 01"/>
    <m/>
    <s v="Boadilla (Base Ilunion)"/>
    <s v="Boadilla (Base Ilunion)"/>
    <n v="161.5"/>
    <m/>
    <m/>
    <n v="180"/>
    <s v="Pendiente"/>
    <n v="2026"/>
    <n v="8"/>
    <n v="3"/>
    <s v="FE000003"/>
    <m/>
  </r>
  <r>
    <s v="S000092"/>
    <x v="25"/>
    <s v="Cliente 01"/>
    <s v="Ilunion"/>
    <x v="0"/>
    <x v="0"/>
    <s v="Administrador"/>
    <m/>
    <s v="Boadilla (Base Ilunion)"/>
    <s v="Boadilla (Base Ilunion)"/>
    <n v="63.2"/>
    <m/>
    <m/>
    <n v="120"/>
    <s v="Pendiente"/>
    <n v="2026"/>
    <n v="8"/>
    <n v="3"/>
    <s v="FE000003"/>
    <s v="3 puntos, 120e"/>
  </r>
  <r>
    <s v="S000091"/>
    <x v="26"/>
    <s v="Cliente 01"/>
    <s v="Ilunion"/>
    <x v="1"/>
    <x v="0"/>
    <s v="Conductor 01"/>
    <m/>
    <s v="Boadilla (Base Ilunion)"/>
    <s v="Boadilla (Base Ilunion)"/>
    <n v="171.6"/>
    <m/>
    <m/>
    <n v="180"/>
    <s v="Pendiente"/>
    <n v="2026"/>
    <n v="8"/>
    <n v="3"/>
    <s v="FE000003"/>
    <m/>
  </r>
  <r>
    <s v="S000090"/>
    <x v="27"/>
    <s v="Cliente 01"/>
    <s v="Ilunion"/>
    <x v="1"/>
    <x v="0"/>
    <s v="Conductor 01"/>
    <m/>
    <s v="Boadilla (Base Ilunion)"/>
    <s v="Boadilla (Base Ilunion)"/>
    <n v="164.9"/>
    <m/>
    <m/>
    <n v="180"/>
    <s v="Pendiente"/>
    <n v="2026"/>
    <n v="8"/>
    <n v="3"/>
    <s v="FE000003"/>
    <m/>
  </r>
  <r>
    <s v="S000089"/>
    <x v="27"/>
    <s v="Cliente 01"/>
    <s v="Ilunion"/>
    <x v="0"/>
    <x v="0"/>
    <s v="Administrador"/>
    <m/>
    <s v="Boadilla (Base Ilunion)"/>
    <s v="Boadilla (Base Ilunion)"/>
    <n v="70"/>
    <m/>
    <m/>
    <n v="120"/>
    <s v="Pendiente"/>
    <n v="2026"/>
    <n v="8"/>
    <n v="3"/>
    <s v="FE000003"/>
    <s v="120e, 3 puntos"/>
  </r>
  <r>
    <s v="S000088"/>
    <x v="28"/>
    <s v="Cliente 01"/>
    <s v="Ilunion"/>
    <x v="1"/>
    <x v="0"/>
    <s v="Conductor 01"/>
    <m/>
    <s v="Boadilla (Base Ilunion)"/>
    <s v="Boadilla (Base Ilunion)"/>
    <n v="190.3"/>
    <m/>
    <m/>
    <n v="180"/>
    <s v="Pendiente"/>
    <n v="2026"/>
    <n v="8"/>
    <n v="3"/>
    <s v="FE000003"/>
    <m/>
  </r>
  <r>
    <s v="S000087"/>
    <x v="28"/>
    <s v="Cliente 01"/>
    <s v="Ilunion"/>
    <x v="0"/>
    <x v="0"/>
    <s v="Administrador"/>
    <m/>
    <s v="Boadilla (Base Ilunion)"/>
    <s v="Boadilla (Base Ilunion)"/>
    <n v="70"/>
    <m/>
    <m/>
    <n v="120"/>
    <s v="Pendiente"/>
    <n v="2026"/>
    <n v="8"/>
    <n v="3"/>
    <s v="FE000003"/>
    <s v="Se facturan solo 120€, 3 puntos."/>
  </r>
  <r>
    <s v="S000086"/>
    <x v="29"/>
    <s v="Cliente 01"/>
    <s v="Ilunion"/>
    <x v="1"/>
    <x v="0"/>
    <s v="Conductor 01"/>
    <m/>
    <s v="Boadilla (Base Ilunion)"/>
    <s v="Boadilla (Base Ilunion)"/>
    <n v="160.6"/>
    <m/>
    <m/>
    <n v="180"/>
    <s v="Pendiente"/>
    <n v="2026"/>
    <n v="8"/>
    <n v="3"/>
    <s v="FE000003"/>
    <m/>
  </r>
  <r>
    <s v="S000085"/>
    <x v="30"/>
    <s v="Cliente 01"/>
    <s v="Ilunion"/>
    <x v="1"/>
    <x v="0"/>
    <s v="Conductor 01"/>
    <m/>
    <s v="Boadilla (Base Ilunion)"/>
    <s v="Boadilla (Base Ilunion)"/>
    <n v="191"/>
    <m/>
    <m/>
    <n v="180"/>
    <s v="Pendiente"/>
    <n v="2026"/>
    <n v="8"/>
    <n v="3"/>
    <s v="FE000003"/>
    <m/>
  </r>
  <r>
    <s v="S000084"/>
    <x v="30"/>
    <s v="Cliente 01"/>
    <s v="Ilunion"/>
    <x v="0"/>
    <x v="0"/>
    <s v="Administrador"/>
    <m/>
    <s v="Boadilla (Base Ilunion)"/>
    <s v="Boadilla (Base Ilunion)"/>
    <n v="43.8"/>
    <m/>
    <m/>
    <n v="80"/>
    <s v="Pendiente"/>
    <n v="2026"/>
    <n v="8"/>
    <n v="3"/>
    <s v="FE000003"/>
    <s v="SE FACTURA SOLO MEDIA RUTA (160/2)"/>
  </r>
  <r>
    <s v="S000083"/>
    <x v="31"/>
    <s v="Cliente 01"/>
    <s v="Ilunion"/>
    <x v="1"/>
    <x v="0"/>
    <s v="Conductor 01"/>
    <s v="Conductor 02"/>
    <s v="Boadilla (Base Ilunion)"/>
    <s v="Boadilla (Base Ilunion)"/>
    <n v="117.6"/>
    <m/>
    <m/>
    <n v="180"/>
    <s v="Pendiente"/>
    <n v="2026"/>
    <n v="8"/>
    <n v="3"/>
    <s v="FE000003"/>
    <m/>
  </r>
  <r>
    <s v="S000082"/>
    <x v="32"/>
    <s v="Cliente 01"/>
    <s v="Ilunion"/>
    <x v="1"/>
    <x v="0"/>
    <s v="Conductor 01"/>
    <s v="Conductor 02"/>
    <s v="Boadilla (Base Ilunion)"/>
    <s v="Boadilla (Base Ilunion)"/>
    <n v="196.6"/>
    <m/>
    <m/>
    <n v="180"/>
    <s v="Pendiente"/>
    <n v="2026"/>
    <n v="8"/>
    <n v="3"/>
    <s v="FE000003"/>
    <m/>
  </r>
  <r>
    <s v="S000081"/>
    <x v="33"/>
    <s v="Cliente 01"/>
    <s v="Ilunion"/>
    <x v="1"/>
    <x v="0"/>
    <s v="Conductor 01"/>
    <m/>
    <s v="Boadilla (Base Ilunion)"/>
    <s v="Boadilla (Base Ilunion)"/>
    <n v="264"/>
    <m/>
    <m/>
    <n v="180"/>
    <s v="Facturado"/>
    <n v="2026"/>
    <n v="7"/>
    <n v="3"/>
    <s v="FE000002"/>
    <m/>
  </r>
  <r>
    <s v="S000080"/>
    <x v="33"/>
    <s v="Cliente 01"/>
    <s v="Ilunion"/>
    <x v="0"/>
    <x v="0"/>
    <s v="Administrador"/>
    <m/>
    <s v="Boadilla (Base Ilunion)"/>
    <s v="Boadilla (Base Ilunion)"/>
    <n v="40.9"/>
    <m/>
    <m/>
    <n v="160"/>
    <s v="Facturado"/>
    <n v="2026"/>
    <n v="7"/>
    <n v="3"/>
    <s v="FE000002"/>
    <m/>
  </r>
  <r>
    <s v="S000079"/>
    <x v="34"/>
    <s v="Cliente 01"/>
    <s v="Ilunion"/>
    <x v="1"/>
    <x v="0"/>
    <s v="Conductor 01"/>
    <m/>
    <s v="Boadilla (Base Ilunion)"/>
    <s v="Boadilla (Base Ilunion)"/>
    <n v="168"/>
    <m/>
    <m/>
    <n v="180"/>
    <s v="Facturado"/>
    <n v="2026"/>
    <n v="7"/>
    <n v="3"/>
    <s v="FE000002"/>
    <m/>
  </r>
  <r>
    <s v="S000078"/>
    <x v="35"/>
    <s v="Cliente 01"/>
    <s v="Ilunion"/>
    <x v="1"/>
    <x v="0"/>
    <s v="Conductor 01"/>
    <m/>
    <s v="Boadilla (Base Ilunion)"/>
    <s v="Boadilla (Base Ilunion)"/>
    <n v="184.6"/>
    <m/>
    <m/>
    <n v="180"/>
    <s v="Facturado"/>
    <n v="2026"/>
    <n v="7"/>
    <n v="3"/>
    <s v="FE000002"/>
    <m/>
  </r>
  <r>
    <s v="S000076"/>
    <x v="36"/>
    <s v="Cliente 01"/>
    <s v="Ilunion"/>
    <x v="1"/>
    <x v="0"/>
    <s v="Conductor 01"/>
    <m/>
    <s v="Boadilla (Base Ilunion)"/>
    <s v="Boadilla (Base Ilunion)"/>
    <n v="58"/>
    <m/>
    <m/>
    <n v="180"/>
    <s v="Facturado"/>
    <n v="2026"/>
    <n v="7"/>
    <n v="3"/>
    <s v="FE000002"/>
    <m/>
  </r>
  <r>
    <s v="S000075"/>
    <x v="36"/>
    <s v="Cliente 01"/>
    <s v="Ilunion"/>
    <x v="0"/>
    <x v="0"/>
    <s v="Administrador"/>
    <m/>
    <s v="Boadilla (Base Ilunion)"/>
    <s v="Boadilla (Base Ilunion)"/>
    <n v="62.4"/>
    <m/>
    <m/>
    <n v="160"/>
    <s v="Facturado"/>
    <n v="2026"/>
    <n v="7"/>
    <n v="3"/>
    <s v="FE000002"/>
    <m/>
  </r>
  <r>
    <s v="S000074"/>
    <x v="37"/>
    <s v="Cliente 01"/>
    <s v="Ilunion"/>
    <x v="1"/>
    <x v="0"/>
    <s v="Conductor 01"/>
    <m/>
    <s v="Boadilla (Base Ilunion)"/>
    <s v="Boadilla (Base Ilunion)"/>
    <n v="152.6"/>
    <m/>
    <m/>
    <n v="180"/>
    <s v="Facturado"/>
    <n v="2026"/>
    <n v="7"/>
    <n v="3"/>
    <s v="FE000002"/>
    <m/>
  </r>
  <r>
    <s v="S000073"/>
    <x v="37"/>
    <s v="Cliente 01"/>
    <s v="Ilunion"/>
    <x v="0"/>
    <x v="0"/>
    <s v="Administrador"/>
    <m/>
    <s v="Boadilla (Base Ilunion)"/>
    <s v="Boadilla (Base Ilunion)"/>
    <n v="85"/>
    <m/>
    <m/>
    <n v="160"/>
    <s v="Facturado"/>
    <n v="2026"/>
    <n v="7"/>
    <n v="3"/>
    <s v="FE000002"/>
    <s v="1H de espera para cargar, llego 9 a base y a las 10 salgo."/>
  </r>
  <r>
    <s v="S000072"/>
    <x v="38"/>
    <s v="Cliente 01"/>
    <s v="Ilunion"/>
    <x v="1"/>
    <x v="0"/>
    <s v="Conductor 01"/>
    <s v="Conductor 02"/>
    <s v="Boadilla (Base Ilunion)"/>
    <s v="Boadilla (Base Ilunion)"/>
    <n v="97.6"/>
    <m/>
    <m/>
    <n v="180"/>
    <s v="Facturado"/>
    <n v="2026"/>
    <n v="7"/>
    <n v="3"/>
    <s v="FE000002"/>
    <m/>
  </r>
  <r>
    <s v="S000071"/>
    <x v="39"/>
    <s v="Cliente 01"/>
    <s v="Ilunion"/>
    <x v="1"/>
    <x v="0"/>
    <s v="Conductor 01"/>
    <m/>
    <s v="Boadilla (Base Ilunion)"/>
    <s v="Boadilla (Base Ilunion)"/>
    <n v="172.6"/>
    <m/>
    <m/>
    <n v="180"/>
    <s v="Facturado"/>
    <n v="2026"/>
    <n v="7"/>
    <n v="3"/>
    <s v="FE000002"/>
    <m/>
  </r>
  <r>
    <s v="S000070"/>
    <x v="40"/>
    <s v="Cliente 01"/>
    <s v="Ilunion"/>
    <x v="1"/>
    <x v="0"/>
    <s v="Conductor 01"/>
    <m/>
    <s v="Boadilla (Base Ilunion)"/>
    <s v="Boadilla (Base Ilunion)"/>
    <n v="152.6"/>
    <m/>
    <m/>
    <n v="180"/>
    <s v="Facturado"/>
    <n v="2026"/>
    <n v="7"/>
    <n v="3"/>
    <s v="FE000002"/>
    <m/>
  </r>
  <r>
    <s v="S000069"/>
    <x v="41"/>
    <s v="Cliente 01"/>
    <s v="Ilunion"/>
    <x v="1"/>
    <x v="0"/>
    <s v="Conductor 01"/>
    <m/>
    <s v="Boadilla (Base Ilunion)"/>
    <s v="Boadilla (Base Ilunion)"/>
    <n v="234"/>
    <m/>
    <m/>
    <n v="180"/>
    <s v="Facturado"/>
    <n v="2026"/>
    <n v="7"/>
    <n v="3"/>
    <s v="FE000002"/>
    <s v="DIA INCENDIO DE S.M , JULIO ESTUVO PRÁCTICAMENTE 24H"/>
  </r>
  <r>
    <s v="S000068"/>
    <x v="41"/>
    <s v="Cliente 01"/>
    <s v="Ilunion"/>
    <x v="0"/>
    <x v="0"/>
    <s v="Administrador"/>
    <m/>
    <s v="Boadilla (Base Ilunion)"/>
    <s v="Boadilla (Base Ilunion)"/>
    <n v="62.5"/>
    <m/>
    <m/>
    <n v="160"/>
    <s v="Facturado"/>
    <n v="2026"/>
    <n v="7"/>
    <n v="3"/>
    <s v="FE000002"/>
    <m/>
  </r>
  <r>
    <s v="S000067"/>
    <x v="42"/>
    <s v="Cliente 01"/>
    <s v="Ilunion"/>
    <x v="1"/>
    <x v="0"/>
    <s v="Conductor 01"/>
    <m/>
    <s v="Boadilla (Base Ilunion)"/>
    <s v="Boadilla (Base Ilunion)"/>
    <n v="187"/>
    <m/>
    <m/>
    <n v="180"/>
    <s v="Facturado"/>
    <n v="2026"/>
    <n v="7"/>
    <n v="3"/>
    <s v="FE000002"/>
    <m/>
  </r>
  <r>
    <s v="S000066"/>
    <x v="43"/>
    <s v="Cliente 01"/>
    <s v="Ilunion"/>
    <x v="1"/>
    <x v="0"/>
    <s v="Conductor 01"/>
    <m/>
    <s v="Boadilla (Base Ilunion)"/>
    <s v="Boadilla (Base Ilunion)"/>
    <n v="170"/>
    <m/>
    <m/>
    <n v="180"/>
    <s v="Facturado"/>
    <n v="2026"/>
    <n v="7"/>
    <n v="3"/>
    <s v="FE000002"/>
    <m/>
  </r>
  <r>
    <s v="S000064"/>
    <x v="44"/>
    <s v="Cliente 01"/>
    <s v="Ilunion"/>
    <x v="1"/>
    <x v="0"/>
    <s v="Conductor 01"/>
    <m/>
    <s v="Boadilla (Base Ilunion)"/>
    <s v="Boadilla (Base Ilunion)"/>
    <n v="210.6"/>
    <m/>
    <m/>
    <n v="180"/>
    <s v="Facturado"/>
    <n v="2026"/>
    <n v="7"/>
    <n v="3"/>
    <s v="FE000002"/>
    <m/>
  </r>
  <r>
    <s v="S000063"/>
    <x v="44"/>
    <s v="Cliente 01"/>
    <s v="Ilunion"/>
    <x v="0"/>
    <x v="0"/>
    <s v="Administrador"/>
    <m/>
    <s v="Boadilla (Base Ilunion)"/>
    <s v="Boadilla (Base Ilunion)"/>
    <n v="62.5"/>
    <m/>
    <m/>
    <n v="160"/>
    <s v="Facturado"/>
    <n v="2026"/>
    <n v="7"/>
    <n v="3"/>
    <s v="FE000002"/>
    <m/>
  </r>
  <r>
    <s v="S000062"/>
    <x v="45"/>
    <s v="Cliente 01"/>
    <s v="Ilunion"/>
    <x v="1"/>
    <x v="0"/>
    <s v="Administrador"/>
    <s v="Conductor 01"/>
    <s v="Boadilla (Base Ilunion)"/>
    <s v="Boadilla (Base Ilunion)"/>
    <n v="149"/>
    <m/>
    <m/>
    <n v="180"/>
    <s v="Facturado"/>
    <n v="2026"/>
    <n v="7"/>
    <n v="3"/>
    <s v="FE000002"/>
    <m/>
  </r>
  <r>
    <s v="S000061"/>
    <x v="45"/>
    <s v="Cliente 01"/>
    <s v="Ilunion"/>
    <x v="0"/>
    <x v="0"/>
    <s v="Administrador"/>
    <s v="Conductor 01"/>
    <s v="Boadilla (Base Ilunion)"/>
    <s v="Boadilla (Base Ilunion)"/>
    <n v="63.8"/>
    <m/>
    <m/>
    <n v="160"/>
    <s v="Facturado"/>
    <n v="2026"/>
    <n v="7"/>
    <n v="3"/>
    <s v="FE000002"/>
    <m/>
  </r>
  <r>
    <s v="S000060"/>
    <x v="46"/>
    <s v="Cliente 01"/>
    <s v="Ilunion"/>
    <x v="1"/>
    <x v="0"/>
    <s v="Conductor 01"/>
    <m/>
    <s v="Boadilla (Base Ilunion)"/>
    <s v="Boadilla (Base Ilunion)"/>
    <n v="261"/>
    <m/>
    <m/>
    <n v="180"/>
    <s v="Facturado"/>
    <n v="2026"/>
    <n v="7"/>
    <n v="3"/>
    <s v="FE000002"/>
    <m/>
  </r>
  <r>
    <s v="S000059"/>
    <x v="47"/>
    <s v="Cliente 01"/>
    <s v="Ilunion"/>
    <x v="1"/>
    <x v="0"/>
    <s v="Conductor 01"/>
    <m/>
    <s v="Boadilla (Base Ilunion)"/>
    <s v="Boadilla (Base Ilunion)"/>
    <n v="218.4"/>
    <n v="37.5"/>
    <s v="Hora extra"/>
    <n v="217.5"/>
    <s v="Facturado"/>
    <n v="2026"/>
    <n v="7"/>
    <n v="3"/>
    <s v="FE000002"/>
    <s v="SE FACTURA HORA Y MEDIA EXTRA"/>
  </r>
  <r>
    <s v="S000058"/>
    <x v="47"/>
    <s v="Cliente 01"/>
    <s v="Ilunion"/>
    <x v="3"/>
    <x v="0"/>
    <s v="Conductor 01"/>
    <m/>
    <s v="Boadilla (Base Ilunion)"/>
    <s v="Boadilla (Base Ilunion)"/>
    <n v="25"/>
    <m/>
    <m/>
    <n v="60"/>
    <s v="Facturado"/>
    <n v="2026"/>
    <n v="7"/>
    <n v="3"/>
    <s v="FE000002"/>
    <m/>
  </r>
  <r>
    <s v="S000057"/>
    <x v="48"/>
    <s v="Cliente 01"/>
    <s v="Ilunion"/>
    <x v="1"/>
    <x v="0"/>
    <s v="Conductor 01"/>
    <m/>
    <s v="Boadilla (Base Ilunion)"/>
    <s v="Boadilla (Base Ilunion)"/>
    <n v="186.2"/>
    <m/>
    <m/>
    <n v="180"/>
    <s v="Facturado"/>
    <n v="2026"/>
    <n v="7"/>
    <n v="3"/>
    <s v="FE000002"/>
    <m/>
  </r>
  <r>
    <s v="S000056"/>
    <x v="48"/>
    <s v="Cliente 01"/>
    <s v="Ilunion"/>
    <x v="0"/>
    <x v="0"/>
    <s v="Administrador"/>
    <s v="Conductor 01"/>
    <s v="Boadilla (Base Ilunion)"/>
    <s v="Boadilla (Base Ilunion)"/>
    <n v="89.1"/>
    <m/>
    <m/>
    <n v="160"/>
    <s v="Facturado"/>
    <n v="2026"/>
    <n v="7"/>
    <n v="3"/>
    <s v="FE000002"/>
    <m/>
  </r>
  <r>
    <s v="S000055"/>
    <x v="49"/>
    <s v="Cliente 01"/>
    <s v="Ilunion"/>
    <x v="1"/>
    <x v="0"/>
    <s v="Conductor 01"/>
    <m/>
    <s v="Boadilla (Base Ilunion)"/>
    <s v="Boadilla (Base Ilunion)"/>
    <n v="189.2"/>
    <m/>
    <m/>
    <n v="180"/>
    <s v="Facturado"/>
    <n v="2026"/>
    <n v="7"/>
    <n v="3"/>
    <s v="FE000002"/>
    <m/>
  </r>
  <r>
    <s v="S000054"/>
    <x v="49"/>
    <s v="Cliente 01"/>
    <s v="Ilunion"/>
    <x v="0"/>
    <x v="0"/>
    <s v="Administrador"/>
    <s v="Conductor 01"/>
    <s v="Boadilla (Base Ilunion)"/>
    <s v="Boadilla (Base Ilunion)"/>
    <n v="90.5"/>
    <n v="30"/>
    <s v="Punto extra"/>
    <n v="190"/>
    <s v="Facturado"/>
    <n v="2026"/>
    <n v="7"/>
    <n v="3"/>
    <s v="FE000002"/>
    <m/>
  </r>
  <r>
    <s v="S000053"/>
    <x v="50"/>
    <s v="Cliente 01"/>
    <s v="Ilunion"/>
    <x v="1"/>
    <x v="0"/>
    <s v="Conductor 01"/>
    <m/>
    <s v="Boadilla (Base Ilunion)"/>
    <s v="Boadilla (Base Ilunion)"/>
    <n v="128"/>
    <m/>
    <m/>
    <n v="180"/>
    <s v="Facturado"/>
    <n v="2026"/>
    <n v="7"/>
    <n v="3"/>
    <s v="FE000002"/>
    <m/>
  </r>
  <r>
    <s v="S000052"/>
    <x v="50"/>
    <s v="Cliente 01"/>
    <s v="Ilunion"/>
    <x v="0"/>
    <x v="0"/>
    <s v="Conductor 01"/>
    <m/>
    <s v="Boadilla (Base Ilunion)"/>
    <s v="Boadilla (Base Ilunion)"/>
    <n v="163"/>
    <n v="60"/>
    <s v="Punto extra"/>
    <n v="220"/>
    <s v="Facturado"/>
    <n v="2026"/>
    <n v="7"/>
    <n v="3"/>
    <s v="FE000002"/>
    <s v="Se facturan 2 puntos extra (no sé porqué)"/>
  </r>
  <r>
    <s v="S000051"/>
    <x v="51"/>
    <s v="Cliente 01"/>
    <s v="Ilunion"/>
    <x v="1"/>
    <x v="0"/>
    <s v="Conductor 01"/>
    <m/>
    <s v="Boadilla (Base Ilunion)"/>
    <s v="Boadilla (Base Ilunion)"/>
    <n v="214"/>
    <n v="85"/>
    <s v="Otro"/>
    <n v="265"/>
    <s v="Facturado"/>
    <n v="2026"/>
    <n v="7"/>
    <n v="3"/>
    <s v="FE000002"/>
    <s v="Se factura 2 entregas extra (30+30) y 1h extra. (25)"/>
  </r>
  <r>
    <s v="S000050"/>
    <x v="51"/>
    <s v="Cliente 01"/>
    <s v="Ilunion"/>
    <x v="0"/>
    <x v="0"/>
    <s v="Conductor 01"/>
    <m/>
    <s v="Boadilla (Base Ilunion)"/>
    <s v="Boadilla (Base Ilunion)"/>
    <n v="51.2"/>
    <m/>
    <m/>
    <n v="160"/>
    <s v="Facturado"/>
    <n v="2026"/>
    <n v="7"/>
    <n v="3"/>
    <s v="FE000002"/>
    <m/>
  </r>
  <r>
    <s v="S000049"/>
    <x v="51"/>
    <s v="Cliente 01"/>
    <s v="Ilunion"/>
    <x v="3"/>
    <x v="0"/>
    <s v="Conductor 01"/>
    <m/>
    <s v="Boadilla (Base Ilunion)"/>
    <s v="Boadilla (Base Ilunion)"/>
    <n v="58.1"/>
    <m/>
    <m/>
    <n v="60"/>
    <s v="Facturado"/>
    <n v="2026"/>
    <n v="7"/>
    <n v="3"/>
    <s v="FE000002"/>
    <s v="ENTREGA URGENTE A HOTEL BEXT VALLECAS TRULIVING"/>
  </r>
  <r>
    <s v="S000047"/>
    <x v="52"/>
    <s v="Cliente 01"/>
    <s v="Ilunion"/>
    <x v="1"/>
    <x v="0"/>
    <s v="Administrador"/>
    <s v="Conductor 03"/>
    <s v="Boadilla (Base Ilunion)"/>
    <s v="Boadilla (Base Ilunion)"/>
    <n v="191.9"/>
    <m/>
    <m/>
    <n v="180"/>
    <s v="Facturado"/>
    <n v="2026"/>
    <n v="7"/>
    <n v="3"/>
    <s v="FE000002"/>
    <m/>
  </r>
  <r>
    <s v="S000046"/>
    <x v="52"/>
    <s v="Cliente 01"/>
    <s v="Ilunion"/>
    <x v="0"/>
    <x v="0"/>
    <s v="Administrador"/>
    <s v="Conductor 03"/>
    <s v="Boadilla (Base Ilunion)"/>
    <s v="Boadilla (Base Ilunion)"/>
    <n v="52"/>
    <m/>
    <m/>
    <n v="160"/>
    <s v="Facturado"/>
    <n v="2026"/>
    <n v="7"/>
    <n v="3"/>
    <s v="FE000002"/>
    <m/>
  </r>
  <r>
    <s v="S000045"/>
    <x v="53"/>
    <s v="Cliente 01"/>
    <s v="Ilunion"/>
    <x v="1"/>
    <x v="0"/>
    <s v="Administrador"/>
    <s v="Conductor 03"/>
    <s v="Boadilla (Base Ilunion)"/>
    <s v="Boadilla (Base Ilunion)"/>
    <n v="112.7"/>
    <m/>
    <m/>
    <n v="180"/>
    <s v="Facturado"/>
    <n v="2026"/>
    <n v="7"/>
    <n v="3"/>
    <s v="FE000002"/>
    <m/>
  </r>
  <r>
    <s v="S000044"/>
    <x v="53"/>
    <s v="Cliente 01"/>
    <s v="Ilunion"/>
    <x v="0"/>
    <x v="0"/>
    <s v="Administrador"/>
    <m/>
    <s v="Boadilla (Base Ilunion)"/>
    <s v="Boadilla (Base Ilunion)"/>
    <n v="108.2"/>
    <m/>
    <m/>
    <n v="160"/>
    <s v="Facturado"/>
    <n v="2026"/>
    <n v="7"/>
    <n v="3"/>
    <s v="FE000002"/>
    <m/>
  </r>
  <r>
    <s v="S000043"/>
    <x v="54"/>
    <s v="Cliente 01"/>
    <s v="Ilunion"/>
    <x v="1"/>
    <x v="0"/>
    <s v="Conductor 01"/>
    <m/>
    <s v="Boadilla (Base Ilunion)"/>
    <s v="Boadilla (Base Ilunion)"/>
    <n v="189.5"/>
    <m/>
    <m/>
    <n v="180"/>
    <s v="Facturado"/>
    <n v="2026"/>
    <n v="7"/>
    <n v="3"/>
    <s v="FE000002"/>
    <m/>
  </r>
  <r>
    <s v="S000042"/>
    <x v="54"/>
    <s v="Cliente 01"/>
    <s v="Ilunion"/>
    <x v="0"/>
    <x v="0"/>
    <s v="Conductor 01"/>
    <m/>
    <s v="Boadilla (Base Ilunion)"/>
    <s v="Boadilla (Base Ilunion)"/>
    <n v="143.4"/>
    <m/>
    <m/>
    <n v="160"/>
    <s v="Facturado"/>
    <n v="2026"/>
    <n v="7"/>
    <n v="3"/>
    <s v="FE000002"/>
    <m/>
  </r>
  <r>
    <s v="S000041"/>
    <x v="55"/>
    <s v="Cliente 01"/>
    <s v="Ilunion"/>
    <x v="1"/>
    <x v="0"/>
    <s v="Conductor 01"/>
    <m/>
    <s v="Boadilla (Base Ilunion)"/>
    <s v="Boadilla (Base Ilunion)"/>
    <n v="220"/>
    <m/>
    <m/>
    <n v="180"/>
    <s v="Facturado"/>
    <n v="2026"/>
    <n v="7"/>
    <n v="3"/>
    <s v="FE000002"/>
    <m/>
  </r>
  <r>
    <s v="S000040"/>
    <x v="55"/>
    <s v="Cliente 01"/>
    <s v="Ilunion"/>
    <x v="0"/>
    <x v="0"/>
    <s v="Administrador"/>
    <s v="Conductor 01"/>
    <s v="Boadilla (Base Ilunion)"/>
    <s v="Boadilla (Base Ilunion)"/>
    <n v="77.099999999999994"/>
    <m/>
    <m/>
    <n v="160"/>
    <s v="Facturado"/>
    <n v="2026"/>
    <n v="7"/>
    <n v="3"/>
    <s v="FE000002"/>
    <m/>
  </r>
  <r>
    <s v="S000039"/>
    <x v="56"/>
    <s v="Cliente 01"/>
    <s v="Ilunion"/>
    <x v="1"/>
    <x v="0"/>
    <s v="Conductor 01"/>
    <m/>
    <s v="Boadilla (Base Ilunion)"/>
    <s v="Boadilla (Base Ilunion)"/>
    <n v="97.9"/>
    <m/>
    <m/>
    <n v="180"/>
    <s v="Facturado"/>
    <n v="2026"/>
    <n v="7"/>
    <n v="3"/>
    <s v="FE000002"/>
    <m/>
  </r>
  <r>
    <s v="S000038"/>
    <x v="56"/>
    <s v="Cliente 01"/>
    <s v="Ilunion"/>
    <x v="0"/>
    <x v="0"/>
    <s v="Administrador"/>
    <s v="Conductor 01"/>
    <s v="Boadilla (Base Ilunion)"/>
    <s v="Boadilla (Base Ilunion)"/>
    <n v="63.8"/>
    <m/>
    <m/>
    <n v="160"/>
    <s v="Facturado"/>
    <n v="2026"/>
    <n v="7"/>
    <n v="3"/>
    <s v="FE000002"/>
    <m/>
  </r>
  <r>
    <s v="S000037"/>
    <x v="57"/>
    <s v="Cliente 01"/>
    <s v="Ilunion"/>
    <x v="1"/>
    <x v="0"/>
    <s v="Conductor 01"/>
    <m/>
    <s v="Boadilla (Base Ilunion)"/>
    <s v="Boadilla (Base Ilunion)"/>
    <n v="209"/>
    <m/>
    <m/>
    <n v="180"/>
    <s v="Facturado"/>
    <n v="2026"/>
    <n v="7"/>
    <n v="3"/>
    <s v="FE000002"/>
    <m/>
  </r>
  <r>
    <s v="S000036"/>
    <x v="57"/>
    <s v="Cliente 01"/>
    <s v="Ilunion"/>
    <x v="0"/>
    <x v="0"/>
    <s v="Administrador"/>
    <s v="Conductor 01"/>
    <s v="Boadilla (Base Ilunion)"/>
    <s v="Boadilla (Base Ilunion)"/>
    <n v="102.3"/>
    <m/>
    <m/>
    <n v="160"/>
    <s v="Facturado"/>
    <n v="2026"/>
    <n v="7"/>
    <n v="3"/>
    <s v="FE000002"/>
    <s v="4 puntos de entrega"/>
  </r>
  <r>
    <s v="S000035"/>
    <x v="58"/>
    <s v="Cliente 01"/>
    <s v="Ilunion"/>
    <x v="1"/>
    <x v="0"/>
    <s v="Conductor 01"/>
    <m/>
    <s v="Boadilla (Base Ilunion)"/>
    <s v="Boadilla (Base Ilunion)"/>
    <n v="170.6"/>
    <m/>
    <m/>
    <n v="180"/>
    <s v="Facturado"/>
    <n v="2026"/>
    <n v="7"/>
    <n v="3"/>
    <s v="FE000002"/>
    <m/>
  </r>
  <r>
    <s v="S000034"/>
    <x v="58"/>
    <s v="Cliente 01"/>
    <s v="Ilunion"/>
    <x v="0"/>
    <x v="0"/>
    <s v="Administrador"/>
    <s v="Conductor 01"/>
    <s v="Boadilla (Base Ilunion)"/>
    <s v="Boadilla (Base Ilunion)"/>
    <n v="85.2"/>
    <n v="20"/>
    <s v="Punto extra"/>
    <n v="180"/>
    <s v="Facturado"/>
    <n v="2026"/>
    <n v="7"/>
    <n v="3"/>
    <s v="FE000002"/>
    <m/>
  </r>
  <r>
    <s v="S000033"/>
    <x v="59"/>
    <s v="Cliente 01"/>
    <s v="Ilunion"/>
    <x v="1"/>
    <x v="0"/>
    <s v="Conductor 01"/>
    <m/>
    <s v="Boadilla (Base Ilunion)"/>
    <s v="Boadilla (Base Ilunion)"/>
    <n v="129"/>
    <m/>
    <m/>
    <n v="180"/>
    <s v="Facturado"/>
    <n v="2026"/>
    <n v="7"/>
    <n v="3"/>
    <s v="FE000002"/>
    <m/>
  </r>
  <r>
    <s v="S000032"/>
    <x v="59"/>
    <s v="Cliente 01"/>
    <s v="Ilunion"/>
    <x v="0"/>
    <x v="0"/>
    <s v="Conductor 01"/>
    <m/>
    <s v="Fuenlabrada (Base Ilunion)"/>
    <s v="Residencia Vista Alegre"/>
    <n v="79"/>
    <m/>
    <m/>
    <n v="160"/>
    <s v="Facturado"/>
    <n v="2026"/>
    <n v="7"/>
    <n v="3"/>
    <s v="FE000002"/>
    <m/>
  </r>
  <r>
    <s v="S000031"/>
    <x v="60"/>
    <s v="Cliente 01"/>
    <s v="Ilunion"/>
    <x v="1"/>
    <x v="0"/>
    <s v="Conductor 01"/>
    <m/>
    <s v="Boadilla (Base Ilunion)"/>
    <s v="Boadilla (Base Ilunion)"/>
    <n v="152.6"/>
    <m/>
    <m/>
    <n v="180"/>
    <s v="Facturado"/>
    <n v="2026"/>
    <n v="7"/>
    <n v="3"/>
    <s v="FE000002"/>
    <m/>
  </r>
  <r>
    <s v="S000030"/>
    <x v="61"/>
    <s v="Cliente 01"/>
    <s v="Ilunion"/>
    <x v="1"/>
    <x v="0"/>
    <s v="Conductor 01"/>
    <m/>
    <s v="Boadilla (Base Ilunion)"/>
    <s v="Boadilla (Base Ilunion)"/>
    <n v="173.9"/>
    <m/>
    <m/>
    <n v="180"/>
    <s v="Facturado"/>
    <n v="2026"/>
    <n v="7"/>
    <n v="3"/>
    <s v="FE000002"/>
    <s v="OJO, LE HACEN HACER 2 RUTAS, OSEA LE DAN 9 SITIOS"/>
  </r>
  <r>
    <s v="S000029"/>
    <x v="62"/>
    <s v="Cliente 01"/>
    <s v="Ilunion"/>
    <x v="1"/>
    <x v="0"/>
    <s v="Conductor 01"/>
    <m/>
    <s v="Boadilla (Base Ilunion)"/>
    <s v="Boadilla (Base Ilunion)"/>
    <n v="123.1"/>
    <m/>
    <m/>
    <n v="180"/>
    <s v="Facturado"/>
    <n v="2026"/>
    <n v="7"/>
    <n v="3"/>
    <s v="FE000002"/>
    <m/>
  </r>
  <r>
    <s v="S000028"/>
    <x v="62"/>
    <s v="Cliente 01"/>
    <s v="Ilunion"/>
    <x v="0"/>
    <x v="0"/>
    <s v="Administrador"/>
    <s v="Conductor 01"/>
    <s v="Boadilla (Base Ilunion)"/>
    <s v="Boadilla (Base Ilunion)"/>
    <n v="97.5"/>
    <m/>
    <m/>
    <n v="160"/>
    <s v="Facturado"/>
    <n v="2026"/>
    <n v="7"/>
    <n v="3"/>
    <s v="FE000002"/>
    <s v="4 puntos de entrega"/>
  </r>
  <r>
    <s v="S000027"/>
    <x v="63"/>
    <s v="Cliente 01"/>
    <s v="Ilunion"/>
    <x v="1"/>
    <x v="0"/>
    <s v="Conductor 01"/>
    <m/>
    <s v="Boadilla (Base Ilunion)"/>
    <s v="Boadilla (Base Ilunion)"/>
    <n v="54.4"/>
    <m/>
    <m/>
    <n v="180"/>
    <s v="Facturado"/>
    <n v="2026"/>
    <n v="7"/>
    <n v="3"/>
    <s v="FE000002"/>
    <s v="Julio no ha hecho absolutamente nada, no han salido pedidos."/>
  </r>
  <r>
    <s v="S000026"/>
    <x v="63"/>
    <s v="Cliente 01"/>
    <s v="Ilunion"/>
    <x v="0"/>
    <x v="0"/>
    <s v="Administrador"/>
    <s v="Conductor 01"/>
    <s v="Boadilla (Base Ilunion)"/>
    <s v="Boadilla (Base Ilunion)"/>
    <n v="67"/>
    <m/>
    <m/>
    <n v="160"/>
    <s v="Facturado"/>
    <n v="2026"/>
    <n v="7"/>
    <n v="3"/>
    <s v="FE000002"/>
    <s v="Ruta de 3 puntos, Vista Alegre, Parla y Getafe"/>
  </r>
  <r>
    <s v="S000025"/>
    <x v="64"/>
    <s v="Cliente 01"/>
    <s v="Ilunion"/>
    <x v="1"/>
    <x v="0"/>
    <s v="Conductor 01"/>
    <m/>
    <s v="Boadilla (Base Ilunion)"/>
    <s v="Boadilla (Base Ilunion)"/>
    <n v="158.80000000000001"/>
    <m/>
    <m/>
    <n v="180"/>
    <s v="Facturado"/>
    <n v="2026"/>
    <n v="6"/>
    <n v="2"/>
    <s v="FE000001"/>
    <m/>
  </r>
  <r>
    <s v="S000024"/>
    <x v="64"/>
    <s v="Cliente 01"/>
    <s v="Ilunion"/>
    <x v="0"/>
    <x v="0"/>
    <s v="Administrador"/>
    <s v="Conductor 01"/>
    <s v="Boadilla (Base Ilunion)"/>
    <s v="Boadilla (Base Ilunion)"/>
    <n v="98"/>
    <n v="35"/>
    <s v="Punto extra"/>
    <n v="195"/>
    <s v="Facturado"/>
    <n v="2026"/>
    <n v="6"/>
    <n v="2"/>
    <s v="FE000001"/>
    <m/>
  </r>
  <r>
    <s v="S000023"/>
    <x v="65"/>
    <s v="Cliente 01"/>
    <s v="Ilunion"/>
    <x v="1"/>
    <x v="0"/>
    <s v="Conductor 01"/>
    <m/>
    <s v="Boadilla (Base Ilunion)"/>
    <s v="Boadilla (Base Ilunion)"/>
    <n v="202"/>
    <n v="25"/>
    <s v="Hora extra"/>
    <n v="205"/>
    <s v="Facturado"/>
    <n v="2026"/>
    <n v="6"/>
    <n v="2"/>
    <s v="FE000001"/>
    <s v="Solo KM reales de Boadilla a Sanse"/>
  </r>
  <r>
    <s v="S000022"/>
    <x v="65"/>
    <s v="Cliente 01"/>
    <s v="Ilunion"/>
    <x v="0"/>
    <x v="0"/>
    <s v="Administrador"/>
    <s v="Conductor 01"/>
    <s v="Boadilla (Base Ilunion)"/>
    <s v="Boadilla (Base Ilunion)"/>
    <n v="146.4"/>
    <n v="35"/>
    <s v="Punto extra"/>
    <n v="195"/>
    <s v="Facturado"/>
    <n v="2026"/>
    <n v="6"/>
    <n v="2"/>
    <s v="FE000001"/>
    <s v="Primer dia Gonzalo ruta extras mañana (35€ entrega extra facturado)"/>
  </r>
  <r>
    <s v="S000021"/>
    <x v="66"/>
    <s v="Cliente 01"/>
    <s v="Ilunion"/>
    <x v="1"/>
    <x v="0"/>
    <s v="Conductor 01"/>
    <m/>
    <s v="Boadilla (Base Ilunion)"/>
    <s v="Boadilla (Base Ilunion)"/>
    <n v="100.6"/>
    <m/>
    <m/>
    <n v="180"/>
    <s v="Facturado"/>
    <n v="2026"/>
    <n v="6"/>
    <n v="2"/>
    <s v="FE000001"/>
    <s v="Acompaña Migue"/>
  </r>
  <r>
    <s v="S000020"/>
    <x v="67"/>
    <s v="Cliente 01"/>
    <s v="Ilunion"/>
    <x v="1"/>
    <x v="0"/>
    <s v="Conductor 01"/>
    <m/>
    <s v="Boadilla (Base Ilunion)"/>
    <s v="Boadilla (Base Ilunion)"/>
    <n v="245.6"/>
    <n v="25"/>
    <s v="Hora extra"/>
    <n v="205"/>
    <s v="Facturado"/>
    <n v="2026"/>
    <n v="6"/>
    <n v="2"/>
    <s v="FE000001"/>
    <s v="No se entregan Micampus I y II Getafe"/>
  </r>
  <r>
    <s v="S000019"/>
    <x v="68"/>
    <s v="Cliente 01"/>
    <s v="Ilunion"/>
    <x v="1"/>
    <x v="0"/>
    <s v="Conductor 01"/>
    <m/>
    <s v="Boadilla (Base Ilunion)"/>
    <s v="Boadilla (Base Ilunion)"/>
    <n v="214"/>
    <n v="50"/>
    <s v="Hora extra"/>
    <n v="230"/>
    <s v="Facturado"/>
    <n v="2026"/>
    <n v="6"/>
    <n v="2"/>
    <s v="FE000001"/>
    <m/>
  </r>
  <r>
    <s v="S000018"/>
    <x v="68"/>
    <s v="Cliente 01"/>
    <s v="Ilunion"/>
    <x v="0"/>
    <x v="0"/>
    <s v="Conductor 01"/>
    <m/>
    <s v="Boadilla (Base Ilunion)"/>
    <s v="Boadilla (Base Ilunion)"/>
    <n v="136"/>
    <m/>
    <m/>
    <n v="160"/>
    <s v="Facturado"/>
    <n v="2026"/>
    <n v="6"/>
    <n v="2"/>
    <s v="FE000001"/>
    <s v="KM REALES SOLO CONTAR DE SANSE A BOADILLA"/>
  </r>
  <r>
    <s v="S000017"/>
    <x v="69"/>
    <s v="Cliente 01"/>
    <s v="Ilunion"/>
    <x v="1"/>
    <x v="0"/>
    <s v="Conductor 01"/>
    <m/>
    <s v="Boadilla (Base Ilunion)"/>
    <s v="Boadilla (Base Ilunion)"/>
    <n v="177.6"/>
    <n v="25"/>
    <s v="Hora extra"/>
    <n v="205"/>
    <s v="Facturado"/>
    <n v="2026"/>
    <n v="6"/>
    <n v="2"/>
    <s v="FE000001"/>
    <m/>
  </r>
  <r>
    <s v="S000016"/>
    <x v="70"/>
    <s v="Cliente 01"/>
    <s v="Ilunion"/>
    <x v="1"/>
    <x v="0"/>
    <s v="Conductor 01"/>
    <m/>
    <s v="Boadilla (Base Ilunion)"/>
    <s v="Boadilla (Base Ilunion)"/>
    <n v="188.6"/>
    <m/>
    <m/>
    <n v="180"/>
    <s v="Facturado"/>
    <n v="2026"/>
    <n v="6"/>
    <n v="2"/>
    <s v="FE000001"/>
    <m/>
  </r>
  <r>
    <s v="S000015"/>
    <x v="71"/>
    <s v="Cliente 01"/>
    <s v="Ilunion"/>
    <x v="1"/>
    <x v="0"/>
    <s v="Conductor 01"/>
    <m/>
    <s v="Boadilla (Base Ilunion)"/>
    <s v="Boadilla (Base Ilunion)"/>
    <n v="150.6"/>
    <m/>
    <m/>
    <n v="180"/>
    <s v="Facturado"/>
    <n v="2026"/>
    <n v="6"/>
    <n v="2"/>
    <s v="FE000001"/>
    <s v="3h de espera Carga"/>
  </r>
  <r>
    <s v="S000014"/>
    <x v="72"/>
    <s v="Cliente 01"/>
    <s v="Ilunion"/>
    <x v="1"/>
    <x v="0"/>
    <s v="Conductor 01"/>
    <m/>
    <s v="Boadilla (Base Ilunion)"/>
    <s v="Boadilla (Base Ilunion)"/>
    <n v="210.3"/>
    <m/>
    <m/>
    <n v="180"/>
    <s v="Facturado"/>
    <n v="2026"/>
    <n v="6"/>
    <n v="2"/>
    <s v="FE000001"/>
    <s v="Rotura de manguito turbo"/>
  </r>
  <r>
    <s v="S000013"/>
    <x v="72"/>
    <s v="Cliente 01"/>
    <s v="Xiaomi"/>
    <x v="4"/>
    <x v="0"/>
    <s v="Conductor 01"/>
    <m/>
    <s v="EDA Pinto"/>
    <s v="Tienda Xiaomi C.C La Gavia"/>
    <n v="22.2"/>
    <m/>
    <m/>
    <n v="40"/>
    <s v="Facturado"/>
    <n v="2026"/>
    <n v="6"/>
    <n v="2"/>
    <s v="FE000001"/>
    <m/>
  </r>
  <r>
    <s v="S000012"/>
    <x v="73"/>
    <s v="Cliente 01"/>
    <s v="Ilunion"/>
    <x v="1"/>
    <x v="0"/>
    <s v="Conductor 01"/>
    <m/>
    <s v="Boadilla (Base Ilunion)"/>
    <s v="Boadilla (Base Ilunion)"/>
    <n v="117"/>
    <n v="50"/>
    <s v="Hora extra"/>
    <n v="230"/>
    <s v="Facturado"/>
    <n v="2026"/>
    <n v="6"/>
    <n v="2"/>
    <s v="FE000001"/>
    <m/>
  </r>
  <r>
    <s v="S000011"/>
    <x v="74"/>
    <s v="Cliente 01"/>
    <s v="Ilunion"/>
    <x v="1"/>
    <x v="0"/>
    <s v="Conductor 01"/>
    <m/>
    <s v="Boadilla (Base Ilunion)"/>
    <s v="Boadilla (Base Ilunion)"/>
    <n v="240"/>
    <m/>
    <m/>
    <n v="180"/>
    <s v="Facturado"/>
    <n v="2026"/>
    <n v="6"/>
    <n v="2"/>
    <s v="FE000001"/>
    <m/>
  </r>
  <r>
    <s v="S000010"/>
    <x v="75"/>
    <s v="Cliente 01"/>
    <s v="Ilunion"/>
    <x v="1"/>
    <x v="0"/>
    <s v="Conductor 01"/>
    <m/>
    <s v="Boadilla (Base Ilunion)"/>
    <s v="Boadilla (Base Ilunion)"/>
    <n v="258"/>
    <m/>
    <m/>
    <n v="180"/>
    <s v="Facturado"/>
    <n v="2026"/>
    <n v="6"/>
    <n v="2"/>
    <s v="FE000001"/>
    <m/>
  </r>
  <r>
    <s v="S000009"/>
    <x v="75"/>
    <s v="Cliente 01"/>
    <s v="TNT San Fernando"/>
    <x v="4"/>
    <x v="0"/>
    <s v="Conductor 01"/>
    <m/>
    <s v="Bodas El Mirador de Cuatro Vientos"/>
    <s v="TNT San Fernando"/>
    <n v="35"/>
    <m/>
    <m/>
    <n v="40"/>
    <s v="Facturado"/>
    <n v="2026"/>
    <n v="6"/>
    <n v="2"/>
    <s v="FE000001"/>
    <m/>
  </r>
  <r>
    <s v="S000008"/>
    <x v="75"/>
    <s v="Cliente 01"/>
    <s v="Kuehne and Nagels S.A"/>
    <x v="4"/>
    <x v="0"/>
    <s v="Conductor 01"/>
    <m/>
    <s v="Airbus Crisa - Tres Cantos"/>
    <s v="Kuehne and Nagels S.A - Mejorada del Campo"/>
    <n v="41"/>
    <m/>
    <m/>
    <n v="40"/>
    <s v="Facturado"/>
    <n v="2026"/>
    <n v="6"/>
    <n v="2"/>
    <s v="FE000001"/>
    <m/>
  </r>
  <r>
    <s v="S000007"/>
    <x v="76"/>
    <s v="Cliente 01"/>
    <s v="Cargored"/>
    <x v="4"/>
    <x v="0"/>
    <s v="Conductor 01"/>
    <m/>
    <s v="TNT San Fernando"/>
    <s v="Cargored - C/Foxtrot S/N Nave 7, 28042"/>
    <n v="10"/>
    <m/>
    <m/>
    <n v="40"/>
    <s v="Facturado"/>
    <n v="2026"/>
    <n v="6"/>
    <n v="2"/>
    <s v="FE000001"/>
    <m/>
  </r>
  <r>
    <s v="S000006"/>
    <x v="76"/>
    <s v="Cliente 01"/>
    <s v="Medtronic"/>
    <x v="4"/>
    <x v="0"/>
    <s v="Conductor 01"/>
    <m/>
    <s v="Hospital Ramón y Cajal - M-607"/>
    <s v="Almacén Medtronic Alcalá"/>
    <n v="38.799999999999997"/>
    <m/>
    <m/>
    <n v="40"/>
    <s v="Facturado"/>
    <n v="2026"/>
    <n v="6"/>
    <n v="2"/>
    <s v="FE000001"/>
    <m/>
  </r>
  <r>
    <s v="S000005"/>
    <x v="77"/>
    <s v="Cliente 01"/>
    <s v="Vodafone España"/>
    <x v="4"/>
    <x v="0"/>
    <s v="Conductor 01"/>
    <m/>
    <s v="Axians - Torres de la Alameda"/>
    <s v="Vodafone España - C/Basauri 11"/>
    <n v="53.9"/>
    <m/>
    <m/>
    <n v="45"/>
    <s v="Facturado"/>
    <n v="2026"/>
    <n v="6"/>
    <n v="2"/>
    <s v="FE000001"/>
    <s v="Extrarradio"/>
  </r>
  <r>
    <s v="S000004"/>
    <x v="78"/>
    <s v="Cliente 01"/>
    <s v="Decathlon"/>
    <x v="4"/>
    <x v="0"/>
    <s v="Conductor 01"/>
    <m/>
    <s v="Decathlon Logística - Getafe"/>
    <s v="Decathlon City Embajadores"/>
    <n v="17.399999999999999"/>
    <m/>
    <m/>
    <n v="40"/>
    <s v="Facturado"/>
    <n v="2026"/>
    <n v="6"/>
    <n v="2"/>
    <s v="FE000001"/>
    <m/>
  </r>
  <r>
    <s v="S000003"/>
    <x v="79"/>
    <s v="Cliente 01"/>
    <s v="Ilunion"/>
    <x v="1"/>
    <x v="0"/>
    <s v="Conductor 01"/>
    <m/>
    <s v="Vallecas (Base Ilunion)"/>
    <s v="Vallecas (Base Ilunion)"/>
    <n v="43.1"/>
    <m/>
    <m/>
    <n v="170"/>
    <s v="Facturado"/>
    <n v="2026"/>
    <n v="6"/>
    <n v="2"/>
    <s v="FE000001"/>
    <m/>
  </r>
  <r>
    <s v="S000002"/>
    <x v="79"/>
    <s v="Cliente 01"/>
    <s v="Axians"/>
    <x v="4"/>
    <x v="0"/>
    <s v="Conductor 01"/>
    <m/>
    <s v="Axians - Torres de la Alameda"/>
    <s v="Aeropuerto Barajas T2 Salidas"/>
    <n v="26.9"/>
    <m/>
    <m/>
    <n v="40"/>
    <s v="Facturado"/>
    <n v="2026"/>
    <n v="6"/>
    <n v="2"/>
    <s v="FE000001"/>
    <m/>
  </r>
  <r>
    <s v="S000001"/>
    <x v="79"/>
    <s v="Cliente 01"/>
    <s v="Xiaomi"/>
    <x v="4"/>
    <x v="0"/>
    <s v="Conductor 01"/>
    <m/>
    <s v="EDA Pinto"/>
    <s v="Tienda Xiaomi C.C La Gavia"/>
    <n v="22.2"/>
    <m/>
    <m/>
    <n v="40"/>
    <s v="Facturado"/>
    <n v="2026"/>
    <n v="6"/>
    <n v="2"/>
    <s v="FE000001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s v="R000046"/>
    <x v="0"/>
    <s v="Vehículo 01"/>
    <s v="Conductor 01"/>
    <s v="Ballenoil"/>
    <s v="Gasoil"/>
    <n v="58.24"/>
    <n v="1.7170329670329669"/>
    <n v="82.644628099173559"/>
    <n v="0.21"/>
    <n v="17.355371900826448"/>
    <n v="100"/>
    <n v="637381"/>
    <s v="DNI &amp; Go"/>
    <n v="2026"/>
    <n v="9"/>
    <n v="3"/>
    <n v="46"/>
    <n v="585"/>
    <n v="9.9555555555555557"/>
    <s v="Pendiente factura"/>
  </r>
  <r>
    <s v="R000045"/>
    <x v="1"/>
    <s v="Vehículo 01"/>
    <s v="Conductor 01"/>
    <s v="Ballenoil"/>
    <s v="Gasoil"/>
    <n v="71.069999999999993"/>
    <n v="1.7170395384831858"/>
    <n v="100.85123966942149"/>
    <n v="0.21"/>
    <n v="21.178760330578513"/>
    <n v="122.03"/>
    <n v="636796"/>
    <s v="DNI &amp; Go"/>
    <n v="2026"/>
    <n v="9"/>
    <n v="3"/>
    <n v="45"/>
    <n v="681"/>
    <n v="10.43612334801762"/>
    <s v="Pendiente factura"/>
  </r>
  <r>
    <s v="R000044"/>
    <x v="2"/>
    <s v="Vehículo 01"/>
    <s v="Conductor 01"/>
    <s v="Ballenoil"/>
    <s v="Gasoil"/>
    <n v="73.5"/>
    <n v="1.6870748299319729"/>
    <n v="102.47933884297521"/>
    <n v="0.21"/>
    <n v="21.520661157024794"/>
    <n v="124"/>
    <n v="636115"/>
    <s v="DNI &amp; Go"/>
    <n v="2026"/>
    <n v="9"/>
    <n v="3"/>
    <n v="44"/>
    <n v="682"/>
    <n v="10.777126099706745"/>
    <s v="Pendiente factura"/>
  </r>
  <r>
    <s v="R000043"/>
    <x v="3"/>
    <s v="Vehículo 01"/>
    <s v="Administrador"/>
    <s v="Alcampo"/>
    <s v="Gasoil"/>
    <n v="71.88"/>
    <n v="1.7390094602114636"/>
    <n v="103.31"/>
    <n v="0.21"/>
    <n v="21.69"/>
    <n v="125"/>
    <n v="635433"/>
    <s v="Tarjeta empresa"/>
    <n v="2026"/>
    <n v="8"/>
    <n v="3"/>
    <n v="43"/>
    <n v="649"/>
    <n v="11.075500770416022"/>
    <s v="Pendiente factura"/>
  </r>
  <r>
    <s v="R000042"/>
    <x v="4"/>
    <s v="Vehículo 01"/>
    <s v="Conductor 01"/>
    <s v="Ballenoil"/>
    <s v="Gasoil"/>
    <n v="66.7"/>
    <n v="1.8590704647676162"/>
    <n v="102.47933884297521"/>
    <n v="0.21"/>
    <n v="21.520661157024794"/>
    <n v="124"/>
    <n v="634784"/>
    <s v="DNI &amp; Go"/>
    <n v="2026"/>
    <n v="8"/>
    <n v="3"/>
    <n v="42"/>
    <n v="801"/>
    <n v="8.3270911360799005"/>
    <s v="Pendiente factura"/>
  </r>
  <r>
    <s v="R000041"/>
    <x v="5"/>
    <s v="Vehículo 01"/>
    <s v="Conductor 01"/>
    <s v="Ballenoil"/>
    <s v="Gasoil"/>
    <n v="66.7"/>
    <n v="1.8590704647676162"/>
    <n v="102.47933884297521"/>
    <n v="0.21"/>
    <n v="21.520661157024794"/>
    <n v="124"/>
    <n v="633983"/>
    <s v="DNI &amp; Go"/>
    <n v="2026"/>
    <n v="8"/>
    <n v="3"/>
    <n v="41"/>
    <n v="632"/>
    <n v="10.553797468354432"/>
    <s v="Pendiente factura"/>
  </r>
  <r>
    <s v="R000040"/>
    <x v="6"/>
    <s v="Vehículo 01"/>
    <s v="Conductor 01"/>
    <s v="Ballenoil"/>
    <s v="Gasoil"/>
    <n v="69.31"/>
    <n v="1.7890636271822247"/>
    <n v="102.47933884297521"/>
    <n v="0.21"/>
    <n v="21.520661157024794"/>
    <n v="124"/>
    <n v="633351"/>
    <s v="DNI &amp; Go"/>
    <n v="2026"/>
    <n v="8"/>
    <n v="3"/>
    <n v="40"/>
    <n v="689"/>
    <n v="10.059506531204644"/>
    <s v="Pendiente factura"/>
  </r>
  <r>
    <s v="R000039"/>
    <x v="7"/>
    <s v="Vehículo 01"/>
    <s v="Conductor 01"/>
    <s v="Ballenoil"/>
    <s v="Gasoil"/>
    <n v="69.31"/>
    <n v="1.7890636271822247"/>
    <n v="102.47933884297521"/>
    <n v="0.21"/>
    <n v="21.520661157024794"/>
    <n v="124"/>
    <n v="632662"/>
    <s v="DNI &amp; Go"/>
    <n v="2026"/>
    <n v="8"/>
    <n v="3"/>
    <n v="39"/>
    <n v="657"/>
    <n v="10.549467275494672"/>
    <s v="Pendiente factura"/>
  </r>
  <r>
    <s v="R000038"/>
    <x v="7"/>
    <s v="Vehículo 02"/>
    <m/>
    <s v="Ballenoil"/>
    <s v="Gasoil"/>
    <n v="16.77"/>
    <n v="1.7889087656529516"/>
    <n v="24.793388429752067"/>
    <n v="0.21"/>
    <n v="5.2066115702479339"/>
    <n v="30"/>
    <m/>
    <s v="Tarjeta empresa"/>
    <n v="2026"/>
    <n v="8"/>
    <n v="3"/>
    <n v="38"/>
    <s v=""/>
    <s v=""/>
    <s v="Factura a fin mes"/>
  </r>
  <r>
    <s v="R000037"/>
    <x v="8"/>
    <s v="Vehículo 01"/>
    <s v="Conductor 01"/>
    <s v="Ballenoil"/>
    <s v="Gasoil"/>
    <n v="70.09"/>
    <n v="1.7691539449279496"/>
    <n v="102.47933884297521"/>
    <n v="0.21"/>
    <n v="21.520661157024794"/>
    <n v="124"/>
    <n v="632005"/>
    <s v="DNI &amp; Go"/>
    <n v="2026"/>
    <n v="8"/>
    <n v="3"/>
    <n v="37"/>
    <n v="711"/>
    <n v="9.8579465541490858"/>
    <s v="Pendiente factura"/>
  </r>
  <r>
    <s v="R000036"/>
    <x v="9"/>
    <s v="Vehículo 01"/>
    <s v="Conductor 01"/>
    <s v="Ballenoil"/>
    <s v="Gasoil"/>
    <n v="65.989999999999995"/>
    <n v="1.8790725867555691"/>
    <n v="102.47933884297521"/>
    <n v="0.21"/>
    <n v="21.520661157024794"/>
    <n v="124"/>
    <n v="631294"/>
    <s v="DNI &amp; Go"/>
    <n v="2026"/>
    <n v="8"/>
    <n v="3"/>
    <n v="36"/>
    <n v="447"/>
    <n v="14.762863534675613"/>
    <s v="Pendiente factura"/>
  </r>
  <r>
    <s v="R000035"/>
    <x v="10"/>
    <s v="Vehículo 01"/>
    <s v="Conductor 01"/>
    <s v="Ballenoil"/>
    <s v="Gasoil"/>
    <n v="45.22"/>
    <n v="1.7691287041132242"/>
    <n v="66.11"/>
    <n v="0.21"/>
    <n v="13.883099999999999"/>
    <n v="80"/>
    <n v="630847"/>
    <s v="DNI &amp; Go"/>
    <n v="2026"/>
    <n v="8"/>
    <n v="3"/>
    <n v="35"/>
    <n v="492"/>
    <n v="9.1910569105691042"/>
    <s v="Pendiente factura"/>
  </r>
  <r>
    <s v="R000034"/>
    <x v="11"/>
    <s v="Vehículo 01"/>
    <s v="Administrador"/>
    <s v="Ballenoil"/>
    <s v="Gasoil"/>
    <n v="57.5"/>
    <n v="1.7391304347826086"/>
    <n v="82.64"/>
    <n v="0.21"/>
    <n v="17.354399999999998"/>
    <n v="100"/>
    <n v="630355"/>
    <s v="Tarjeta empresa"/>
    <n v="2026"/>
    <n v="8"/>
    <n v="3"/>
    <n v="34"/>
    <n v="539"/>
    <n v="10.667903525046382"/>
    <s v="Factura a fin mes"/>
  </r>
  <r>
    <s v="R000033"/>
    <x v="12"/>
    <s v="Vehículo 01"/>
    <s v="Administrador"/>
    <s v="Ballenoil"/>
    <s v="Gasoil"/>
    <n v="52.36"/>
    <n v="1.7188693659281895"/>
    <n v="74.38"/>
    <n v="0.21"/>
    <n v="15.619799999999998"/>
    <n v="90"/>
    <n v="629816"/>
    <s v="Tarjeta empresa"/>
    <n v="2026"/>
    <n v="8"/>
    <n v="3"/>
    <n v="33"/>
    <n v="606"/>
    <n v="8.6402640264026402"/>
    <s v="Facturado"/>
  </r>
  <r>
    <s v="R000032"/>
    <x v="13"/>
    <s v="Vehículo 01"/>
    <s v="Conductor 01"/>
    <s v="Ballenoil"/>
    <s v="Gasoil"/>
    <n v="46"/>
    <n v="1.7391304347826086"/>
    <n v="66.11570247933885"/>
    <n v="0.21"/>
    <n v="13.884297520661159"/>
    <n v="80"/>
    <n v="629210"/>
    <s v="DNI &amp; Go"/>
    <n v="2026"/>
    <n v="8"/>
    <n v="3"/>
    <n v="32"/>
    <n v="306"/>
    <n v="15.032679738562091"/>
    <s v="Pendiente factura"/>
  </r>
  <r>
    <s v="R000031"/>
    <x v="14"/>
    <s v="Vehículo 01"/>
    <s v="Conductor 01"/>
    <s v="Ballenoil"/>
    <s v="Gasoil"/>
    <n v="46"/>
    <n v="1.7391304347826086"/>
    <n v="66.11570247933885"/>
    <n v="0.21"/>
    <n v="13.884297520661159"/>
    <n v="80"/>
    <n v="628904"/>
    <s v="DNI &amp; Go"/>
    <n v="2026"/>
    <n v="8"/>
    <n v="3"/>
    <n v="31"/>
    <n v="551"/>
    <n v="8.3484573502722323"/>
    <s v="Pendiente factura"/>
  </r>
  <r>
    <s v="R000030"/>
    <x v="15"/>
    <s v="Vehículo 01"/>
    <s v="Administrador"/>
    <s v="Ballenoil"/>
    <s v="Gasoil"/>
    <n v="51.75"/>
    <n v="1.7391304347826086"/>
    <n v="74.380165289256198"/>
    <n v="0.21"/>
    <n v="15.619834710743801"/>
    <n v="90"/>
    <n v="628353"/>
    <s v="Tarjeta empresa"/>
    <n v="2026"/>
    <n v="8"/>
    <n v="3"/>
    <n v="30"/>
    <n v="438"/>
    <n v="11.815068493150685"/>
    <s v="Factura a fin mes"/>
  </r>
  <r>
    <s v="R000029"/>
    <x v="16"/>
    <s v="Vehículo 01"/>
    <s v="Conductor 01"/>
    <s v="Ballenoil"/>
    <s v="Gasoil"/>
    <n v="44.47"/>
    <n v="1.7989655947829999"/>
    <n v="66.11570247933885"/>
    <n v="0.21"/>
    <n v="13.884297520661159"/>
    <n v="80"/>
    <n v="627915"/>
    <s v="DNI &amp; Go"/>
    <n v="2026"/>
    <n v="8"/>
    <n v="3"/>
    <n v="29"/>
    <n v="434"/>
    <n v="10.246543778801843"/>
    <s v="Pendiente factura"/>
  </r>
  <r>
    <s v="R000028"/>
    <x v="17"/>
    <s v="Vehículo 01"/>
    <s v="Administrador"/>
    <s v="Ballenoil"/>
    <s v="Gasoil"/>
    <n v="48.88"/>
    <n v="1.738952536824877"/>
    <n v="70.25"/>
    <n v="0.21"/>
    <n v="14.7525"/>
    <n v="85"/>
    <n v="627481"/>
    <s v="DNI &amp; Go"/>
    <n v="2026"/>
    <n v="8"/>
    <n v="3"/>
    <n v="28"/>
    <n v="460"/>
    <n v="10.626086956521739"/>
    <s v="Pendiente factura"/>
  </r>
  <r>
    <s v="R000027"/>
    <x v="18"/>
    <s v="Vehículo 01"/>
    <s v="Conductor 01"/>
    <s v="Ballenoil"/>
    <s v="Gasoil"/>
    <n v="44.47"/>
    <n v="1.7989655947829999"/>
    <n v="66.12"/>
    <n v="0.21"/>
    <n v="13.885200000000001"/>
    <n v="80"/>
    <n v="627021"/>
    <s v="DNI &amp; Go"/>
    <n v="2026"/>
    <n v="8"/>
    <n v="3"/>
    <n v="27"/>
    <n v="506"/>
    <n v="8.7885375494071152"/>
    <s v="Pendiente factura"/>
  </r>
  <r>
    <s v="R000026"/>
    <x v="19"/>
    <s v="Vehículo 01"/>
    <s v="Conductor 01"/>
    <s v="Ballenoil"/>
    <s v="Gasoil"/>
    <n v="55.58"/>
    <n v="1.7992083483267363"/>
    <n v="82.64"/>
    <n v="0.21"/>
    <n v="17.354399999999998"/>
    <n v="100"/>
    <n v="626515"/>
    <s v="DNI &amp; Go"/>
    <n v="2026"/>
    <n v="8"/>
    <n v="3"/>
    <n v="26"/>
    <n v="451"/>
    <n v="12.323725055432371"/>
    <s v="Pendiente factura"/>
  </r>
  <r>
    <s v="R000025"/>
    <x v="20"/>
    <s v="Vehículo 01"/>
    <s v="Administrador"/>
    <s v="Plenoil"/>
    <s v="Gasoil"/>
    <n v="52.66"/>
    <n v="1.7090770983668819"/>
    <n v="74.38"/>
    <n v="0.21"/>
    <n v="15.619799999999998"/>
    <n v="90"/>
    <n v="626064"/>
    <s v="Tarjeta empresa"/>
    <n v="2026"/>
    <n v="7"/>
    <n v="3"/>
    <n v="25"/>
    <n v="496"/>
    <n v="10.616935483870966"/>
    <s v="Facturado"/>
  </r>
  <r>
    <s v="R000024"/>
    <x v="21"/>
    <s v="Vehículo 01"/>
    <s v="Conductor 01"/>
    <s v="Ballenoil"/>
    <s v="Gasoil"/>
    <n v="47.36"/>
    <n v="1.6891891891891893"/>
    <n v="66.12"/>
    <n v="0.21"/>
    <n v="13.885200000000001"/>
    <n v="80"/>
    <n v="625568"/>
    <s v="DNI &amp; Go"/>
    <n v="2026"/>
    <n v="7"/>
    <n v="3"/>
    <n v="24"/>
    <n v="442"/>
    <n v="10.714932126696834"/>
    <s v="Facturado"/>
  </r>
  <r>
    <s v="R000023"/>
    <x v="22"/>
    <s v="Vehículo 01"/>
    <s v="Administrador"/>
    <s v="Ballenoil"/>
    <s v="Gasoil"/>
    <n v="54.17"/>
    <n v="1.5691342071257153"/>
    <n v="70.25"/>
    <n v="0.21"/>
    <n v="14.7525"/>
    <n v="85"/>
    <n v="625126"/>
    <s v="DNI &amp; Go"/>
    <n v="2026"/>
    <n v="7"/>
    <n v="3"/>
    <n v="23"/>
    <n v="559"/>
    <n v="9.690518783542041"/>
    <s v="Facturado"/>
  </r>
  <r>
    <s v="R000022"/>
    <x v="23"/>
    <s v="Vehículo 01"/>
    <s v="Conductor 01"/>
    <s v="Ballenoil"/>
    <s v="Gasoil"/>
    <n v="47.93"/>
    <n v="1.6691007719591071"/>
    <n v="66.12"/>
    <n v="0.21"/>
    <n v="13.885200000000001"/>
    <n v="80"/>
    <n v="624567"/>
    <s v="DNI &amp; Go"/>
    <n v="2026"/>
    <n v="7"/>
    <n v="3"/>
    <n v="22"/>
    <n v="366"/>
    <n v="13.095628415300547"/>
    <s v="Facturado"/>
  </r>
  <r>
    <s v="R000021"/>
    <x v="24"/>
    <s v="Vehículo 01"/>
    <s v="Conductor 01"/>
    <s v="Ballenoil"/>
    <s v="Gasoil"/>
    <n v="47.93"/>
    <n v="1.6691007719591071"/>
    <n v="66.12"/>
    <n v="0.21"/>
    <n v="13.885200000000001"/>
    <n v="80"/>
    <n v="624201"/>
    <s v="DNI &amp; Go"/>
    <n v="2026"/>
    <n v="7"/>
    <n v="3"/>
    <n v="21"/>
    <n v="561"/>
    <n v="8.5436720142602489"/>
    <s v="Facturado"/>
  </r>
  <r>
    <s v="R000020"/>
    <x v="25"/>
    <s v="Vehículo 01"/>
    <s v="Conductor 01"/>
    <s v="Ballenoil"/>
    <s v="Gasoil"/>
    <n v="64.97"/>
    <n v="1.5391719255040788"/>
    <n v="82.64"/>
    <n v="0.21"/>
    <n v="17.354399999999998"/>
    <n v="100"/>
    <n v="623640"/>
    <s v="DNI &amp; Go"/>
    <n v="2026"/>
    <n v="7"/>
    <n v="3"/>
    <n v="20"/>
    <n v="544"/>
    <n v="11.943014705882353"/>
    <s v="Facturado"/>
  </r>
  <r>
    <s v="R000019"/>
    <x v="26"/>
    <s v="Vehículo 01"/>
    <s v="Administrador"/>
    <s v="Ballenoil"/>
    <s v="Gasoil"/>
    <n v="56.7"/>
    <n v="1.4991181657848325"/>
    <n v="70.25"/>
    <n v="0.21"/>
    <n v="14.7525"/>
    <n v="85"/>
    <n v="623096"/>
    <s v="DNI &amp; Go"/>
    <n v="2026"/>
    <n v="7"/>
    <n v="3"/>
    <n v="19"/>
    <n v="646"/>
    <n v="8.7770897832817347"/>
    <s v="Facturado"/>
  </r>
  <r>
    <s v="R000018"/>
    <x v="27"/>
    <s v="Vehículo 01"/>
    <s v="Conductor 01"/>
    <s v="Ballenoil"/>
    <s v="Gasoil"/>
    <n v="66.709999999999994"/>
    <n v="1.4990256333383303"/>
    <n v="82.64"/>
    <n v="0.21"/>
    <n v="17.354399999999998"/>
    <n v="100"/>
    <n v="622450"/>
    <s v="DNI &amp; Go"/>
    <n v="2026"/>
    <n v="7"/>
    <n v="3"/>
    <n v="18"/>
    <n v="505"/>
    <n v="13.209900990099008"/>
    <s v="Facturado"/>
  </r>
  <r>
    <s v="R000017"/>
    <x v="28"/>
    <s v="Vehículo 01"/>
    <s v="Conductor 01"/>
    <s v="Ballenoil"/>
    <s v="Gasoil"/>
    <n v="53.37"/>
    <n v="1.4989694584972832"/>
    <n v="66.12"/>
    <n v="0.21"/>
    <n v="13.885200000000001"/>
    <n v="80"/>
    <n v="621945"/>
    <s v="DNI &amp; Go"/>
    <n v="2026"/>
    <n v="7"/>
    <n v="3"/>
    <n v="17"/>
    <n v="631"/>
    <n v="8.4580031695721072"/>
    <s v="Facturado"/>
  </r>
  <r>
    <s v="R000016"/>
    <x v="29"/>
    <s v="Vehículo 01"/>
    <s v="Conductor 01"/>
    <s v="Ballenoil"/>
    <s v="Gasoil"/>
    <n v="54.83"/>
    <n v="1.4590552617180377"/>
    <n v="66.12"/>
    <n v="0.21"/>
    <n v="13.885200000000001"/>
    <n v="80"/>
    <n v="621314"/>
    <s v="DNI &amp; Go"/>
    <n v="2026"/>
    <n v="7"/>
    <n v="3"/>
    <n v="16"/>
    <n v="445"/>
    <n v="12.321348314606741"/>
    <s v="Facturado"/>
  </r>
  <r>
    <s v="R000015"/>
    <x v="30"/>
    <s v="Vehículo 01"/>
    <s v="Conductor 01"/>
    <s v="Ballenoil"/>
    <s v="Gasoil"/>
    <n v="65.930000000000007"/>
    <n v="1.4589716365842558"/>
    <n v="79.489999999999995"/>
    <n v="0.21"/>
    <n v="16.692899999999998"/>
    <n v="96.19"/>
    <n v="620869"/>
    <s v="DNI &amp; Go"/>
    <n v="2026"/>
    <n v="7"/>
    <n v="3"/>
    <n v="15"/>
    <n v="597"/>
    <n v="11.043551088777221"/>
    <s v="Facturado"/>
  </r>
  <r>
    <s v="R000014"/>
    <x v="31"/>
    <s v="Vehículo 01"/>
    <s v="Administrador"/>
    <s v="Ballenoil"/>
    <s v="Gasoil"/>
    <n v="57.73"/>
    <n v="1.558978001039321"/>
    <n v="74.38"/>
    <n v="0.21"/>
    <n v="15.619799999999998"/>
    <n v="89.999799999999993"/>
    <n v="620272"/>
    <s v="DNI &amp; Go"/>
    <n v="2026"/>
    <n v="7"/>
    <n v="3"/>
    <n v="14"/>
    <n v="481"/>
    <n v="12.002079002079"/>
    <s v="Facturado"/>
  </r>
  <r>
    <s v="R000013"/>
    <x v="32"/>
    <s v="Vehículo 01"/>
    <s v="Conductor 01"/>
    <s v="Ballenoil"/>
    <s v="Gasoil"/>
    <n v="49.72"/>
    <n v="1.6090104585679808"/>
    <n v="66.12"/>
    <n v="0.21"/>
    <n v="13.885200000000001"/>
    <n v="80"/>
    <n v="619791"/>
    <s v="DNI &amp; Go"/>
    <n v="2026"/>
    <n v="7"/>
    <n v="3"/>
    <n v="13"/>
    <n v="626"/>
    <n v="7.9424920127795522"/>
    <s v="Facturado"/>
  </r>
  <r>
    <s v="R000012"/>
    <x v="33"/>
    <s v="Vehículo 01"/>
    <s v="Conductor 01"/>
    <s v="Ballenoil"/>
    <s v="Gasoil"/>
    <n v="68.540000000000006"/>
    <n v="1.4590020426028596"/>
    <n v="82.64"/>
    <n v="0.21"/>
    <n v="17.354399999999998"/>
    <n v="100"/>
    <n v="619165"/>
    <s v="DNI &amp; Go"/>
    <n v="2026"/>
    <n v="7"/>
    <n v="3"/>
    <n v="12"/>
    <n v="667"/>
    <n v="10.275862068965518"/>
    <s v="Facturado"/>
  </r>
  <r>
    <s v="R000011"/>
    <x v="34"/>
    <s v="Vehículo 01"/>
    <s v="Conductor 01"/>
    <s v="Ballenoil"/>
    <s v="Gasoil"/>
    <n v="65.83"/>
    <n v="1.5190642564180465"/>
    <n v="82.64"/>
    <n v="0.21"/>
    <n v="17.354399999999998"/>
    <n v="100"/>
    <n v="618498"/>
    <s v="DNI &amp; Go"/>
    <n v="2026"/>
    <n v="7"/>
    <n v="3"/>
    <n v="11"/>
    <n v="593"/>
    <n v="11.101180438448566"/>
    <s v="Facturado"/>
  </r>
  <r>
    <s v="R000010"/>
    <x v="35"/>
    <s v="Vehículo 01"/>
    <s v="Conductor 01"/>
    <s v="Ballenoil"/>
    <s v="Gasoil"/>
    <n v="65.83"/>
    <n v="1.5190642564180465"/>
    <n v="82.64"/>
    <n v="0.21"/>
    <n v="17.354399999999998"/>
    <n v="100"/>
    <n v="617905"/>
    <s v="DNI &amp; Go"/>
    <n v="2026"/>
    <n v="7"/>
    <n v="3"/>
    <n v="10"/>
    <n v="619"/>
    <n v="10.634894991922456"/>
    <s v="Facturado"/>
  </r>
  <r>
    <s v="R000009"/>
    <x v="36"/>
    <s v="Vehículo 01"/>
    <s v="Conductor 01"/>
    <s v="Ballenoil"/>
    <s v="Gasoil"/>
    <n v="66.27"/>
    <n v="1.5089784216085711"/>
    <n v="82.64"/>
    <n v="0.21"/>
    <n v="17.354399999999998"/>
    <n v="100"/>
    <n v="617286"/>
    <s v="DNI &amp; Go"/>
    <n v="2026"/>
    <n v="7"/>
    <n v="3"/>
    <n v="9"/>
    <n v="665"/>
    <n v="9.9654135338345853"/>
    <s v="Facturado"/>
  </r>
  <r>
    <s v="R000008"/>
    <x v="37"/>
    <s v="Vehículo 01"/>
    <s v="Conductor 01"/>
    <s v="Ballenoil"/>
    <s v="Gasoil"/>
    <n v="68.540000000000006"/>
    <n v="1.4590020426028596"/>
    <n v="90.91"/>
    <n v="0.1"/>
    <n v="9.0909999999999993"/>
    <n v="100"/>
    <n v="616621"/>
    <s v="DNI &amp; Go"/>
    <n v="2026"/>
    <n v="6"/>
    <n v="2"/>
    <n v="8"/>
    <n v="582"/>
    <n v="11.776632302405501"/>
    <s v="Facturado"/>
  </r>
  <r>
    <s v="R000007"/>
    <x v="38"/>
    <s v="Vehículo 01"/>
    <s v="Conductor 01"/>
    <s v="Ballenoil"/>
    <s v="Gasoil"/>
    <n v="47.98"/>
    <n v="1.4590245935806587"/>
    <n v="63.64"/>
    <n v="0.1"/>
    <n v="6.3640000000000008"/>
    <n v="70.004000000000005"/>
    <n v="616039"/>
    <s v="DNI &amp; Go"/>
    <n v="2026"/>
    <n v="6"/>
    <n v="2"/>
    <n v="7"/>
    <n v="566"/>
    <n v="8.4770318021201412"/>
    <s v="Facturado"/>
  </r>
  <r>
    <s v="R000006"/>
    <x v="39"/>
    <s v="Vehículo 01"/>
    <s v="Conductor 01"/>
    <s v="Ballenoil"/>
    <s v="Gasoil"/>
    <n v="68.069999999999993"/>
    <n v="1.4690906419861907"/>
    <n v="90.91"/>
    <n v="0.1"/>
    <n v="9.0909999999999993"/>
    <n v="100.00099999999999"/>
    <n v="615473"/>
    <s v="DNI &amp; Go"/>
    <n v="2026"/>
    <n v="6"/>
    <n v="2"/>
    <n v="6"/>
    <n v="674"/>
    <n v="10.09940652818991"/>
    <s v="Facturado"/>
  </r>
  <r>
    <s v="R000005"/>
    <x v="40"/>
    <s v="Vehículo 01"/>
    <s v="Conductor 01"/>
    <s v="Ballenoil"/>
    <s v="Gasoil"/>
    <n v="67.61"/>
    <n v="1.4790859340334268"/>
    <n v="90.91"/>
    <n v="0.1"/>
    <n v="9.0909999999999993"/>
    <n v="100.00099999999999"/>
    <n v="614799"/>
    <s v="DNI &amp; Go"/>
    <n v="2026"/>
    <n v="6"/>
    <n v="2"/>
    <n v="5"/>
    <m/>
    <s v=""/>
    <s v="Facturado"/>
  </r>
  <r>
    <s v="R000004"/>
    <x v="41"/>
    <s v="Vehículo 01"/>
    <s v="Conductor 01"/>
    <s v="Ballenoil"/>
    <s v="Gasoil"/>
    <n v="50.37"/>
    <n v="1.4889418304546358"/>
    <n v="68.180000000000007"/>
    <n v="0.1"/>
    <n v="6.8180000000000014"/>
    <n v="74.998000000000005"/>
    <m/>
    <s v="Tarjeta empresa"/>
    <n v="2026"/>
    <n v="6"/>
    <n v="2"/>
    <n v="4"/>
    <n v="0"/>
    <s v=""/>
    <s v="Facturado"/>
  </r>
  <r>
    <s v="R000003"/>
    <x v="42"/>
    <s v="Vehículo 01"/>
    <s v="Conductor 01"/>
    <s v="Shell"/>
    <s v="Gasoil"/>
    <n v="67.16"/>
    <n v="1.4889964264443121"/>
    <n v="90.91"/>
    <n v="0.1"/>
    <n v="9.0909999999999993"/>
    <n v="100.00099999999999"/>
    <m/>
    <s v="Efectivo"/>
    <n v="2026"/>
    <n v="6"/>
    <n v="2"/>
    <n v="3"/>
    <n v="0"/>
    <s v=""/>
    <s v="Factura anotada"/>
  </r>
  <r>
    <s v="R000002"/>
    <x v="43"/>
    <s v="Vehículo 01"/>
    <s v="Conductor 01"/>
    <s v="Ballenoil"/>
    <s v="Gasoil"/>
    <n v="33.58"/>
    <n v="1.488832638475283"/>
    <n v="45.45"/>
    <n v="0.1"/>
    <n v="4.5450000000000008"/>
    <n v="49.995000000000005"/>
    <m/>
    <s v="Efectivo"/>
    <n v="2026"/>
    <n v="6"/>
    <n v="2"/>
    <n v="2"/>
    <n v="0"/>
    <s v=""/>
    <s v="NO FACTURA"/>
  </r>
  <r>
    <s v="R000001"/>
    <x v="44"/>
    <s v="Vehículo 01"/>
    <s v="Conductor 01"/>
    <s v="Ballenoil"/>
    <s v="Gasoil"/>
    <n v="33.58"/>
    <n v="1.488832638475283"/>
    <n v="45.45"/>
    <n v="0.1"/>
    <n v="4.5450000000000008"/>
    <n v="49.995000000000005"/>
    <m/>
    <s v="Efectivo"/>
    <n v="2026"/>
    <n v="6"/>
    <n v="2"/>
    <n v="1"/>
    <s v=""/>
    <s v=""/>
    <s v="NO FACTUR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49A2C0-D95A-4966-ACC5-BC97C3373CC7}" name="PT04ServiciosMes" cacheId="7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8" indent="0" compact="0" compactData="0" multipleFieldFilters="0">
  <location ref="K6:M10" firstHeaderRow="1" firstDataRow="1" firstDataCol="2"/>
  <pivotFields count="2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80"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5"/>
        <item x="56"/>
        <item x="54"/>
        <item x="52"/>
        <item x="53"/>
        <item x="50"/>
        <item x="51"/>
        <item x="49"/>
        <item x="48"/>
        <item x="44"/>
        <item x="45"/>
        <item x="46"/>
        <item x="47"/>
        <item x="43"/>
        <item x="41"/>
        <item x="42"/>
        <item x="37"/>
        <item x="38"/>
        <item x="39"/>
        <item x="40"/>
        <item x="36"/>
        <item x="35"/>
        <item x="33"/>
        <item x="34"/>
        <item x="30"/>
        <item x="31"/>
        <item x="32"/>
        <item x="28"/>
        <item x="29"/>
        <item x="27"/>
        <item x="25"/>
        <item x="26"/>
        <item x="24"/>
        <item x="23"/>
        <item x="22"/>
        <item x="21"/>
        <item x="20"/>
        <item x="19"/>
        <item x="18"/>
        <item x="17"/>
        <item x="15"/>
        <item x="16"/>
        <item x="14"/>
        <item x="13"/>
        <item x="11"/>
        <item x="12"/>
        <item x="10"/>
        <item x="8"/>
        <item x="9"/>
        <item x="7"/>
        <item x="6"/>
        <item x="5"/>
        <item x="4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1"/>
    <field x="20"/>
  </rowFields>
  <rowItems count="4">
    <i>
      <x v="1"/>
      <x v="6"/>
    </i>
    <i r="1">
      <x v="7"/>
    </i>
    <i r="1">
      <x v="8"/>
    </i>
    <i r="1">
      <x v="9"/>
    </i>
  </rowItems>
  <colItems count="1">
    <i/>
  </colItems>
  <dataFields count="1">
    <dataField name="Cuenta de ID Servicio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6AC99F-B3F3-49CE-BD90-7ECEF4E627B6}" name="TablaDinámica3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8" indent="0" compact="0" compactData="0" multipleFieldFilters="0">
  <location ref="W6:Z16" firstHeaderRow="1" firstDataRow="1" firstDataCol="3"/>
  <pivotFields count="13">
    <pivotField compact="0" numFmtId="14" outline="0" showAll="0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2"/>
        <item x="33"/>
        <item x="34"/>
        <item x="35"/>
        <item x="36"/>
        <item x="37"/>
        <item x="25"/>
        <item x="26"/>
        <item x="27"/>
        <item x="28"/>
        <item x="29"/>
        <item x="30"/>
        <item x="3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5"/>
        <item x="0"/>
        <item x="1"/>
        <item x="4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2"/>
    <field x="11"/>
    <field x="1"/>
  </rowFields>
  <rowItems count="10">
    <i>
      <x v="1"/>
      <x v="6"/>
      <x/>
    </i>
    <i r="2">
      <x v="1"/>
    </i>
    <i r="2">
      <x v="2"/>
    </i>
    <i r="1">
      <x v="7"/>
      <x v="1"/>
    </i>
    <i r="2">
      <x v="2"/>
    </i>
    <i r="2">
      <x v="3"/>
    </i>
    <i r="2">
      <x v="5"/>
    </i>
    <i r="1">
      <x v="8"/>
      <x v="1"/>
    </i>
    <i r="2">
      <x v="2"/>
    </i>
    <i r="2">
      <x v="4"/>
    </i>
  </rowItems>
  <colItems count="1">
    <i/>
  </colItems>
  <dataFields count="1">
    <dataField name="Suma de Km reales" fld="5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4EB8BC-AB25-4C33-9318-FCE8C44E67B5}" name="PT05FacturacionContrato" cacheId="7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8" indent="0" compact="0" compactData="0" multipleFieldFilters="0">
  <location ref="O6:R18" firstHeaderRow="1" firstDataRow="1" firstDataCol="3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80"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5"/>
        <item x="56"/>
        <item x="54"/>
        <item x="52"/>
        <item x="53"/>
        <item x="50"/>
        <item x="51"/>
        <item x="49"/>
        <item x="48"/>
        <item x="44"/>
        <item x="45"/>
        <item x="46"/>
        <item x="47"/>
        <item x="43"/>
        <item x="41"/>
        <item x="42"/>
        <item x="37"/>
        <item x="38"/>
        <item x="39"/>
        <item x="40"/>
        <item x="36"/>
        <item x="35"/>
        <item x="33"/>
        <item x="34"/>
        <item x="30"/>
        <item x="31"/>
        <item x="32"/>
        <item x="28"/>
        <item x="29"/>
        <item x="27"/>
        <item x="25"/>
        <item x="26"/>
        <item x="24"/>
        <item x="23"/>
        <item x="22"/>
        <item x="21"/>
        <item x="20"/>
        <item x="19"/>
        <item x="18"/>
        <item x="17"/>
        <item x="15"/>
        <item x="16"/>
        <item x="14"/>
        <item x="13"/>
        <item x="11"/>
        <item x="12"/>
        <item x="10"/>
        <item x="8"/>
        <item x="9"/>
        <item x="7"/>
        <item x="6"/>
        <item x="5"/>
        <item x="4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1"/>
        <item x="0"/>
        <item m="1" x="5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1"/>
    <field x="20"/>
    <field x="4"/>
  </rowFields>
  <rowItems count="12">
    <i>
      <x v="1"/>
      <x v="6"/>
      <x/>
    </i>
    <i r="2">
      <x v="1"/>
    </i>
    <i r="2">
      <x v="2"/>
    </i>
    <i r="1">
      <x v="7"/>
      <x v="1"/>
    </i>
    <i r="2">
      <x v="2"/>
    </i>
    <i r="2">
      <x v="4"/>
    </i>
    <i r="1">
      <x v="8"/>
      <x v="1"/>
    </i>
    <i r="2">
      <x v="2"/>
    </i>
    <i r="2">
      <x v="5"/>
    </i>
    <i r="1">
      <x v="9"/>
      <x v="1"/>
    </i>
    <i r="2">
      <x v="2"/>
    </i>
    <i r="2">
      <x v="5"/>
    </i>
  </rowItems>
  <colItems count="1">
    <i/>
  </colItems>
  <dataFields count="1">
    <dataField name="Suma de Base imponible (€)" fld="13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6BE61-7389-4103-A127-0D03CB469F58}" name="TablaDinámica1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>
  <location ref="D6:E12" firstHeaderRow="1" firstDataRow="1" firstDataCol="1" rowPageCount="1" colPageCount="1"/>
  <pivotFields count="22">
    <pivotField showAll="0"/>
    <pivotField numFmtId="14" showAll="0">
      <items count="81"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5"/>
        <item x="56"/>
        <item x="54"/>
        <item x="52"/>
        <item x="53"/>
        <item x="50"/>
        <item x="51"/>
        <item x="49"/>
        <item x="48"/>
        <item x="44"/>
        <item x="45"/>
        <item x="46"/>
        <item x="47"/>
        <item x="43"/>
        <item x="41"/>
        <item x="42"/>
        <item x="37"/>
        <item x="38"/>
        <item x="39"/>
        <item x="40"/>
        <item x="36"/>
        <item x="35"/>
        <item x="33"/>
        <item x="34"/>
        <item x="30"/>
        <item x="31"/>
        <item x="32"/>
        <item x="28"/>
        <item x="29"/>
        <item x="27"/>
        <item x="25"/>
        <item x="26"/>
        <item x="24"/>
        <item x="23"/>
        <item x="22"/>
        <item x="21"/>
        <item x="20"/>
        <item x="19"/>
        <item x="18"/>
        <item x="17"/>
        <item x="15"/>
        <item x="16"/>
        <item x="14"/>
        <item x="13"/>
        <item x="11"/>
        <item x="12"/>
        <item x="10"/>
        <item x="8"/>
        <item x="9"/>
        <item x="7"/>
        <item x="6"/>
        <item x="5"/>
        <item x="4"/>
        <item x="2"/>
        <item x="3"/>
        <item x="0"/>
        <item x="1"/>
        <item t="default"/>
      </items>
    </pivotField>
    <pivotField showAll="0"/>
    <pivotField showAll="0"/>
    <pivotField showAll="0"/>
    <pivotField axis="axisPage" showAll="0">
      <items count="4">
        <item x="0"/>
        <item m="1" x="2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3">
        <item sd="0" x="0"/>
        <item x="1"/>
        <item x="2"/>
      </items>
    </pivotField>
  </pivotFields>
  <rowFields count="2">
    <field x="21"/>
    <field x="20"/>
  </rowFields>
  <rowItems count="6">
    <i>
      <x v="1"/>
    </i>
    <i r="1">
      <x v="6"/>
    </i>
    <i r="1">
      <x v="7"/>
    </i>
    <i r="1">
      <x v="8"/>
    </i>
    <i r="1">
      <x v="9"/>
    </i>
    <i t="grand">
      <x/>
    </i>
  </rowItems>
  <colItems count="1">
    <i/>
  </colItems>
  <pageFields count="1">
    <pageField fld="5" item="0" hier="-1"/>
  </pageFields>
  <dataFields count="1">
    <dataField name="Suma de Base imponible (€)" fld="13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64DC6-86B9-425F-8C26-FBB0DAE43377}" name="PT01FacturacionFecha" cacheId="7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8" indent="0" compact="0" compactData="0" multipleFieldFilters="0">
  <location ref="A6:B86" firstHeaderRow="1" firstDataRow="1" firstDataCol="1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80"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5"/>
        <item x="56"/>
        <item x="54"/>
        <item x="52"/>
        <item x="53"/>
        <item x="50"/>
        <item x="51"/>
        <item x="49"/>
        <item x="48"/>
        <item x="44"/>
        <item x="45"/>
        <item x="46"/>
        <item x="47"/>
        <item x="43"/>
        <item x="41"/>
        <item x="42"/>
        <item x="37"/>
        <item x="38"/>
        <item x="39"/>
        <item x="40"/>
        <item x="36"/>
        <item x="35"/>
        <item x="33"/>
        <item x="34"/>
        <item x="30"/>
        <item x="31"/>
        <item x="32"/>
        <item x="28"/>
        <item x="29"/>
        <item x="27"/>
        <item x="25"/>
        <item x="26"/>
        <item x="24"/>
        <item x="23"/>
        <item x="22"/>
        <item x="21"/>
        <item x="20"/>
        <item x="19"/>
        <item x="18"/>
        <item x="17"/>
        <item x="15"/>
        <item x="16"/>
        <item x="14"/>
        <item x="13"/>
        <item x="11"/>
        <item x="12"/>
        <item x="10"/>
        <item x="8"/>
        <item x="9"/>
        <item x="7"/>
        <item x="6"/>
        <item x="5"/>
        <item x="4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8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</rowItems>
  <colItems count="1">
    <i/>
  </colItems>
  <dataFields count="1">
    <dataField name="Suma de Base imponible (€)" fld="1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C78F5A-F3D9-476A-8976-B95CD1669F11}" name="TablaDinámica2" cacheId="1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H6:I12" firstHeaderRow="1" firstDataRow="1" firstDataCol="1"/>
  <pivotFields count="22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2">
    <field x="21"/>
    <field x="1"/>
  </rowFields>
  <rowItems count="6">
    <i>
      <x v="1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Suma de Base imponible (€)" fld="8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6F9A39-5FA9-437F-BC0E-7B8946637515}" name="PT06KmContrato" cacheId="7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8" indent="0" compact="0" compactData="0" multipleFieldFilters="0">
  <location ref="T6:U11" firstHeaderRow="1" firstDataRow="1" firstDataCol="1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80"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5"/>
        <item x="56"/>
        <item x="54"/>
        <item x="52"/>
        <item x="53"/>
        <item x="50"/>
        <item x="51"/>
        <item x="49"/>
        <item x="48"/>
        <item x="44"/>
        <item x="45"/>
        <item x="46"/>
        <item x="47"/>
        <item x="43"/>
        <item x="41"/>
        <item x="42"/>
        <item x="37"/>
        <item x="38"/>
        <item x="39"/>
        <item x="40"/>
        <item x="36"/>
        <item x="35"/>
        <item x="33"/>
        <item x="34"/>
        <item x="30"/>
        <item x="31"/>
        <item x="32"/>
        <item x="28"/>
        <item x="29"/>
        <item x="27"/>
        <item x="25"/>
        <item x="26"/>
        <item x="24"/>
        <item x="23"/>
        <item x="22"/>
        <item x="21"/>
        <item x="20"/>
        <item x="19"/>
        <item x="18"/>
        <item x="17"/>
        <item x="15"/>
        <item x="16"/>
        <item x="14"/>
        <item x="13"/>
        <item x="11"/>
        <item x="12"/>
        <item x="10"/>
        <item x="8"/>
        <item x="9"/>
        <item x="7"/>
        <item x="6"/>
        <item x="5"/>
        <item x="4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1"/>
        <item x="0"/>
        <item m="1" x="5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4"/>
    </i>
    <i>
      <x v="5"/>
    </i>
  </rowItems>
  <colItems count="1">
    <i/>
  </colItems>
  <dataFields count="1">
    <dataField name="Suma de Km servicio" fld="10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40990E-8274-4ACC-B254-31EE2E85B90F}" name="tblKmReales" displayName="tblKmReales" ref="A2:K150" totalsRowShown="0">
  <autoFilter ref="A2:K150" xr:uid="{DA40990E-8274-4ACC-B254-31EE2E85B90F}"/>
  <tableColumns count="11">
    <tableColumn id="1" xr3:uid="{6F6A021C-3C31-4589-9CC1-BD088788B0EA}" name="Fecha" dataDxfId="91"/>
    <tableColumn id="2" xr3:uid="{427DA102-D27A-4126-9012-CBF1CB5FDC58}" name="Contrato"/>
    <tableColumn id="8" xr3:uid="{69AF38F9-50D1-486C-8F10-629334AF9AF9}" name="Vehículo"/>
    <tableColumn id="4" xr3:uid="{A7892054-C4F1-4B93-80FB-71AA840BBBDE}" name="Conductor"/>
    <tableColumn id="7" xr3:uid="{01BF7CC5-08EB-4B22-A914-19C0FC304BA9}" name="Personal adicional"/>
    <tableColumn id="3" xr3:uid="{19305888-3391-4D5E-BD3B-3AC2E95365D4}" name="Km reales"/>
    <tableColumn id="5" xr3:uid="{B231A601-DE0D-4104-94CB-CF926D1730A6}" name="Horas"/>
    <tableColumn id="10" xr3:uid="{A8221BF7-85E7-4E31-8A24-A238270A5706}" name="Año" dataDxfId="90">
      <calculatedColumnFormula>YEAR(tblKmReales[[#This Row],[Fecha]])</calculatedColumnFormula>
    </tableColumn>
    <tableColumn id="9" xr3:uid="{D4396072-8CF5-4FD1-B603-20D68A789A01}" name="Mes" dataDxfId="89">
      <calculatedColumnFormula>MONTH(tblKmReales[[#This Row],[Fecha]])</calculatedColumnFormula>
    </tableColumn>
    <tableColumn id="11" xr3:uid="{FFC145DD-BEE1-4F54-A71D-F64C4F09F136}" name="Día" dataDxfId="88">
      <calculatedColumnFormula>DAY(tblKmReales[[#This Row],[Fecha]])</calculatedColumnFormula>
    </tableColumn>
    <tableColumn id="6" xr3:uid="{A18DB0A6-0F71-45CE-8A4E-270B31F7432D}" name="Obs.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F12C6D-620E-4554-A737-B98811165E49}" name="tblServicios" displayName="tblServicios" ref="A1:T138" totalsRowShown="0">
  <autoFilter ref="A1:T138" xr:uid="{00F12C6D-620E-4554-A737-B98811165E49}"/>
  <sortState xmlns:xlrd2="http://schemas.microsoft.com/office/spreadsheetml/2017/richdata2" ref="A2:T138">
    <sortCondition descending="1" ref="A1:A138"/>
  </sortState>
  <tableColumns count="20">
    <tableColumn id="1" xr3:uid="{FC302A06-0055-4895-822F-19A02CD7D23C}" name="ID Servicio"/>
    <tableColumn id="2" xr3:uid="{48BC8331-1CD3-4C8C-9613-9CC70DFB6D4E}" name="Fecha" dataDxfId="87"/>
    <tableColumn id="3" xr3:uid="{4CD9C302-2E22-4E1E-8925-939FEC7C27EC}" name="Cliente"/>
    <tableColumn id="4" xr3:uid="{873165EA-8B55-4AFA-B175-60457BCC47F4}" name="Cliente final"/>
    <tableColumn id="5" xr3:uid="{9FC958DC-37DF-488F-9BF8-B3214AB6EA81}" name="Contrato"/>
    <tableColumn id="6" xr3:uid="{96483577-78A9-4204-9D92-5B2ABF4115C8}" name="Vehículo"/>
    <tableColumn id="7" xr3:uid="{86010B7A-026C-47EA-9D45-124CC08792DC}" name="Conductor"/>
    <tableColumn id="16" xr3:uid="{DB43CED0-6317-49BB-BA60-A23A2E066D7A}" name="Personal adicional"/>
    <tableColumn id="8" xr3:uid="{F358E244-6DEA-431B-B51C-59FCD5C642F8}" name="Origen"/>
    <tableColumn id="9" xr3:uid="{9465B006-67CE-4DF7-9607-7E9BDC3FBD40}" name="Destino"/>
    <tableColumn id="10" xr3:uid="{BF610788-AE93-4695-8C0E-EA823A42BE08}" name="Km servicio"/>
    <tableColumn id="14" xr3:uid="{A441CDA0-6AD5-47D9-93D9-1D50962266BF}" name="Imp. suplemento (€)" dataDxfId="86"/>
    <tableColumn id="15" xr3:uid="{2C32A9D0-B7D0-40B7-A077-D256C437E434}" name="Tipo suplemento"/>
    <tableColumn id="11" xr3:uid="{1F90BB5E-96C1-4086-AF38-FDBCD503D9F3}" name="Base imponible (€)" dataDxfId="85">
      <calculatedColumnFormula>IFERROR(_xlfn.XLOOKUP(tblServicios[[#This Row],[Contrato]],tblTarifasContratos[CONTRATO],tblTarifasContratos[Tarifa base (€)])+IF(tblServicios[[#This Row],[Imp. suplemento (€)]]="",0,tblServicios[[#This Row],[Imp. suplemento (€)]]),"ERROR TARIFA")</calculatedColumnFormula>
    </tableColumn>
    <tableColumn id="12" xr3:uid="{E2293D3F-8CEF-46E6-A382-962A037EE1A7}" name="Estado"/>
    <tableColumn id="18" xr3:uid="{5F7D8483-ADAA-4593-A155-63B5FA36DD7D}" name="Año" dataDxfId="84">
      <calculatedColumnFormula>YEAR(tblServicios[[#This Row],[Fecha]])</calculatedColumnFormula>
    </tableColumn>
    <tableColumn id="19" xr3:uid="{2907936E-88E6-4C09-936C-6BC1F71FA600}" name="Mes" dataDxfId="83">
      <calculatedColumnFormula>MONTH(tblServicios[[#This Row],[Fecha]])</calculatedColumnFormula>
    </tableColumn>
    <tableColumn id="20" xr3:uid="{DA8E36D5-C7EF-4D2E-B10F-C3861FE8211A}" name="Trimestre" dataDxfId="82">
      <calculatedColumnFormula>ROUNDUP(MONTH(tblServicios[[#This Row],[Fecha]])/3,0)</calculatedColumnFormula>
    </tableColumn>
    <tableColumn id="17" xr3:uid="{5AF31DFC-7A49-4040-AAB1-33160A23643C}" name="ID Factura"/>
    <tableColumn id="13" xr3:uid="{2A620876-354C-4A9F-9518-E8C7E1DC9500}" name="Observacione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871377B-20E9-4A3D-B7F4-AFA4D1756C03}" name="Tabla18" displayName="Tabla18" ref="A6:D7" totalsRowShown="0" headerRowDxfId="81" tableBorderDxfId="80">
  <autoFilter ref="A6:D7" xr:uid="{8871377B-20E9-4A3D-B7F4-AFA4D1756C03}"/>
  <tableColumns count="4">
    <tableColumn id="1" xr3:uid="{E5F8E4F4-68FE-442A-AFD6-41B88E79115C}" name="Facturación" dataDxfId="79">
      <calculatedColumnFormula array="1">IF($B$1=0,IF($F$3="Todos",SUMPRODUCT((YEAR(tblServicios[Fecha])=$B$3)*tblServicios[Base imponible (€)]),SUMPRODUCT((YEAR(tblServicios[Fecha])=$B$3)*(tblServicios[Vehículo]=$F$3)*tblServicios[Base imponible (€)])),IF($F$3="Todos",SUMPRODUCT((YEAR(tblServicios[Fecha])=$B$3)*(MONTH(tblServicios[Fecha])=$B$1)*tblServicios[Base imponible (€)]),SUMPRODUCT((YEAR(tblServicios[Fecha])=$B$3)*(MONTH(tblServicios[Fecha])=$B$1)*(tblServicios[Vehículo]=$F$3)*tblServicios[Base imponible (€)])))</calculatedColumnFormula>
    </tableColumn>
    <tableColumn id="2" xr3:uid="{BCB556E3-D01A-4AD1-A62D-88DD59F714EE}" name="Combustible" dataDxfId="78">
      <calculatedColumnFormula>IF($B$1=0,IF($F$3="Todos",SUMIFS(tblRepostajes[Base imponible (€)],tblRepostajes[Año],$B$3),SUMIFS(tblRepostajes[Base imponible (€)],tblRepostajes[Año],$B$3,tblRepostajes[Vehículo],$F$3)),IF($F$3="Todos",SUMIFS(tblRepostajes[Base imponible (€)],tblRepostajes[Año],$B$3,tblRepostajes[Mes],$B$1),SUMIFS(tblRepostajes[Base imponible (€)],tblRepostajes[Año],$B$3,tblRepostajes[Mes],$B$1,tblRepostajes[Vehículo],$F$3)))</calculatedColumnFormula>
    </tableColumn>
    <tableColumn id="4" xr3:uid="{37986E21-51F9-4000-9564-AFD5F305D428}" name="Coste personal" dataDxfId="77">
      <calculatedColumnFormula>IF($B$1=0,IF($F$3="Todos",SUMIFS(tblPersonal[Coste total (€)],tblPersonal[Año],$B$3),SUMIFS(tblPersonal[Coste total (€)],tblPersonal[Año],$B$3,tblPersonal[Vehículo],$F$3)),IF($F$3="Todos",SUMIFS(tblPersonal[Coste total (€)],tblPersonal[Año],$B$3,tblPersonal[Mes],$B$1),SUMIFS(tblPersonal[Coste total (€)],tblPersonal[Año],$B$3,tblPersonal[Mes],$B$1,tblPersonal[Vehículo],$F$3)))</calculatedColumnFormula>
    </tableColumn>
    <tableColumn id="3" xr3:uid="{39A1B922-624A-4606-B34B-0B2FCDA5427D}" name="Margen Bruto" dataDxfId="76">
      <calculatedColumnFormula>A7-B7-Tabla18[[#This Row],[Coste personal]]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2B95388-43C0-490E-AF99-6F67CB4378C2}" name="Tabla811" displayName="Tabla811" ref="A2:H7" totalsRowShown="0" headerRowDxfId="75">
  <autoFilter ref="A2:H7" xr:uid="{42B95388-43C0-490E-AF99-6F67CB4378C2}"/>
  <tableColumns count="8">
    <tableColumn id="1" xr3:uid="{7833A57D-4B86-4E4E-8867-82499A9DABCA}" name="Contrato" dataDxfId="74">
      <calculatedColumnFormula>'90_Modelo'!T7</calculatedColumnFormula>
    </tableColumn>
    <tableColumn id="2" xr3:uid="{83CD1F2D-0BA3-4E1F-8AC7-58DAD0B3F042}" name="Facturacion" dataDxfId="73">
      <calculatedColumnFormula array="1">IF('00Dashboard'!$B$1=0,SUMPRODUCT((tblServicios[Contrato]=A3)*(YEAR(tblServicios[Fecha])='00Dashboard'!$B$3)*tblServicios[Base imponible (€)]),SUMPRODUCT((tblServicios[Contrato]=A3)*(MONTH(tblServicios[Fecha])='00Dashboard'!$B$1)*(YEAR(tblServicios[Fecha])='00Dashboard'!$B$3)*tblServicios[Base imponible (€)]))</calculatedColumnFormula>
    </tableColumn>
    <tableColumn id="3" xr3:uid="{FED5BC78-DA34-4535-BAF3-BBE9BE82CECB}" name="Km servicio" dataDxfId="72">
      <calculatedColumnFormula array="1">IF('00Dashboard'!$B$1=0,SUMPRODUCT((tblServicios[Contrato]=A3)*(YEAR(tblServicios[Fecha])='00Dashboard'!$B$3)*tblServicios[Km servicio]),SUMPRODUCT((tblServicios[Contrato]=A3)*(MONTH(tblServicios[Fecha])='00Dashboard'!$B$1)*(YEAR(tblServicios[Fecha])='00Dashboard'!$B$3)*tblServicios[Km servicio]))</calculatedColumnFormula>
    </tableColumn>
    <tableColumn id="4" xr3:uid="{F32F4E2D-D0F3-4685-B8B8-63117CCDDAE8}" name="€/km" dataDxfId="71">
      <calculatedColumnFormula>Tabla811[[#This Row],[Facturacion]]/Tabla811[[#This Row],[Km servicio]]</calculatedColumnFormula>
    </tableColumn>
    <tableColumn id="5" xr3:uid="{924C59DC-EAAE-4033-B8F5-644CFDFDDD82}" name="Km reales" dataDxfId="70">
      <calculatedColumnFormula>IF('00Dashboard'!$B$1=0,GETPIVOTDATA("Km reales",'90_Modelo'!$U$6,"Contrato",A3,"Años (Fecha)",'00Dashboard'!$B$3),GETPIVOTDATA("Km reales",'90_Modelo'!$U$6,"Contrato",A3,"Meses (Fecha)",'00Dashboard'!$B$1,"Años (Fecha)",'00Dashboard'!$B$3))</calculatedColumnFormula>
    </tableColumn>
    <tableColumn id="6" xr3:uid="{AF3B1E62-6EBC-414C-8A1B-4465D1F08C46}" name="Eficiencia" dataDxfId="69">
      <calculatedColumnFormula>Tabla811[[#This Row],[Km servicio]]/Tabla811[[#This Row],[Km reales]]</calculatedColumnFormula>
    </tableColumn>
    <tableColumn id="7" xr3:uid="{789B49C8-17EA-4E83-ACDA-77566A9149C8}" name="Coste combustible" dataDxfId="68">
      <calculatedColumnFormula>E3*('99_Config'!$B$12/100)*SUMIFS(tblPrecioMedioGas[Precio medio (€/L)],tblPrecioMedioGas[Año],'00Dashboard'!$B$3,tblPrecioMedioGas[Mes],'00Dashboard'!$B$1,tblPrecioMedioGas[Vehículo],'00Dashboard'!$F$3)</calculatedColumnFormula>
    </tableColumn>
    <tableColumn id="8" xr3:uid="{F08984B3-0E48-4593-A16B-966A3E8F9980}" name="Margen operativo (estimado)" dataDxfId="67">
      <calculatedColumnFormula>Tabla811[[#This Row],[Facturacion]]-Tabla811[[#This Row],[Coste combustible]]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5916636-7F0C-459B-A56A-FC74D71B990B}" name="Tabla25" displayName="Tabla25" ref="W2:AG3" totalsRowShown="0">
  <autoFilter ref="W2:AG3" xr:uid="{05916636-7F0C-459B-A56A-FC74D71B99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BA4CBAA1-47A5-40B2-9874-80DD729B142B}" name="Facturación" dataDxfId="66" totalsRowDxfId="65"/>
    <tableColumn id="2" xr3:uid="{C426F2A6-1504-4EB1-8EE9-77B9431C2938}" name="Km vacío"/>
    <tableColumn id="3" xr3:uid="{5C48B3F2-41EE-40A9-8A03-869A6260F3F8}" name="Coste comb. Vacío" dataDxfId="64" totalsRowDxfId="63">
      <calculatedColumnFormula>X3*('99_Config'!$B$12/100)*SUMIFS(tblPrecioMedioGas[Precio medio (€/L)],tblPrecioMedioGas[Año],'00Dashboard'!$B$3,tblPrecioMedioGas[Mes],'00Dashboard'!$B$1,tblPrecioMedioGas[Vehículo],'00Dashboard'!$F$3)</calculatedColumnFormula>
    </tableColumn>
    <tableColumn id="4" xr3:uid="{2E9E57D7-1603-4C4C-8F80-805EAC02BB58}" name="Km servicio" totalsRowDxfId="62"/>
    <tableColumn id="5" xr3:uid="{4C0B8307-16A4-42A3-9DFB-94EB466B77CA}" name="Coste comb. Serv." dataDxfId="61" totalsRowDxfId="60">
      <calculatedColumnFormula>Z3*('99_Config'!$B$12/100)*SUMIFS(tblPrecioMedioGas[Precio medio (€/L)],tblPrecioMedioGas[Año],'00Dashboard'!$B$3,tblPrecioMedioGas[Mes],'00Dashboard'!$B$1,tblPrecioMedioGas[Vehículo],'00Dashboard'!$F$3)</calculatedColumnFormula>
    </tableColumn>
    <tableColumn id="6" xr3:uid="{AFE25588-47D4-47B9-9FD1-7887D6BA44F6}" name="Km totales">
      <calculatedColumnFormula>Tabla25[[#This Row],[Km vacío]]+Tabla25[[#This Row],[Km servicio]]</calculatedColumnFormula>
    </tableColumn>
    <tableColumn id="7" xr3:uid="{AF58DB05-3A79-4117-B3A9-C7A51382F89F}" name="Coste comb. Total" dataDxfId="59" totalsRowDxfId="58">
      <calculatedColumnFormula>AB3*('99_Config'!$B$12/100)*SUMIFS(tblPrecioMedioGas[Precio medio (€/L)],tblPrecioMedioGas[Año],'00Dashboard'!$B$3,tblPrecioMedioGas[Mes],'00Dashboard'!$B$1,tblPrecioMedioGas[Vehículo],'00Dashboard'!$F$3)</calculatedColumnFormula>
    </tableColumn>
    <tableColumn id="8" xr3:uid="{2D3055D6-8A12-4C27-8BAF-D52039AC6680}" name="€/km" dataDxfId="57">
      <calculatedColumnFormula>Tabla25[[#This Row],[Facturación]]/Tabla25[[#This Row],[Km totales]]</calculatedColumnFormula>
    </tableColumn>
    <tableColumn id="11" xr3:uid="{52285053-43A6-4EA7-9741-74561C706767}" name="% km en vacio" dataDxfId="56">
      <calculatedColumnFormula>Tabla25[[#This Row],[Km vacío]]/Tabla25[[#This Row],[Km totales]]</calculatedColumnFormula>
    </tableColumn>
    <tableColumn id="9" xr3:uid="{5A1F5DDE-E310-4B47-A377-3A216F77376D}" name="Coste conductor" dataDxfId="55"/>
    <tableColumn id="10" xr3:uid="{E3769514-16ED-42DA-A212-9F36B0FE4325}" name="Margen para empresa">
      <calculatedColumnFormula>Tabla25[[#This Row],[Facturación]]-Tabla25[[#This Row],[Coste comb. Total]]-Tabla25[[#This Row],[Coste conductor]]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A874703-FB3B-4F30-BDFF-7DE42FC513CE}" name="tblPrecioMedioGas" displayName="tblPrecioMedioGas" ref="W6:Z11" totalsRowShown="0">
  <autoFilter ref="W6:Z11" xr:uid="{9A874703-FB3B-4F30-BDFF-7DE42FC513CE}"/>
  <tableColumns count="4">
    <tableColumn id="1" xr3:uid="{54F228DB-DE66-4850-B458-480DDA47DBD9}" name="Año"/>
    <tableColumn id="2" xr3:uid="{D8972D23-75E7-4BEF-8DC0-5DDFF330EA43}" name="Mes"/>
    <tableColumn id="3" xr3:uid="{F0C335FB-E2D8-488C-953E-5B6E55A28CF9}" name="Vehículo"/>
    <tableColumn id="4" xr3:uid="{984E04A6-6848-4D35-94FD-9D9D6872C938}" name="Precio medio (€/L)" dataDxfId="54">
      <calculatedColumnFormula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2B07352-236C-48E0-B585-B212B71A97E9}" name="tblConsumoMedio" displayName="tblConsumoMedio" ref="AB6:AG10" totalsRowShown="0">
  <autoFilter ref="AB6:AG10" xr:uid="{12B07352-236C-48E0-B585-B212B71A97E9}"/>
  <tableColumns count="6">
    <tableColumn id="1" xr3:uid="{7BFE8DFC-1399-4351-8514-EDF2D88CE75B}" name="Año"/>
    <tableColumn id="2" xr3:uid="{D162D9B4-9E14-430B-A65B-FC8245945327}" name="Mes"/>
    <tableColumn id="3" xr3:uid="{660F21DD-4BC0-4CAB-BC04-D83EDD539794}" name="Vehículo"/>
    <tableColumn id="4" xr3:uid="{60FB5942-5B5B-4637-920E-0F8EB3C41D4E}" name="Litros repostados">
      <calculatedColumnFormula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calculatedColumnFormula>
    </tableColumn>
    <tableColumn id="5" xr3:uid="{D0683D08-AA69-4AA4-8A23-8A6A5C022ACD}" name="Km recorridos">
      <calculatedColumnFormula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calculatedColumnFormula>
    </tableColumn>
    <tableColumn id="6" xr3:uid="{493E1FB2-B921-4DC1-84D0-871BEF0A5501}" name="Consumo medio (L/100km)" dataDxfId="53">
      <calculatedColumnFormula>IFERROR((tblConsumoMedio[[#This Row],[Litros repostados]]/tblConsumoMedio[[#This Row],[Km recorridos]])*100,"")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9D43604-2A89-4045-BAFC-0AA0D5538CF2}" name="tblUtilizacionVehiculo" displayName="tblUtilizacionVehiculo" ref="AP6:AX7" totalsRowShown="0" headerRowDxfId="52" dataDxfId="51">
  <autoFilter ref="AP6:AX7" xr:uid="{49D43604-2A89-4045-BAFC-0AA0D5538CF2}"/>
  <tableColumns count="9">
    <tableColumn id="1" xr3:uid="{E3E4C434-9898-40E8-99B7-31C8B624481B}" name="Año" dataDxfId="50">
      <calculatedColumnFormula>'00Dashboard'!$B$3</calculatedColumnFormula>
    </tableColumn>
    <tableColumn id="2" xr3:uid="{037971CF-358B-44E7-857E-133A587C2B57}" name="Mes" dataDxfId="49">
      <calculatedColumnFormula>'00Dashboard'!$B$1</calculatedColumnFormula>
    </tableColumn>
    <tableColumn id="3" xr3:uid="{4B3E585D-8093-4E02-9C14-F6D5D4F590E8}" name="Vehículo" dataDxfId="48">
      <calculatedColumnFormula>'00Dashboard'!$F$3</calculatedColumnFormula>
    </tableColumn>
    <tableColumn id="4" xr3:uid="{DE6646C3-28EC-478D-9203-BB76765DDC30}" name="Km reales" dataDxfId="47">
      <calculatedColumnFormula>IF(tblUtilizacionVehiculo[[#This Row],[Mes]]=0,SUMIFS(tblKmReales[Km reales],tblKmReales[Año],tblUtilizacionVehiculo[[#This Row],[Año]],tblKmReales[Vehículo],tblUtilizacionVehiculo[[#This Row],[Vehículo]]),SUMIFS(tblKmReales[Km reales],tblKmReales[Año],tblUtilizacionVehiculo[[#This Row],[Año]],tblKmReales[Mes],tblUtilizacionVehiculo[[#This Row],[Mes]],tblKmReales[Vehículo],tblUtilizacionVehiculo[[#This Row],[Vehículo]]))</calculatedColumnFormula>
    </tableColumn>
    <tableColumn id="5" xr3:uid="{95F26A8F-422E-480E-89A5-5C3DF6A0212A}" name="Km servicio" dataDxfId="46">
      <calculatedColumnFormula>IF(tblUtilizacionVehiculo[[#This Row],[Mes]]=0,SUMIFS(tblServicios[Km servicio],tblServicios[Año],tblUtilizacionVehiculo[[#This Row],[Año]],tblServicios[Vehículo],tblUtilizacionVehiculo[[#This Row],[Vehículo]]),SUMIFS(tblServicios[Km servicio],tblServicios[Año],tblUtilizacionVehiculo[[#This Row],[Año]],tblServicios[Mes],tblUtilizacionVehiculo[[#This Row],[Mes]],tblServicios[Vehículo],tblUtilizacionVehiculo[[#This Row],[Vehículo]]))</calculatedColumnFormula>
    </tableColumn>
    <tableColumn id="6" xr3:uid="{DBC45318-A885-44DE-A351-94F23A5E866B}" name="Km vacío" dataDxfId="45">
      <calculatedColumnFormula>tblUtilizacionVehiculo[[#This Row],[Km reales]]-tblUtilizacionVehiculo[[#This Row],[Km servicio]]</calculatedColumnFormula>
    </tableColumn>
    <tableColumn id="7" xr3:uid="{2EE4461E-25A2-474F-86B1-56E4A8D66522}" name="% Km vacío" dataDxfId="44">
      <calculatedColumnFormula>IF(tblUtilizacionVehiculo[[#This Row],[Km reales]]=0,0,tblUtilizacionVehiculo[[#This Row],[Km vacío]]/tblUtilizacionVehiculo[[#This Row],[Km reales]])</calculatedColumnFormula>
    </tableColumn>
    <tableColumn id="9" xr3:uid="{3BB95E26-2FEE-47F4-804D-CD659A9FCAD4}" name="% Km facturados" dataDxfId="43">
      <calculatedColumnFormula>tblUtilizacionVehiculo[[#This Row],[Km servicio]]/tblUtilizacionVehiculo[[#This Row],[Km reales]]</calculatedColumnFormula>
    </tableColumn>
    <tableColumn id="8" xr3:uid="{AA481D9D-39A9-4898-9739-06991311544F}" name="Coste comb. Vacío" dataDxfId="42">
      <calculatedColumnFormula array="1">IFERROR(tblUtilizacionVehiculo[[#This Row],[Km vacío]]*(_xlfn.XLOOKUP(1,(tblConsumoMedio[Año]=tblUtilizacionVehiculo[[#This Row],[Año]])*(tblConsumoMedio[Mes]=tblUtilizacionVehiculo[[#This Row],[Mes]])*(tblConsumoMedio[Vehículo]=tblUtilizacionVehiculo[[#This Row],[Vehículo]]),tblConsumoMedio[Consumo medio (L/100km)])/100)*_xlfn.XLOOKUP(1,(tblPrecioMedioGas[Año]=tblUtilizacionVehiculo[[#This Row],[Año]])*(tblPrecioMedioGas[Mes]=tblUtilizacionVehiculo[[#This Row],[Mes]])*(tblPrecioMedioGas[Vehículo]=tblUtilizacionVehiculo[[#This Row],[Vehículo]]),tblPrecioMedioGas[Precio medio (€/L)]),0)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380B3-16F2-4497-A139-F90EEBE7F197}" name="tblRepostajes" displayName="tblRepostajes" ref="A1:U47" totalsRowShown="0">
  <autoFilter ref="A1:U47" xr:uid="{36B380B3-16F2-4497-A139-F90EEBE7F197}"/>
  <sortState xmlns:xlrd2="http://schemas.microsoft.com/office/spreadsheetml/2017/richdata2" ref="A2:U47">
    <sortCondition descending="1" ref="A1:A47"/>
  </sortState>
  <tableColumns count="21">
    <tableColumn id="1" xr3:uid="{37580102-4314-4E29-B6F6-253506D592FC}" name="ID Repostaje"/>
    <tableColumn id="2" xr3:uid="{A83BDE8A-C96C-41BA-9173-0905296EA847}" name="Fecha"/>
    <tableColumn id="3" xr3:uid="{64313ECD-91E8-4B16-A589-6A15A8A2DDAD}" name="Vehículo"/>
    <tableColumn id="4" xr3:uid="{4368AF2F-4445-4680-88E2-5EF075D65566}" name="Conductor"/>
    <tableColumn id="5" xr3:uid="{A9ED7EDD-164D-4001-8A9B-2D4129D880E2}" name="Gasolinera"/>
    <tableColumn id="6" xr3:uid="{8D0A151B-DB05-4B56-8646-44317177F529}" name="Tipo de combustible"/>
    <tableColumn id="7" xr3:uid="{BBD2CF84-B662-4D10-B4E9-834C21578A01}" name="Litros repostados"/>
    <tableColumn id="8" xr3:uid="{7E8262B6-104F-44E7-8698-D81B0D3E8134}" name="Precio/Litro(€)" dataDxfId="41">
      <calculatedColumnFormula>tblRepostajes[[#This Row],[Importe total (€)]]/tblRepostajes[[#This Row],[Litros repostados]]</calculatedColumnFormula>
    </tableColumn>
    <tableColumn id="13" xr3:uid="{DF7E732F-797B-4914-B95A-E2912751FC32}" name="Base imponible (€)" dataDxfId="40"/>
    <tableColumn id="14" xr3:uid="{12ABC0EB-2017-46D7-A26F-18D86A0C24A4}" name="% IVA" dataDxfId="39"/>
    <tableColumn id="15" xr3:uid="{A4CED1DD-FA35-4497-9499-E992DA44B641}" name="IVA (€)" dataDxfId="38">
      <calculatedColumnFormula>tblRepostajes[[#This Row],[Base imponible (€)]]*tblRepostajes[[#This Row],[% IVA]]</calculatedColumnFormula>
    </tableColumn>
    <tableColumn id="9" xr3:uid="{C04DAB4B-F903-4418-B92A-876D5746E675}" name="Importe total (€)" dataDxfId="37"/>
    <tableColumn id="10" xr3:uid="{C51CBCF9-77A9-4859-A06D-E1935060717B}" name="Km Odómetro"/>
    <tableColumn id="11" xr3:uid="{2C7C58E7-F710-452E-B48C-24A1F728CBCB}" name="Método pago"/>
    <tableColumn id="16" xr3:uid="{5FF592AA-4555-4F78-AA54-1F80299BDDA2}" name="Año" dataDxfId="36">
      <calculatedColumnFormula>YEAR(tblRepostajes[[#This Row],[Fecha]])</calculatedColumnFormula>
    </tableColumn>
    <tableColumn id="17" xr3:uid="{25588CA5-05EC-43F5-AFFD-AC7651EA6AC2}" name="Mes" dataDxfId="35">
      <calculatedColumnFormula>MONTH(tblRepostajes[[#This Row],[Fecha]])</calculatedColumnFormula>
    </tableColumn>
    <tableColumn id="18" xr3:uid="{C916FE34-2BD6-4C5A-8C0B-C38217DAD174}" name="Trimestre" dataDxfId="34">
      <calculatedColumnFormula>ROUNDUP(MONTH(tblRepostajes[[#This Row],[Fecha]])/3,0)</calculatedColumnFormula>
    </tableColumn>
    <tableColumn id="21" xr3:uid="{E88E852F-6B51-4E5F-9B02-835916C63DC0}" name="índice" dataDxfId="33">
      <calculatedColumnFormula>VALUE(RIGHT(tblRepostajes[[#This Row],[ID Repostaje]],6))</calculatedColumnFormula>
    </tableColumn>
    <tableColumn id="20" xr3:uid="{4AF13861-17A8-47A9-8B71-4DB5ED440112}" name="Km desde ult. Repostaje" dataDxfId="32">
      <calculatedColumnFormula array="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calculatedColumnFormula>
    </tableColumn>
    <tableColumn id="19" xr3:uid="{8B0F90D2-E6AD-41C5-A325-4B46EF264625}" name="Consumo (L/100 km)" dataDxfId="31">
      <calculatedColumnFormula>IF(OR(tblRepostajes[[#This Row],[Km desde ult. Repostaje]]="",tblRepostajes[[#This Row],[Km desde ult. Repostaje]]=0),"",(tblRepostajes[[#This Row],[Litros repostados]]/tblRepostajes[[#This Row],[Km desde ult. Repostaje]])*100)</calculatedColumnFormula>
    </tableColumn>
    <tableColumn id="12" xr3:uid="{9B2BADEC-7ED2-4E71-ACD1-0AC6A7D20748}" name="Observaciones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314A9E-032A-4AE1-B0EC-69F4C393C032}" name="tblFacturasRecibidas" displayName="tblFacturasRecibidas" ref="A1:Q91" totalsRowShown="0">
  <autoFilter ref="A1:Q91" xr:uid="{6F314A9E-032A-4AE1-B0EC-69F4C393C032}"/>
  <sortState xmlns:xlrd2="http://schemas.microsoft.com/office/spreadsheetml/2017/richdata2" ref="A2:Q91">
    <sortCondition descending="1" ref="A1:A91"/>
  </sortState>
  <tableColumns count="17">
    <tableColumn id="1" xr3:uid="{2320C965-17F9-4B11-BA98-EB19C59DE319}" name="ID Factura"/>
    <tableColumn id="2" xr3:uid="{D3B0BFED-6788-4521-91CF-8C1720A26DDA}" name="Fecha factura" dataDxfId="30"/>
    <tableColumn id="3" xr3:uid="{6CC8B8DC-AB29-48BB-BB99-2A9CE845FC84}" name="Proveedor"/>
    <tableColumn id="16" xr3:uid="{7FE6FDA3-00A0-4017-9D6B-9FC65B86D6DD}" name="Concepto"/>
    <tableColumn id="4" xr3:uid="{4D9DB102-C757-496D-87B6-3B4F21746F0A}" name="Categoría"/>
    <tableColumn id="17" xr3:uid="{E7749ED0-DCFA-43A7-B34C-495EB04A5499}" name="Tipo" dataDxfId="29">
      <calculatedColumnFormula>IF(OR(E2="EPIs",E2="Tasas (puesta en marcha)",E2="Acondicionamiento vehículo",E2="Equipamiento vehículo",E2="Maquinaria",E2="Inversión en vehículos"),"Inversión","Operación")</calculatedColumnFormula>
    </tableColumn>
    <tableColumn id="15" xr3:uid="{219BBC6B-E780-4300-AB5A-8AD11D16DBD8}" name="Vehículo"/>
    <tableColumn id="5" xr3:uid="{99D3AB88-102F-4648-99EA-C08703A4CB95}" name="Forma de pago" dataDxfId="28"/>
    <tableColumn id="12" xr3:uid="{CCFE79FD-2A38-4E1D-AE17-A52D673E14E2}" name="Pagada" dataDxfId="27"/>
    <tableColumn id="13" xr3:uid="{630DDCFC-F4DA-4956-B9F0-41FFD1416795}" name="Base imponible (€)" dataDxfId="26"/>
    <tableColumn id="6" xr3:uid="{9AEFA227-1A36-47F2-9B89-D536CDFD0070}" name="% IVA" dataDxfId="25">
      <calculatedColumnFormula>IF(tblFacturasRecibidas[[#This Row],[Categoría]]="Combustible",10%,21%)</calculatedColumnFormula>
    </tableColumn>
    <tableColumn id="7" xr3:uid="{3BEE16A5-4CCB-4DA1-9AB6-CBA7D020E111}" name="IVA (€)" dataDxfId="24">
      <calculatedColumnFormula>IFERROR(tblFacturasRecibidas[[#This Row],[Base imponible (€)]]*tblFacturasRecibidas[[#This Row],[% IVA]],0)</calculatedColumnFormula>
    </tableColumn>
    <tableColumn id="8" xr3:uid="{FFD0E0AE-F5B8-4FBF-A6EA-DC8077A89DD4}" name="Total (€)" dataDxfId="23">
      <calculatedColumnFormula>tblFacturasRecibidas[[#This Row],[Base imponible (€)]]+tblFacturasRecibidas[[#This Row],[IVA (€)]]</calculatedColumnFormula>
    </tableColumn>
    <tableColumn id="9" xr3:uid="{F40786D1-4FCF-44B5-8D38-4A47F20913EC}" name="Año" dataDxfId="22">
      <calculatedColumnFormula>YEAR(tblFacturasRecibidas[[#This Row],[Fecha factura]])</calculatedColumnFormula>
    </tableColumn>
    <tableColumn id="11" xr3:uid="{9A174EC3-C471-45A3-A3A8-4CDF60B53F19}" name="Mes" dataDxfId="21">
      <calculatedColumnFormula>MONTH(tblFacturasRecibidas[[#This Row],[Fecha factura]])</calculatedColumnFormula>
    </tableColumn>
    <tableColumn id="14" xr3:uid="{AC87F51E-1AA7-4958-8FA7-47C20E05BF76}" name="Trimestre" dataDxfId="20">
      <calculatedColumnFormula>ROUNDUP(MONTH(tblFacturasRecibidas[[#This Row],[Fecha factura]])/3,0)</calculatedColumnFormula>
    </tableColumn>
    <tableColumn id="10" xr3:uid="{B083057A-34D2-4995-8ADB-D7C8390BF6D3}" name="Observaciones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1958560-2DE1-4924-B01A-76619F2717CF}" name="tblPersonal" displayName="tblPersonal" ref="A1:M15" totalsRowShown="0">
  <autoFilter ref="A1:M15" xr:uid="{81958560-2DE1-4924-B01A-76619F2717CF}"/>
  <tableColumns count="13">
    <tableColumn id="1" xr3:uid="{7D868F9D-8623-4F67-8EC3-9CC5267DF8EC}" name="Año"/>
    <tableColumn id="2" xr3:uid="{40417917-658D-4F6C-93C8-1712DA4EF0F4}" name="Mes"/>
    <tableColumn id="3" xr3:uid="{B199AEF7-0A75-48FD-812C-277042141911}" name="Empleado"/>
    <tableColumn id="4" xr3:uid="{4E03FBC3-F4BB-4532-B2C5-DD8E5502D51A}" name="Vehículo"/>
    <tableColumn id="5" xr3:uid="{4F05B519-7B43-4EC1-92AD-3F67E5846703}" name="Coste real (€)" dataDxfId="19"/>
    <tableColumn id="6" xr3:uid="{6A9B0A20-1C50-49FA-A84D-7C93670E3C33}" name="Horas extra (€)"/>
    <tableColumn id="7" xr3:uid="{7783F31F-59D4-40E0-B9AD-B1205DA42D98}" name="Dietas (€)"/>
    <tableColumn id="8" xr3:uid="{6988B987-ED36-4460-970F-FE46CFFF2527}" name="Otros (€)"/>
    <tableColumn id="9" xr3:uid="{6F937364-A31A-492D-9933-A06DBCAC15A1}" name="Coste total (€)" dataDxfId="18">
      <calculatedColumnFormula>tblPersonal[[#This Row],[Coste real (€)]]+tblPersonal[[#This Row],[Horas extra (€)]]+tblPersonal[[#This Row],[Dietas (€)]]+tblPersonal[[#This Row],[Otros (€)]]</calculatedColumnFormula>
    </tableColumn>
    <tableColumn id="11" xr3:uid="{13199A37-2B67-442C-9F2F-984F165836DD}" name="Coste fijo diario (€)" dataDxfId="17">
      <calculatedColumnFormula>IFERROR(tblPersonal[[#This Row],[Coste total (€)]]/DAY(EOMONTH(DATE(tblPersonal[[#This Row],[Año]],tblPersonal[[#This Row],[Mes]],1),0)),0)</calculatedColumnFormula>
    </tableColumn>
    <tableColumn id="15" xr3:uid="{8FB809C0-4636-4025-971B-5079ACD0C913}" name="Tributa" dataDxfId="16"/>
    <tableColumn id="12" xr3:uid="{E7A4E12E-5B41-4D16-9827-EF09554B863B}" name="Trimestre" dataDxfId="15">
      <calculatedColumnFormula>ROUNDUP(tblPersonal[[#This Row],[Mes]]/3,0)</calculatedColumnFormula>
    </tableColumn>
    <tableColumn id="10" xr3:uid="{030D25EE-D930-44AB-B506-C2025188A76B}" name="Observacion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85C8AEE-10C1-4030-98C7-7C28B5DC983E}" name="tblFacturasEmitidas" displayName="tblFacturasEmitidas" ref="A1:O4" totalsRowShown="0">
  <autoFilter ref="A1:O4" xr:uid="{D85C8AEE-10C1-4030-98C7-7C28B5DC983E}"/>
  <tableColumns count="15">
    <tableColumn id="1" xr3:uid="{372DC703-2D13-40D7-9C93-F57EBABC3117}" name="ID Factura"/>
    <tableColumn id="2" xr3:uid="{0AE32C8C-AF97-43A9-9754-51AA9E118737}" name="Nº Factura"/>
    <tableColumn id="3" xr3:uid="{28A333DD-74CC-40FF-B535-4F31A6A36CC7}" name="Fecha emisión" dataDxfId="14"/>
    <tableColumn id="4" xr3:uid="{317BB87F-9AC0-4B14-8826-806385B78D51}" name="Cliente"/>
    <tableColumn id="5" xr3:uid="{A84C21E3-B4C4-4B99-9C13-63D596A92ED9}" name="Base imponible (€)" dataDxfId="13"/>
    <tableColumn id="6" xr3:uid="{0148797D-3D03-4AAC-86E1-AEE9CB2B4CD3}" name="% IVA" dataDxfId="12"/>
    <tableColumn id="7" xr3:uid="{63F993A3-CEE9-4F1C-88A8-064847D21E60}" name="IVA (€)" dataDxfId="11">
      <calculatedColumnFormula>tblFacturasEmitidas[[#This Row],[Base imponible (€)]]*tblFacturasEmitidas[[#This Row],[% IVA]]</calculatedColumnFormula>
    </tableColumn>
    <tableColumn id="8" xr3:uid="{2E920D7C-C3D9-4D41-9F37-8D9F5B2BDB22}" name="Total (€)" dataCellStyle="Moneda">
      <calculatedColumnFormula>tblFacturasEmitidas[[#This Row],[Base imponible (€)]]+tblFacturasEmitidas[[#This Row],[IVA (€)]]</calculatedColumnFormula>
    </tableColumn>
    <tableColumn id="9" xr3:uid="{D2D8DB4B-1C68-4432-9F5C-296B0FBADC0E}" name="Estado"/>
    <tableColumn id="10" xr3:uid="{63602810-2C87-4B0E-A332-BB4648557E2F}" name="Fecha cobro"/>
    <tableColumn id="11" xr3:uid="{F3C9AA6B-6207-4F68-8F21-F4EB58F40784}" name="Forma de cobro"/>
    <tableColumn id="20" xr3:uid="{0C3FE1E6-BCC1-4644-960F-4DB16031151C}" name="Año">
      <calculatedColumnFormula>YEAR(tblFacturasEmitidas[[#This Row],[Fecha emisión]])</calculatedColumnFormula>
    </tableColumn>
    <tableColumn id="13" xr3:uid="{48C21F8C-3AF0-4D7C-8486-F1013D669D65}" name="Mes">
      <calculatedColumnFormula>MONTH(tblFacturasEmitidas[[#This Row],[Fecha emisión]])</calculatedColumnFormula>
    </tableColumn>
    <tableColumn id="14" xr3:uid="{38F5AB0D-A65C-4D36-AD4B-AE319B21B5DB}" name="Trimestre">
      <calculatedColumnFormula>ROUNDUP(MONTH(tblFacturasEmitidas[[#This Row],[Fecha emisión]])/3,0)</calculatedColumnFormula>
    </tableColumn>
    <tableColumn id="15" xr3:uid="{6C996080-3A92-4D19-A4E2-56A6A57FD2EF}" name="Observaciones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748FD6B-CFDF-4DC6-AF51-53962255815F}" name="tblMantenimientos" displayName="tblMantenimientos" ref="A1:H6" totalsRowShown="0">
  <autoFilter ref="A1:H6" xr:uid="{5748FD6B-CFDF-4DC6-AF51-53962255815F}"/>
  <tableColumns count="8">
    <tableColumn id="1" xr3:uid="{A76CC8AA-6DC8-4AFB-8DCF-07DD52131B87}" name="ID Mantenimiento"/>
    <tableColumn id="2" xr3:uid="{6C05377E-4751-43DA-8974-4E7EA7333812}" name="Vehículo"/>
    <tableColumn id="3" xr3:uid="{98ADBBAF-5AD8-4C09-B12C-7E5D255B5904}" name="Tipo"/>
    <tableColumn id="4" xr3:uid="{C0CD33A0-C13F-461C-B3C7-53392CBE6591}" name="Fecha realización" dataDxfId="10"/>
    <tableColumn id="5" xr3:uid="{64DFF547-8973-4514-A81D-C82D94332C91}" name="Km realizacion"/>
    <tableColumn id="6" xr3:uid="{3410D045-6291-436E-B041-B23952FE4CBB}" name="Próximo km">
      <calculatedColumnFormula>IF(tblMantenimientos[[#This Row],[Tipo]]="Cambio de aceite",tblMantenimientos[[#This Row],[Km realizacion]]+'99_Config'!$B$6,"")</calculatedColumnFormula>
    </tableColumn>
    <tableColumn id="7" xr3:uid="{70C1706B-CA9F-4A88-8D3D-E8A6D5832996}" name="Próxima fecha" dataDxfId="9">
      <calculatedColumnFormula>IF(tblMantenimientos[[#This Row],[Tipo]]="ITV",EDATE(tblMantenimientos[[#This Row],[Fecha realización]],6),"")</calculatedColumnFormula>
    </tableColumn>
    <tableColumn id="8" xr3:uid="{47D6D08D-D7B2-4928-870F-FCD674809872}" name="Observaciones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E99013-1A2F-40C0-B757-1A5E9F62C5AE}" name="tblAnios" displayName="tblAnios" ref="Q1:Q6" totalsRowShown="0">
  <autoFilter ref="Q1:Q6" xr:uid="{A4E99013-1A2F-40C0-B757-1A5E9F62C5AE}"/>
  <tableColumns count="1">
    <tableColumn id="1" xr3:uid="{2B99DB40-3002-4F84-A474-C27B0E8CB25F}" name="AÑOS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94799A-5010-4C37-AD01-5E6A98BC038F}" name="tblMeses" displayName="tblMeses" ref="R1:S14" totalsRowShown="0">
  <autoFilter ref="R1:S14" xr:uid="{4994799A-5010-4C37-AD01-5E6A98BC038F}"/>
  <tableColumns count="2">
    <tableColumn id="1" xr3:uid="{6A95B244-5C26-4C05-B652-7EC21A1AEBF9}" name="MESES"/>
    <tableColumn id="2" xr3:uid="{BF811B01-84A6-4E1C-B11C-DA0F9115D0CF}" name="Nº Mes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71E556-72A4-4773-A7D1-DD33E929F4BD}" name="tblCategorias" displayName="tblCategorias" ref="K1:L24" totalsRowShown="0">
  <autoFilter ref="K1:L24" xr:uid="{A271E556-72A4-4773-A7D1-DD33E929F4BD}"/>
  <tableColumns count="2">
    <tableColumn id="1" xr3:uid="{71436CAE-BA38-4D42-BF0B-64D53519F28F}" name="CATEGORIAS GASTOS"/>
    <tableColumn id="2" xr3:uid="{687A1A9C-5C1B-4829-A9FF-D4367F9D3A91}" name="Tipo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64C6BC0-BA01-4F9E-B587-EFAD3F332AD7}" name="Tabla7" displayName="Tabla7" ref="F1:F10" totalsRowShown="0">
  <autoFilter ref="F1:F10" xr:uid="{564C6BC0-BA01-4F9E-B587-EFAD3F332AD7}"/>
  <tableColumns count="1">
    <tableColumn id="1" xr3:uid="{EAB7018E-1F17-40C6-BC7C-66B95D6928B9}" name="CLIENTES FINALES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3E58D5-F073-4624-B447-BB95BB5BDDC1}" name="tblMetodosPago" displayName="tblMetodosPago" ref="I1:I4" totalsRowShown="0">
  <autoFilter ref="I1:I4" xr:uid="{973E58D5-F073-4624-B447-BB95BB5BDDC1}"/>
  <tableColumns count="1">
    <tableColumn id="1" xr3:uid="{EBD45AD9-A33B-43C9-BA2E-7F3919B06905}" name="MÉTODO DE PAGO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5A09D0-F4A6-49AB-AB6B-B40C7F0E1CFB}" name="tblProveedores" displayName="tblProveedores" ref="J1:J32" totalsRowShown="0">
  <autoFilter ref="J1:J32" xr:uid="{365A09D0-F4A6-49AB-AB6B-B40C7F0E1CFB}"/>
  <tableColumns count="1">
    <tableColumn id="1" xr3:uid="{F4BEB4FD-32EE-4DED-AE5F-012F89AC2E77}" name="PROVEEDORES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6A6E3CC-2A90-498B-899C-20F642DAE1D8}" name="tblFormaPago" displayName="tblFormaPago" ref="O1:O5" totalsRowShown="0">
  <autoFilter ref="O1:O5" xr:uid="{26A6E3CC-2A90-498B-899C-20F642DAE1D8}"/>
  <tableColumns count="1">
    <tableColumn id="1" xr3:uid="{4DAEE694-E31E-42BE-80A7-5394E93ACE30}" name="FORMA DE PAGO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BB32CA-2B92-407C-9AF3-BE6E668518C9}" name="tblContrato" displayName="tblContrato" ref="B1:B9" totalsRowShown="0">
  <autoFilter ref="B1:B9" xr:uid="{B0BB32CA-2B92-407C-9AF3-BE6E668518C9}"/>
  <tableColumns count="1">
    <tableColumn id="1" xr3:uid="{7DFEA70D-C97C-4137-8E67-6B0FA993FBCA}" name="CONTRATO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5C58D35-269D-4948-8D71-3BC8E168997B}" name="tblConductores" displayName="tblConductores" ref="D1:D5" totalsRowShown="0">
  <autoFilter ref="D1:D5" xr:uid="{65C58D35-269D-4948-8D71-3BC8E168997B}"/>
  <tableColumns count="1">
    <tableColumn id="1" xr3:uid="{FF92D51B-00BD-4A89-A44A-B1C93BEF98A9}" name="CONDUCTOR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80CC41C-FEA1-4695-AC15-A57BC21281A1}" name="tblTipoSuplemento" displayName="tblTipoSuplemento" ref="T1:T8" totalsRowShown="0">
  <autoFilter ref="T1:T8" xr:uid="{180CC41C-FEA1-4695-AC15-A57BC21281A1}"/>
  <tableColumns count="1">
    <tableColumn id="1" xr3:uid="{8BE4FDF3-9937-4272-AA22-B420435BD3AF}" name="TIPO SUP.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7FD38E-3FBF-4A04-AEB1-CB0B7784C17F}" name="tblTarifasContratos" displayName="tblTarifasContratos" ref="U1:V6" totalsRowShown="0">
  <autoFilter ref="U1:V6" xr:uid="{0A7FD38E-3FBF-4A04-AEB1-CB0B7784C17F}"/>
  <tableColumns count="2">
    <tableColumn id="1" xr3:uid="{8714D320-3039-4B81-89B9-4228825E624E}" name="CONTRATO"/>
    <tableColumn id="2" xr3:uid="{448C644F-D5A2-4C2A-8E2A-C9F298FEEAAC}" name="Tarifa base (€)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4DA076-7D21-4D43-8E54-3DD5168073EE}" name="tblVehiculos" displayName="tblVehiculos" ref="C1:C6" totalsRowShown="0">
  <autoFilter ref="C1:C6" xr:uid="{EA4DA076-7D21-4D43-8E54-3DD5168073EE}"/>
  <tableColumns count="1">
    <tableColumn id="1" xr3:uid="{C3E02407-741A-409B-B45C-897312BB1E29}" name="VEHICULO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637032A-B58B-473C-ACC5-48815AC2A781}" name="tblClientes" displayName="tblClientes" ref="E1:E2" totalsRowShown="0">
  <autoFilter ref="E1:E2" xr:uid="{3637032A-B58B-473C-ACC5-48815AC2A781}"/>
  <tableColumns count="1">
    <tableColumn id="1" xr3:uid="{C0825A8C-9947-4C07-919E-F8429B042556}" name="CLIENTE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E0E41EC-6BA1-4148-8D90-DD729444782C}" name="tblEstadoFactEmitida" displayName="tblEstadoFactEmitida" ref="W1:W4" totalsRowShown="0">
  <autoFilter ref="W1:W4" xr:uid="{EE0E41EC-6BA1-4148-8D90-DD729444782C}"/>
  <tableColumns count="1">
    <tableColumn id="1" xr3:uid="{BE5589E9-A924-43ED-BBFD-0BBD5A8DE7C8}" name="ESTADO FACT. EMITIDA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4F72C08-38E9-4F4C-914C-5A509B967511}" name="tblTrimestres" displayName="tblTrimestres" ref="P1:P6" totalsRowShown="0">
  <autoFilter ref="P1:P6" xr:uid="{C4F72C08-38E9-4F4C-914C-5A509B967511}"/>
  <tableColumns count="1">
    <tableColumn id="1" xr3:uid="{0B8BEB96-17DF-46EF-B110-7A12085A5BB9}" name="TRIMESTRES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62F2E97-C573-4CC8-A0CF-D48CAD27EACA}" name="tblTiposMantenimiento" displayName="tblTiposMantenimiento" ref="X1:X7" totalsRowShown="0">
  <autoFilter ref="X1:X7" xr:uid="{E62F2E97-C573-4CC8-A0CF-D48CAD27EACA}"/>
  <tableColumns count="1">
    <tableColumn id="1" xr3:uid="{87B22247-4FBB-4B70-BE6E-0DA371DA1E0C}" name="TIPOS MANTENIMIENTO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AE71B65-5FA3-4F0E-83CC-130CB6559AE5}" name="tblGasolineras" displayName="tblGasolineras" ref="G1:G9" totalsRowShown="0">
  <autoFilter ref="G1:G9" xr:uid="{0AE71B65-5FA3-4F0E-83CC-130CB6559AE5}"/>
  <tableColumns count="1">
    <tableColumn id="1" xr3:uid="{AF295963-58F9-407F-BA78-F26C00001FB2}" name="GASOLINERAS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44B13A-C378-429B-A157-1977F49178B8}" name="Tabla12" displayName="Tabla12" ref="A11:B13" totalsRowShown="0">
  <autoFilter ref="A11:B13" xr:uid="{8144B13A-C378-429B-A157-1977F49178B8}"/>
  <tableColumns count="2">
    <tableColumn id="1" xr3:uid="{4D65B234-2FF2-478D-BFC0-53A35C7F96B3}" name="Parámetro (Tasa pred.)"/>
    <tableColumn id="2" xr3:uid="{D2FCD66D-79EE-4656-BC9C-54010676982A}" name="Valo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13" Type="http://schemas.openxmlformats.org/officeDocument/2006/relationships/table" Target="../tables/table26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12" Type="http://schemas.openxmlformats.org/officeDocument/2006/relationships/table" Target="../tables/table25.xml"/><Relationship Id="rId17" Type="http://schemas.openxmlformats.org/officeDocument/2006/relationships/table" Target="../tables/table30.xml"/><Relationship Id="rId2" Type="http://schemas.openxmlformats.org/officeDocument/2006/relationships/table" Target="../tables/table15.xml"/><Relationship Id="rId16" Type="http://schemas.openxmlformats.org/officeDocument/2006/relationships/table" Target="../tables/table29.xml"/><Relationship Id="rId1" Type="http://schemas.openxmlformats.org/officeDocument/2006/relationships/table" Target="../tables/table14.xml"/><Relationship Id="rId6" Type="http://schemas.openxmlformats.org/officeDocument/2006/relationships/table" Target="../tables/table19.xml"/><Relationship Id="rId11" Type="http://schemas.openxmlformats.org/officeDocument/2006/relationships/table" Target="../tables/table24.xml"/><Relationship Id="rId5" Type="http://schemas.openxmlformats.org/officeDocument/2006/relationships/table" Target="../tables/table18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table" Target="../tables/table17.xml"/><Relationship Id="rId9" Type="http://schemas.openxmlformats.org/officeDocument/2006/relationships/table" Target="../tables/table22.xml"/><Relationship Id="rId14" Type="http://schemas.openxmlformats.org/officeDocument/2006/relationships/table" Target="../tables/table2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007B-53DD-4BD0-8948-CA314EAED69B}">
  <sheetPr codeName="Hoja6"/>
  <dimension ref="A1:K150"/>
  <sheetViews>
    <sheetView zoomScale="102" workbookViewId="0">
      <selection activeCell="E12" sqref="E12"/>
    </sheetView>
  </sheetViews>
  <sheetFormatPr baseColWidth="10" defaultColWidth="8.7265625" defaultRowHeight="14.5" x14ac:dyDescent="0.35"/>
  <cols>
    <col min="1" max="1" width="11.1796875" bestFit="1" customWidth="1"/>
    <col min="2" max="2" width="28" bestFit="1" customWidth="1"/>
    <col min="3" max="3" width="21.1796875" bestFit="1" customWidth="1"/>
    <col min="4" max="5" width="26.453125" bestFit="1" customWidth="1"/>
    <col min="6" max="6" width="11.1796875" bestFit="1" customWidth="1"/>
    <col min="7" max="7" width="8" bestFit="1" customWidth="1"/>
    <col min="8" max="8" width="26.1796875" hidden="1" customWidth="1"/>
    <col min="9" max="10" width="0" hidden="1" customWidth="1"/>
    <col min="11" max="11" width="9.1796875" customWidth="1"/>
  </cols>
  <sheetData>
    <row r="1" spans="1:11" x14ac:dyDescent="0.35">
      <c r="A1" s="71" t="s">
        <v>0</v>
      </c>
      <c r="B1" s="71"/>
      <c r="C1" s="71"/>
      <c r="D1" s="71"/>
      <c r="E1" s="71"/>
      <c r="F1" s="71"/>
    </row>
    <row r="2" spans="1:11" x14ac:dyDescent="0.3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</row>
    <row r="3" spans="1:11" x14ac:dyDescent="0.35">
      <c r="A3" s="1">
        <v>46272</v>
      </c>
      <c r="B3" t="s">
        <v>12</v>
      </c>
      <c r="C3" t="s">
        <v>13</v>
      </c>
      <c r="D3" t="s">
        <v>14</v>
      </c>
      <c r="F3">
        <v>222.2</v>
      </c>
      <c r="G3" s="7">
        <v>0.22916666666666666</v>
      </c>
      <c r="H3" s="70">
        <f>YEAR(tblKmReales[[#This Row],[Fecha]])</f>
        <v>2026</v>
      </c>
      <c r="I3" s="70">
        <f>MONTH(tblKmReales[[#This Row],[Fecha]])</f>
        <v>9</v>
      </c>
      <c r="J3" s="70">
        <f>DAY(tblKmReales[[#This Row],[Fecha]])</f>
        <v>7</v>
      </c>
    </row>
    <row r="4" spans="1:11" x14ac:dyDescent="0.35">
      <c r="A4" s="1">
        <v>46272</v>
      </c>
      <c r="B4" t="s">
        <v>15</v>
      </c>
      <c r="C4" t="s">
        <v>13</v>
      </c>
      <c r="D4" t="s">
        <v>17</v>
      </c>
      <c r="F4">
        <v>96.9</v>
      </c>
      <c r="G4">
        <v>3</v>
      </c>
      <c r="H4" s="70">
        <f>YEAR(tblKmReales[[#This Row],[Fecha]])</f>
        <v>2026</v>
      </c>
      <c r="I4" s="70">
        <f>MONTH(tblKmReales[[#This Row],[Fecha]])</f>
        <v>9</v>
      </c>
      <c r="J4" s="70">
        <f>DAY(tblKmReales[[#This Row],[Fecha]])</f>
        <v>7</v>
      </c>
    </row>
    <row r="5" spans="1:11" x14ac:dyDescent="0.35">
      <c r="A5" s="1">
        <v>46271</v>
      </c>
      <c r="B5" t="s">
        <v>12</v>
      </c>
      <c r="C5" t="s">
        <v>13</v>
      </c>
      <c r="D5" t="s">
        <v>14</v>
      </c>
      <c r="F5">
        <v>166</v>
      </c>
      <c r="G5" s="7">
        <v>0.27083333333333331</v>
      </c>
      <c r="H5" s="70">
        <f>YEAR(tblKmReales[[#This Row],[Fecha]])</f>
        <v>2026</v>
      </c>
      <c r="I5" s="70">
        <f>MONTH(tblKmReales[[#This Row],[Fecha]])</f>
        <v>9</v>
      </c>
      <c r="J5" s="70">
        <f>DAY(tblKmReales[[#This Row],[Fecha]])</f>
        <v>6</v>
      </c>
    </row>
    <row r="6" spans="1:11" x14ac:dyDescent="0.35">
      <c r="A6" s="1">
        <v>46270</v>
      </c>
      <c r="B6" t="s">
        <v>12</v>
      </c>
      <c r="C6" t="s">
        <v>13</v>
      </c>
      <c r="D6" t="s">
        <v>14</v>
      </c>
      <c r="F6">
        <v>269</v>
      </c>
      <c r="G6" s="7">
        <v>0.31944444444444442</v>
      </c>
      <c r="H6">
        <f>YEAR(tblKmReales[[#This Row],[Fecha]])</f>
        <v>2026</v>
      </c>
      <c r="I6">
        <f>MONTH(tblKmReales[[#This Row],[Fecha]])</f>
        <v>9</v>
      </c>
      <c r="J6">
        <f>DAY(tblKmReales[[#This Row],[Fecha]])</f>
        <v>5</v>
      </c>
    </row>
    <row r="7" spans="1:11" x14ac:dyDescent="0.35">
      <c r="A7" s="1">
        <v>46270</v>
      </c>
      <c r="B7" t="s">
        <v>18</v>
      </c>
      <c r="C7" t="s">
        <v>13</v>
      </c>
      <c r="D7" t="s">
        <v>14</v>
      </c>
      <c r="F7">
        <v>9</v>
      </c>
      <c r="H7">
        <f>YEAR(tblKmReales[[#This Row],[Fecha]])</f>
        <v>2026</v>
      </c>
      <c r="I7">
        <f>MONTH(tblKmReales[[#This Row],[Fecha]])</f>
        <v>9</v>
      </c>
      <c r="J7">
        <f>DAY(tblKmReales[[#This Row],[Fecha]])</f>
        <v>5</v>
      </c>
    </row>
    <row r="8" spans="1:11" x14ac:dyDescent="0.35">
      <c r="A8" s="1">
        <v>46269</v>
      </c>
      <c r="B8" t="s">
        <v>12</v>
      </c>
      <c r="C8" t="s">
        <v>13</v>
      </c>
      <c r="D8" t="s">
        <v>14</v>
      </c>
      <c r="F8">
        <v>306</v>
      </c>
      <c r="G8" s="7">
        <v>0.3125</v>
      </c>
      <c r="H8">
        <f>YEAR(tblKmReales[[#This Row],[Fecha]])</f>
        <v>2026</v>
      </c>
      <c r="I8">
        <f>MONTH(tblKmReales[[#This Row],[Fecha]])</f>
        <v>9</v>
      </c>
      <c r="J8">
        <f>DAY(tblKmReales[[#This Row],[Fecha]])</f>
        <v>4</v>
      </c>
    </row>
    <row r="9" spans="1:11" x14ac:dyDescent="0.35">
      <c r="A9" s="1">
        <v>46268</v>
      </c>
      <c r="B9" t="s">
        <v>12</v>
      </c>
      <c r="C9" t="s">
        <v>13</v>
      </c>
      <c r="D9" t="s">
        <v>14</v>
      </c>
      <c r="F9">
        <v>214</v>
      </c>
      <c r="G9">
        <v>5</v>
      </c>
      <c r="H9">
        <f>YEAR(tblKmReales[[#This Row],[Fecha]])</f>
        <v>2026</v>
      </c>
      <c r="I9">
        <f>MONTH(tblKmReales[[#This Row],[Fecha]])</f>
        <v>9</v>
      </c>
      <c r="J9">
        <f>DAY(tblKmReales[[#This Row],[Fecha]])</f>
        <v>3</v>
      </c>
    </row>
    <row r="10" spans="1:11" x14ac:dyDescent="0.35">
      <c r="A10" s="1">
        <v>46267</v>
      </c>
      <c r="B10" t="s">
        <v>12</v>
      </c>
      <c r="C10" t="s">
        <v>13</v>
      </c>
      <c r="D10" t="s">
        <v>14</v>
      </c>
      <c r="F10">
        <v>198</v>
      </c>
      <c r="G10">
        <v>6</v>
      </c>
      <c r="H10">
        <f>YEAR(tblKmReales[[#This Row],[Fecha]])</f>
        <v>2026</v>
      </c>
      <c r="I10">
        <f>MONTH(tblKmReales[[#This Row],[Fecha]])</f>
        <v>9</v>
      </c>
      <c r="J10">
        <f>DAY(tblKmReales[[#This Row],[Fecha]])</f>
        <v>2</v>
      </c>
    </row>
    <row r="11" spans="1:11" x14ac:dyDescent="0.35">
      <c r="A11" s="1">
        <v>46267</v>
      </c>
      <c r="B11" t="s">
        <v>15</v>
      </c>
      <c r="C11" t="s">
        <v>13</v>
      </c>
      <c r="D11" t="s">
        <v>14</v>
      </c>
      <c r="F11">
        <v>135</v>
      </c>
      <c r="G11">
        <v>5</v>
      </c>
      <c r="H11">
        <f>YEAR(tblKmReales[[#This Row],[Fecha]])</f>
        <v>2026</v>
      </c>
      <c r="I11">
        <f>MONTH(tblKmReales[[#This Row],[Fecha]])</f>
        <v>9</v>
      </c>
      <c r="J11">
        <f>DAY(tblKmReales[[#This Row],[Fecha]])</f>
        <v>2</v>
      </c>
    </row>
    <row r="12" spans="1:11" x14ac:dyDescent="0.35">
      <c r="A12" s="1">
        <v>46267</v>
      </c>
      <c r="B12" t="s">
        <v>16</v>
      </c>
      <c r="C12" t="s">
        <v>13</v>
      </c>
      <c r="D12" t="s">
        <v>14</v>
      </c>
      <c r="F12">
        <v>107.5</v>
      </c>
      <c r="G12" s="7">
        <v>9.375E-2</v>
      </c>
      <c r="H12">
        <f>YEAR(tblKmReales[[#This Row],[Fecha]])</f>
        <v>2026</v>
      </c>
      <c r="I12">
        <f>MONTH(tblKmReales[[#This Row],[Fecha]])</f>
        <v>9</v>
      </c>
      <c r="J12">
        <f>DAY(tblKmReales[[#This Row],[Fecha]])</f>
        <v>2</v>
      </c>
    </row>
    <row r="13" spans="1:11" x14ac:dyDescent="0.35">
      <c r="A13" s="1">
        <v>46266</v>
      </c>
      <c r="B13" t="s">
        <v>12</v>
      </c>
      <c r="C13" t="s">
        <v>13</v>
      </c>
      <c r="D13" t="s">
        <v>14</v>
      </c>
      <c r="F13">
        <v>200</v>
      </c>
      <c r="G13" s="7">
        <v>0.22916666666666666</v>
      </c>
      <c r="H13">
        <f>YEAR(tblKmReales[[#This Row],[Fecha]])</f>
        <v>2026</v>
      </c>
      <c r="I13">
        <f>MONTH(tblKmReales[[#This Row],[Fecha]])</f>
        <v>9</v>
      </c>
      <c r="J13">
        <f>DAY(tblKmReales[[#This Row],[Fecha]])</f>
        <v>1</v>
      </c>
    </row>
    <row r="14" spans="1:11" x14ac:dyDescent="0.35">
      <c r="A14" s="1">
        <v>46266</v>
      </c>
      <c r="B14" t="s">
        <v>15</v>
      </c>
      <c r="C14" t="s">
        <v>13</v>
      </c>
      <c r="D14" t="s">
        <v>17</v>
      </c>
      <c r="F14">
        <v>85.7</v>
      </c>
      <c r="G14" s="7">
        <v>0.10416666666666667</v>
      </c>
      <c r="H14">
        <f>YEAR(tblKmReales[[#This Row],[Fecha]])</f>
        <v>2026</v>
      </c>
      <c r="I14">
        <f>MONTH(tblKmReales[[#This Row],[Fecha]])</f>
        <v>9</v>
      </c>
      <c r="J14">
        <f>DAY(tblKmReales[[#This Row],[Fecha]])</f>
        <v>1</v>
      </c>
    </row>
    <row r="15" spans="1:11" x14ac:dyDescent="0.35">
      <c r="A15" s="1">
        <v>46266</v>
      </c>
      <c r="B15" t="s">
        <v>16</v>
      </c>
      <c r="C15" t="s">
        <v>13</v>
      </c>
      <c r="D15" t="s">
        <v>17</v>
      </c>
      <c r="F15">
        <v>99</v>
      </c>
      <c r="G15" s="7">
        <v>0.10416666666666667</v>
      </c>
      <c r="H15">
        <f>YEAR(tblKmReales[[#This Row],[Fecha]])</f>
        <v>2026</v>
      </c>
      <c r="I15">
        <f>MONTH(tblKmReales[[#This Row],[Fecha]])</f>
        <v>9</v>
      </c>
      <c r="J15">
        <f>DAY(tblKmReales[[#This Row],[Fecha]])</f>
        <v>1</v>
      </c>
    </row>
    <row r="16" spans="1:11" x14ac:dyDescent="0.35">
      <c r="A16" s="1">
        <v>46265</v>
      </c>
      <c r="B16" t="s">
        <v>12</v>
      </c>
      <c r="C16" t="s">
        <v>13</v>
      </c>
      <c r="D16" t="s">
        <v>14</v>
      </c>
      <c r="F16">
        <v>257</v>
      </c>
      <c r="G16">
        <v>6</v>
      </c>
      <c r="H16">
        <f>YEAR(tblKmReales[[#This Row],[Fecha]])</f>
        <v>2026</v>
      </c>
      <c r="I16">
        <f>MONTH(tblKmReales[[#This Row],[Fecha]])</f>
        <v>8</v>
      </c>
      <c r="J16">
        <f>DAY(tblKmReales[[#This Row],[Fecha]])</f>
        <v>31</v>
      </c>
    </row>
    <row r="17" spans="1:10" x14ac:dyDescent="0.35">
      <c r="A17" s="1">
        <v>46265</v>
      </c>
      <c r="B17" t="s">
        <v>16</v>
      </c>
      <c r="C17" t="s">
        <v>13</v>
      </c>
      <c r="D17" t="s">
        <v>17</v>
      </c>
      <c r="F17">
        <v>224</v>
      </c>
      <c r="G17" s="7">
        <v>0.2013888888888889</v>
      </c>
      <c r="H17">
        <f>YEAR(tblKmReales[[#This Row],[Fecha]])</f>
        <v>2026</v>
      </c>
      <c r="I17">
        <f>MONTH(tblKmReales[[#This Row],[Fecha]])</f>
        <v>8</v>
      </c>
      <c r="J17">
        <f>DAY(tblKmReales[[#This Row],[Fecha]])</f>
        <v>31</v>
      </c>
    </row>
    <row r="18" spans="1:10" x14ac:dyDescent="0.35">
      <c r="A18" s="1">
        <v>46264</v>
      </c>
      <c r="B18" t="s">
        <v>18</v>
      </c>
      <c r="C18" t="s">
        <v>13</v>
      </c>
      <c r="F18">
        <v>16.5</v>
      </c>
      <c r="H18">
        <f>YEAR(tblKmReales[[#This Row],[Fecha]])</f>
        <v>2026</v>
      </c>
      <c r="I18">
        <f>MONTH(tblKmReales[[#This Row],[Fecha]])</f>
        <v>8</v>
      </c>
      <c r="J18">
        <f>DAY(tblKmReales[[#This Row],[Fecha]])</f>
        <v>30</v>
      </c>
    </row>
    <row r="19" spans="1:10" x14ac:dyDescent="0.35">
      <c r="A19" s="1">
        <v>46264</v>
      </c>
      <c r="B19" t="s">
        <v>12</v>
      </c>
      <c r="C19" t="s">
        <v>13</v>
      </c>
      <c r="D19" t="s">
        <v>14</v>
      </c>
      <c r="F19">
        <v>117</v>
      </c>
      <c r="G19" s="7">
        <v>0.1736111111111111</v>
      </c>
      <c r="H19">
        <f>YEAR(tblKmReales[[#This Row],[Fecha]])</f>
        <v>2026</v>
      </c>
      <c r="I19">
        <f>MONTH(tblKmReales[[#This Row],[Fecha]])</f>
        <v>8</v>
      </c>
      <c r="J19">
        <f>DAY(tblKmReales[[#This Row],[Fecha]])</f>
        <v>30</v>
      </c>
    </row>
    <row r="20" spans="1:10" x14ac:dyDescent="0.35">
      <c r="A20" s="1">
        <v>46263</v>
      </c>
      <c r="B20" t="s">
        <v>12</v>
      </c>
      <c r="C20" t="s">
        <v>13</v>
      </c>
      <c r="D20" t="s">
        <v>14</v>
      </c>
      <c r="F20">
        <v>278</v>
      </c>
      <c r="G20" s="7">
        <v>0.27083333333333331</v>
      </c>
      <c r="H20">
        <f>YEAR(tblKmReales[[#This Row],[Fecha]])</f>
        <v>2026</v>
      </c>
      <c r="I20">
        <f>MONTH(tblKmReales[[#This Row],[Fecha]])</f>
        <v>8</v>
      </c>
      <c r="J20">
        <f>DAY(tblKmReales[[#This Row],[Fecha]])</f>
        <v>29</v>
      </c>
    </row>
    <row r="21" spans="1:10" x14ac:dyDescent="0.35">
      <c r="A21" s="1">
        <v>46262</v>
      </c>
      <c r="B21" t="s">
        <v>12</v>
      </c>
      <c r="C21" t="s">
        <v>13</v>
      </c>
      <c r="D21" t="s">
        <v>14</v>
      </c>
      <c r="F21">
        <v>308.2</v>
      </c>
      <c r="G21" s="7">
        <v>0.2986111111111111</v>
      </c>
      <c r="H21">
        <f>YEAR(tblKmReales[[#This Row],[Fecha]])</f>
        <v>2026</v>
      </c>
      <c r="I21">
        <f>MONTH(tblKmReales[[#This Row],[Fecha]])</f>
        <v>8</v>
      </c>
      <c r="J21">
        <f>DAY(tblKmReales[[#This Row],[Fecha]])</f>
        <v>28</v>
      </c>
    </row>
    <row r="22" spans="1:10" x14ac:dyDescent="0.35">
      <c r="A22" s="1">
        <v>46262</v>
      </c>
      <c r="B22" t="s">
        <v>16</v>
      </c>
      <c r="C22" t="s">
        <v>13</v>
      </c>
      <c r="D22" t="s">
        <v>17</v>
      </c>
      <c r="F22">
        <v>309</v>
      </c>
      <c r="G22">
        <v>6</v>
      </c>
      <c r="H22">
        <f>YEAR(tblKmReales[[#This Row],[Fecha]])</f>
        <v>2026</v>
      </c>
      <c r="I22">
        <f>MONTH(tblKmReales[[#This Row],[Fecha]])</f>
        <v>8</v>
      </c>
      <c r="J22">
        <f>DAY(tblKmReales[[#This Row],[Fecha]])</f>
        <v>28</v>
      </c>
    </row>
    <row r="23" spans="1:10" x14ac:dyDescent="0.35">
      <c r="A23" s="1">
        <v>46261</v>
      </c>
      <c r="B23" t="s">
        <v>18</v>
      </c>
      <c r="C23" t="s">
        <v>13</v>
      </c>
      <c r="F23">
        <v>15.6</v>
      </c>
      <c r="H23">
        <f>YEAR(tblKmReales[[#This Row],[Fecha]])</f>
        <v>2026</v>
      </c>
      <c r="I23">
        <f>MONTH(tblKmReales[[#This Row],[Fecha]])</f>
        <v>8</v>
      </c>
      <c r="J23">
        <f>DAY(tblKmReales[[#This Row],[Fecha]])</f>
        <v>27</v>
      </c>
    </row>
    <row r="24" spans="1:10" x14ac:dyDescent="0.35">
      <c r="A24" s="1">
        <v>46261</v>
      </c>
      <c r="B24" t="s">
        <v>12</v>
      </c>
      <c r="C24" t="s">
        <v>13</v>
      </c>
      <c r="D24" t="s">
        <v>14</v>
      </c>
      <c r="F24">
        <v>204</v>
      </c>
      <c r="G24" s="7">
        <v>0.19305555555555556</v>
      </c>
      <c r="H24">
        <f>YEAR(tblKmReales[[#This Row],[Fecha]])</f>
        <v>2026</v>
      </c>
      <c r="I24">
        <f>MONTH(tblKmReales[[#This Row],[Fecha]])</f>
        <v>8</v>
      </c>
      <c r="J24">
        <f>DAY(tblKmReales[[#This Row],[Fecha]])</f>
        <v>27</v>
      </c>
    </row>
    <row r="25" spans="1:10" x14ac:dyDescent="0.35">
      <c r="A25" s="1">
        <v>46261</v>
      </c>
      <c r="B25" t="s">
        <v>15</v>
      </c>
      <c r="C25" t="s">
        <v>13</v>
      </c>
      <c r="D25" t="s">
        <v>17</v>
      </c>
      <c r="F25">
        <v>88</v>
      </c>
      <c r="G25" s="7">
        <v>0.13194444444444445</v>
      </c>
      <c r="H25">
        <f>YEAR(tblKmReales[[#This Row],[Fecha]])</f>
        <v>2026</v>
      </c>
      <c r="I25">
        <f>MONTH(tblKmReales[[#This Row],[Fecha]])</f>
        <v>8</v>
      </c>
      <c r="J25">
        <f>DAY(tblKmReales[[#This Row],[Fecha]])</f>
        <v>27</v>
      </c>
    </row>
    <row r="26" spans="1:10" x14ac:dyDescent="0.35">
      <c r="A26" s="1">
        <v>46261</v>
      </c>
      <c r="B26" t="s">
        <v>16</v>
      </c>
      <c r="C26" t="s">
        <v>13</v>
      </c>
      <c r="D26" t="s">
        <v>17</v>
      </c>
      <c r="F26">
        <v>101.7</v>
      </c>
      <c r="G26" s="7">
        <v>0.11805555555555555</v>
      </c>
      <c r="H26">
        <f>YEAR(tblKmReales[[#This Row],[Fecha]])</f>
        <v>2026</v>
      </c>
      <c r="I26">
        <f>MONTH(tblKmReales[[#This Row],[Fecha]])</f>
        <v>8</v>
      </c>
      <c r="J26">
        <f>DAY(tblKmReales[[#This Row],[Fecha]])</f>
        <v>27</v>
      </c>
    </row>
    <row r="27" spans="1:10" x14ac:dyDescent="0.35">
      <c r="A27" s="1">
        <v>46260</v>
      </c>
      <c r="B27" t="s">
        <v>18</v>
      </c>
      <c r="C27" t="s">
        <v>13</v>
      </c>
      <c r="F27">
        <v>15.4</v>
      </c>
      <c r="H27">
        <f>YEAR(tblKmReales[[#This Row],[Fecha]])</f>
        <v>2026</v>
      </c>
      <c r="I27">
        <f>MONTH(tblKmReales[[#This Row],[Fecha]])</f>
        <v>8</v>
      </c>
      <c r="J27">
        <f>DAY(tblKmReales[[#This Row],[Fecha]])</f>
        <v>26</v>
      </c>
    </row>
    <row r="28" spans="1:10" x14ac:dyDescent="0.35">
      <c r="A28" s="1">
        <v>46260</v>
      </c>
      <c r="B28" t="s">
        <v>12</v>
      </c>
      <c r="C28" t="s">
        <v>13</v>
      </c>
      <c r="D28" t="s">
        <v>14</v>
      </c>
      <c r="F28">
        <v>221</v>
      </c>
      <c r="G28" s="7">
        <v>0.22361111111111112</v>
      </c>
      <c r="H28">
        <f>YEAR(tblKmReales[[#This Row],[Fecha]])</f>
        <v>2026</v>
      </c>
      <c r="I28">
        <f>MONTH(tblKmReales[[#This Row],[Fecha]])</f>
        <v>8</v>
      </c>
      <c r="J28">
        <f>DAY(tblKmReales[[#This Row],[Fecha]])</f>
        <v>26</v>
      </c>
    </row>
    <row r="29" spans="1:10" x14ac:dyDescent="0.35">
      <c r="A29" s="1">
        <v>46260</v>
      </c>
      <c r="B29" t="s">
        <v>15</v>
      </c>
      <c r="C29" t="s">
        <v>13</v>
      </c>
      <c r="D29" t="s">
        <v>17</v>
      </c>
      <c r="F29">
        <v>86</v>
      </c>
      <c r="G29" s="7">
        <v>0.10416666666666667</v>
      </c>
      <c r="H29">
        <f>YEAR(tblKmReales[[#This Row],[Fecha]])</f>
        <v>2026</v>
      </c>
      <c r="I29">
        <f>MONTH(tblKmReales[[#This Row],[Fecha]])</f>
        <v>8</v>
      </c>
      <c r="J29">
        <f>DAY(tblKmReales[[#This Row],[Fecha]])</f>
        <v>26</v>
      </c>
    </row>
    <row r="30" spans="1:10" x14ac:dyDescent="0.35">
      <c r="A30" s="1">
        <v>46260</v>
      </c>
      <c r="B30" t="s">
        <v>16</v>
      </c>
      <c r="C30" t="s">
        <v>13</v>
      </c>
      <c r="D30" t="s">
        <v>17</v>
      </c>
      <c r="F30">
        <v>100.2</v>
      </c>
      <c r="G30">
        <v>3</v>
      </c>
      <c r="H30">
        <f>YEAR(tblKmReales[[#This Row],[Fecha]])</f>
        <v>2026</v>
      </c>
      <c r="I30">
        <f>MONTH(tblKmReales[[#This Row],[Fecha]])</f>
        <v>8</v>
      </c>
      <c r="J30">
        <f>DAY(tblKmReales[[#This Row],[Fecha]])</f>
        <v>26</v>
      </c>
    </row>
    <row r="31" spans="1:10" x14ac:dyDescent="0.35">
      <c r="A31" s="1">
        <v>46259</v>
      </c>
      <c r="B31" t="s">
        <v>18</v>
      </c>
      <c r="C31" t="s">
        <v>13</v>
      </c>
      <c r="F31">
        <v>18</v>
      </c>
      <c r="H31">
        <f>YEAR(tblKmReales[[#This Row],[Fecha]])</f>
        <v>2026</v>
      </c>
      <c r="I31">
        <f>MONTH(tblKmReales[[#This Row],[Fecha]])</f>
        <v>8</v>
      </c>
      <c r="J31">
        <f>DAY(tblKmReales[[#This Row],[Fecha]])</f>
        <v>25</v>
      </c>
    </row>
    <row r="32" spans="1:10" x14ac:dyDescent="0.35">
      <c r="A32" s="1">
        <v>46259</v>
      </c>
      <c r="B32" t="s">
        <v>12</v>
      </c>
      <c r="C32" t="s">
        <v>13</v>
      </c>
      <c r="D32" t="s">
        <v>14</v>
      </c>
      <c r="F32">
        <v>199</v>
      </c>
      <c r="G32" s="7">
        <v>0.27083333333333331</v>
      </c>
      <c r="H32">
        <f>YEAR(tblKmReales[[#This Row],[Fecha]])</f>
        <v>2026</v>
      </c>
      <c r="I32">
        <f>MONTH(tblKmReales[[#This Row],[Fecha]])</f>
        <v>8</v>
      </c>
      <c r="J32">
        <f>DAY(tblKmReales[[#This Row],[Fecha]])</f>
        <v>25</v>
      </c>
    </row>
    <row r="33" spans="1:11" x14ac:dyDescent="0.35">
      <c r="A33" s="1">
        <v>46259</v>
      </c>
      <c r="B33" t="s">
        <v>15</v>
      </c>
      <c r="C33" t="s">
        <v>13</v>
      </c>
      <c r="D33" t="s">
        <v>17</v>
      </c>
      <c r="F33">
        <v>84.7</v>
      </c>
      <c r="G33" s="7">
        <v>0.1111111111111111</v>
      </c>
      <c r="H33">
        <f>YEAR(tblKmReales[[#This Row],[Fecha]])</f>
        <v>2026</v>
      </c>
      <c r="I33">
        <f>MONTH(tblKmReales[[#This Row],[Fecha]])</f>
        <v>8</v>
      </c>
      <c r="J33">
        <f>DAY(tblKmReales[[#This Row],[Fecha]])</f>
        <v>25</v>
      </c>
    </row>
    <row r="34" spans="1:11" x14ac:dyDescent="0.35">
      <c r="A34" s="1">
        <v>46259</v>
      </c>
      <c r="B34" t="s">
        <v>16</v>
      </c>
      <c r="C34" t="s">
        <v>13</v>
      </c>
      <c r="D34" t="s">
        <v>17</v>
      </c>
      <c r="F34">
        <v>100.9</v>
      </c>
      <c r="G34" s="7">
        <v>9.7222222222222224E-2</v>
      </c>
      <c r="H34">
        <f>YEAR(tblKmReales[[#This Row],[Fecha]])</f>
        <v>2026</v>
      </c>
      <c r="I34">
        <f>MONTH(tblKmReales[[#This Row],[Fecha]])</f>
        <v>8</v>
      </c>
      <c r="J34">
        <f>DAY(tblKmReales[[#This Row],[Fecha]])</f>
        <v>25</v>
      </c>
    </row>
    <row r="35" spans="1:11" x14ac:dyDescent="0.35">
      <c r="A35" s="1">
        <v>46258</v>
      </c>
      <c r="B35" t="s">
        <v>18</v>
      </c>
      <c r="C35" t="s">
        <v>13</v>
      </c>
      <c r="F35">
        <v>15.5</v>
      </c>
      <c r="H35">
        <f>YEAR(tblKmReales[[#This Row],[Fecha]])</f>
        <v>2026</v>
      </c>
      <c r="I35">
        <f>MONTH(tblKmReales[[#This Row],[Fecha]])</f>
        <v>8</v>
      </c>
      <c r="J35">
        <f>DAY(tblKmReales[[#This Row],[Fecha]])</f>
        <v>24</v>
      </c>
      <c r="K35" t="s">
        <v>19</v>
      </c>
    </row>
    <row r="36" spans="1:11" x14ac:dyDescent="0.35">
      <c r="A36" s="1">
        <v>46258</v>
      </c>
      <c r="B36" t="s">
        <v>12</v>
      </c>
      <c r="C36" t="s">
        <v>13</v>
      </c>
      <c r="D36" t="s">
        <v>14</v>
      </c>
      <c r="F36">
        <v>288</v>
      </c>
      <c r="G36" s="7">
        <v>0.3263888888888889</v>
      </c>
      <c r="H36">
        <f>YEAR(tblKmReales[[#This Row],[Fecha]])</f>
        <v>2026</v>
      </c>
      <c r="I36">
        <f>MONTH(tblKmReales[[#This Row],[Fecha]])</f>
        <v>8</v>
      </c>
      <c r="J36">
        <f>DAY(tblKmReales[[#This Row],[Fecha]])</f>
        <v>24</v>
      </c>
    </row>
    <row r="37" spans="1:11" x14ac:dyDescent="0.35">
      <c r="A37" s="1">
        <v>46258</v>
      </c>
      <c r="B37" t="s">
        <v>16</v>
      </c>
      <c r="C37" t="s">
        <v>13</v>
      </c>
      <c r="D37" t="s">
        <v>17</v>
      </c>
      <c r="F37">
        <v>225</v>
      </c>
      <c r="G37">
        <v>5</v>
      </c>
      <c r="H37">
        <f>YEAR(tblKmReales[[#This Row],[Fecha]])</f>
        <v>2026</v>
      </c>
      <c r="I37">
        <f>MONTH(tblKmReales[[#This Row],[Fecha]])</f>
        <v>8</v>
      </c>
      <c r="J37">
        <f>DAY(tblKmReales[[#This Row],[Fecha]])</f>
        <v>24</v>
      </c>
    </row>
    <row r="38" spans="1:11" x14ac:dyDescent="0.35">
      <c r="A38" s="1">
        <v>46257</v>
      </c>
      <c r="B38" t="s">
        <v>18</v>
      </c>
      <c r="C38" t="s">
        <v>13</v>
      </c>
      <c r="F38">
        <v>19.5</v>
      </c>
      <c r="H38">
        <f>YEAR(tblKmReales[[#This Row],[Fecha]])</f>
        <v>2026</v>
      </c>
      <c r="I38">
        <f>MONTH(tblKmReales[[#This Row],[Fecha]])</f>
        <v>8</v>
      </c>
      <c r="J38">
        <f>DAY(tblKmReales[[#This Row],[Fecha]])</f>
        <v>23</v>
      </c>
    </row>
    <row r="39" spans="1:11" x14ac:dyDescent="0.35">
      <c r="A39" s="1">
        <v>46257</v>
      </c>
      <c r="B39" t="s">
        <v>12</v>
      </c>
      <c r="C39" t="s">
        <v>13</v>
      </c>
      <c r="D39" t="s">
        <v>14</v>
      </c>
      <c r="F39">
        <v>118.3</v>
      </c>
      <c r="G39" s="7">
        <v>0.19791666666666666</v>
      </c>
      <c r="H39">
        <f>YEAR(tblKmReales[[#This Row],[Fecha]])</f>
        <v>2026</v>
      </c>
      <c r="I39">
        <f>MONTH(tblKmReales[[#This Row],[Fecha]])</f>
        <v>8</v>
      </c>
      <c r="J39">
        <f>DAY(tblKmReales[[#This Row],[Fecha]])</f>
        <v>23</v>
      </c>
    </row>
    <row r="40" spans="1:11" x14ac:dyDescent="0.35">
      <c r="A40" s="1">
        <v>46256</v>
      </c>
      <c r="B40" t="s">
        <v>12</v>
      </c>
      <c r="C40" t="s">
        <v>13</v>
      </c>
      <c r="D40" t="s">
        <v>14</v>
      </c>
      <c r="F40">
        <v>295.10000000000002</v>
      </c>
      <c r="G40" s="7">
        <v>0.32083333333333336</v>
      </c>
      <c r="H40">
        <f>YEAR(tblKmReales[[#This Row],[Fecha]])</f>
        <v>2026</v>
      </c>
      <c r="I40">
        <f>MONTH(tblKmReales[[#This Row],[Fecha]])</f>
        <v>8</v>
      </c>
      <c r="J40">
        <f>DAY(tblKmReales[[#This Row],[Fecha]])</f>
        <v>22</v>
      </c>
    </row>
    <row r="41" spans="1:11" x14ac:dyDescent="0.35">
      <c r="A41" s="1">
        <v>46255</v>
      </c>
      <c r="B41" t="s">
        <v>12</v>
      </c>
      <c r="C41" t="s">
        <v>13</v>
      </c>
      <c r="D41" t="s">
        <v>14</v>
      </c>
      <c r="F41">
        <v>275</v>
      </c>
      <c r="G41">
        <v>8</v>
      </c>
      <c r="H41">
        <f>YEAR(tblKmReales[[#This Row],[Fecha]])</f>
        <v>2026</v>
      </c>
      <c r="I41">
        <f>MONTH(tblKmReales[[#This Row],[Fecha]])</f>
        <v>8</v>
      </c>
      <c r="J41">
        <f>DAY(tblKmReales[[#This Row],[Fecha]])</f>
        <v>21</v>
      </c>
    </row>
    <row r="42" spans="1:11" x14ac:dyDescent="0.35">
      <c r="A42" s="1">
        <v>46255</v>
      </c>
      <c r="B42" t="s">
        <v>15</v>
      </c>
      <c r="C42" t="s">
        <v>13</v>
      </c>
      <c r="D42" t="s">
        <v>17</v>
      </c>
      <c r="F42">
        <v>108</v>
      </c>
      <c r="G42">
        <v>4</v>
      </c>
      <c r="H42">
        <f>YEAR(tblKmReales[[#This Row],[Fecha]])</f>
        <v>2026</v>
      </c>
      <c r="I42">
        <f>MONTH(tblKmReales[[#This Row],[Fecha]])</f>
        <v>8</v>
      </c>
      <c r="J42">
        <f>DAY(tblKmReales[[#This Row],[Fecha]])</f>
        <v>21</v>
      </c>
    </row>
    <row r="43" spans="1:11" x14ac:dyDescent="0.35">
      <c r="A43" s="1">
        <v>46255</v>
      </c>
      <c r="B43" t="s">
        <v>16</v>
      </c>
      <c r="C43" t="s">
        <v>13</v>
      </c>
      <c r="D43" t="s">
        <v>17</v>
      </c>
      <c r="F43">
        <v>100</v>
      </c>
      <c r="G43">
        <v>4</v>
      </c>
      <c r="H43">
        <f>YEAR(tblKmReales[[#This Row],[Fecha]])</f>
        <v>2026</v>
      </c>
      <c r="I43">
        <f>MONTH(tblKmReales[[#This Row],[Fecha]])</f>
        <v>8</v>
      </c>
      <c r="J43">
        <f>DAY(tblKmReales[[#This Row],[Fecha]])</f>
        <v>21</v>
      </c>
    </row>
    <row r="44" spans="1:11" x14ac:dyDescent="0.35">
      <c r="A44" s="1">
        <v>46254</v>
      </c>
      <c r="B44" t="s">
        <v>18</v>
      </c>
      <c r="C44" t="s">
        <v>13</v>
      </c>
      <c r="D44" t="s">
        <v>14</v>
      </c>
      <c r="F44">
        <v>16</v>
      </c>
      <c r="H44">
        <f>YEAR(tblKmReales[[#This Row],[Fecha]])</f>
        <v>2026</v>
      </c>
      <c r="I44">
        <f>MONTH(tblKmReales[[#This Row],[Fecha]])</f>
        <v>8</v>
      </c>
      <c r="J44">
        <f>DAY(tblKmReales[[#This Row],[Fecha]])</f>
        <v>20</v>
      </c>
      <c r="K44" t="s">
        <v>19</v>
      </c>
    </row>
    <row r="45" spans="1:11" x14ac:dyDescent="0.35">
      <c r="A45" s="1">
        <v>46254</v>
      </c>
      <c r="B45" t="s">
        <v>12</v>
      </c>
      <c r="C45" t="s">
        <v>13</v>
      </c>
      <c r="D45" t="s">
        <v>14</v>
      </c>
      <c r="F45">
        <v>214.5</v>
      </c>
      <c r="G45" s="7">
        <v>0.27083333333333331</v>
      </c>
      <c r="H45">
        <f>YEAR(tblKmReales[[#This Row],[Fecha]])</f>
        <v>2026</v>
      </c>
      <c r="I45">
        <f>MONTH(tblKmReales[[#This Row],[Fecha]])</f>
        <v>8</v>
      </c>
      <c r="J45">
        <f>DAY(tblKmReales[[#This Row],[Fecha]])</f>
        <v>20</v>
      </c>
    </row>
    <row r="46" spans="1:11" x14ac:dyDescent="0.35">
      <c r="A46" s="1">
        <v>46254</v>
      </c>
      <c r="B46" t="s">
        <v>15</v>
      </c>
      <c r="C46" t="s">
        <v>13</v>
      </c>
      <c r="D46" t="s">
        <v>17</v>
      </c>
      <c r="F46">
        <v>86.6</v>
      </c>
      <c r="G46" s="7">
        <v>0.1111111111111111</v>
      </c>
      <c r="H46">
        <f>YEAR(tblKmReales[[#This Row],[Fecha]])</f>
        <v>2026</v>
      </c>
      <c r="I46">
        <f>MONTH(tblKmReales[[#This Row],[Fecha]])</f>
        <v>8</v>
      </c>
      <c r="J46">
        <f>DAY(tblKmReales[[#This Row],[Fecha]])</f>
        <v>20</v>
      </c>
    </row>
    <row r="47" spans="1:11" x14ac:dyDescent="0.35">
      <c r="A47" s="1">
        <v>46254</v>
      </c>
      <c r="B47" t="s">
        <v>16</v>
      </c>
      <c r="C47" t="s">
        <v>13</v>
      </c>
      <c r="D47" t="s">
        <v>17</v>
      </c>
      <c r="F47">
        <v>100.6</v>
      </c>
      <c r="G47" s="7">
        <v>0.11805555555555555</v>
      </c>
      <c r="H47">
        <f>YEAR(tblKmReales[[#This Row],[Fecha]])</f>
        <v>2026</v>
      </c>
      <c r="I47">
        <f>MONTH(tblKmReales[[#This Row],[Fecha]])</f>
        <v>8</v>
      </c>
      <c r="J47">
        <f>DAY(tblKmReales[[#This Row],[Fecha]])</f>
        <v>20</v>
      </c>
      <c r="K47" t="s">
        <v>20</v>
      </c>
    </row>
    <row r="48" spans="1:11" x14ac:dyDescent="0.35">
      <c r="A48" s="1">
        <v>46253</v>
      </c>
      <c r="B48" t="s">
        <v>18</v>
      </c>
      <c r="C48" t="s">
        <v>13</v>
      </c>
      <c r="F48">
        <v>16</v>
      </c>
      <c r="H48">
        <f>YEAR(tblKmReales[[#This Row],[Fecha]])</f>
        <v>2026</v>
      </c>
      <c r="I48">
        <f>MONTH(tblKmReales[[#This Row],[Fecha]])</f>
        <v>8</v>
      </c>
      <c r="J48">
        <f>DAY(tblKmReales[[#This Row],[Fecha]])</f>
        <v>19</v>
      </c>
      <c r="K48" t="s">
        <v>21</v>
      </c>
    </row>
    <row r="49" spans="1:11" x14ac:dyDescent="0.35">
      <c r="A49" s="1">
        <v>46253</v>
      </c>
      <c r="B49" t="s">
        <v>12</v>
      </c>
      <c r="C49" t="s">
        <v>13</v>
      </c>
      <c r="D49" t="s">
        <v>14</v>
      </c>
      <c r="F49">
        <v>238</v>
      </c>
      <c r="G49">
        <v>7</v>
      </c>
      <c r="H49">
        <f>YEAR(tblKmReales[[#This Row],[Fecha]])</f>
        <v>2026</v>
      </c>
      <c r="I49">
        <f>MONTH(tblKmReales[[#This Row],[Fecha]])</f>
        <v>8</v>
      </c>
      <c r="J49">
        <f>DAY(tblKmReales[[#This Row],[Fecha]])</f>
        <v>19</v>
      </c>
    </row>
    <row r="50" spans="1:11" x14ac:dyDescent="0.35">
      <c r="A50" s="1">
        <v>46253</v>
      </c>
      <c r="B50" t="s">
        <v>16</v>
      </c>
      <c r="C50" t="s">
        <v>13</v>
      </c>
      <c r="D50" t="s">
        <v>17</v>
      </c>
      <c r="F50">
        <v>241.3</v>
      </c>
      <c r="G50" s="7">
        <v>0.25694444444444442</v>
      </c>
      <c r="H50">
        <f>YEAR(tblKmReales[[#This Row],[Fecha]])</f>
        <v>2026</v>
      </c>
      <c r="I50">
        <f>MONTH(tblKmReales[[#This Row],[Fecha]])</f>
        <v>8</v>
      </c>
      <c r="J50">
        <f>DAY(tblKmReales[[#This Row],[Fecha]])</f>
        <v>19</v>
      </c>
    </row>
    <row r="51" spans="1:11" x14ac:dyDescent="0.35">
      <c r="A51" s="1">
        <v>46252</v>
      </c>
      <c r="B51" t="s">
        <v>18</v>
      </c>
      <c r="C51" t="s">
        <v>13</v>
      </c>
      <c r="F51">
        <v>19</v>
      </c>
      <c r="H51">
        <f>YEAR(tblKmReales[[#This Row],[Fecha]])</f>
        <v>2026</v>
      </c>
      <c r="I51">
        <f>MONTH(tblKmReales[[#This Row],[Fecha]])</f>
        <v>8</v>
      </c>
      <c r="J51">
        <f>DAY(tblKmReales[[#This Row],[Fecha]])</f>
        <v>18</v>
      </c>
      <c r="K51" t="s">
        <v>21</v>
      </c>
    </row>
    <row r="52" spans="1:11" x14ac:dyDescent="0.35">
      <c r="A52" s="1">
        <v>46252</v>
      </c>
      <c r="B52" t="s">
        <v>12</v>
      </c>
      <c r="C52" t="s">
        <v>13</v>
      </c>
      <c r="D52" t="s">
        <v>14</v>
      </c>
      <c r="F52">
        <v>231</v>
      </c>
      <c r="G52" s="7">
        <v>0.27777777777777779</v>
      </c>
      <c r="H52">
        <f>YEAR(tblKmReales[[#This Row],[Fecha]])</f>
        <v>2026</v>
      </c>
      <c r="I52">
        <f>MONTH(tblKmReales[[#This Row],[Fecha]])</f>
        <v>8</v>
      </c>
      <c r="J52">
        <f>DAY(tblKmReales[[#This Row],[Fecha]])</f>
        <v>18</v>
      </c>
    </row>
    <row r="53" spans="1:11" x14ac:dyDescent="0.35">
      <c r="A53" s="1">
        <v>46252</v>
      </c>
      <c r="B53" t="s">
        <v>16</v>
      </c>
      <c r="C53" t="s">
        <v>13</v>
      </c>
      <c r="D53" t="s">
        <v>17</v>
      </c>
      <c r="F53">
        <v>225</v>
      </c>
      <c r="G53">
        <v>5</v>
      </c>
      <c r="H53">
        <f>YEAR(tblKmReales[[#This Row],[Fecha]])</f>
        <v>2026</v>
      </c>
      <c r="I53">
        <f>MONTH(tblKmReales[[#This Row],[Fecha]])</f>
        <v>8</v>
      </c>
      <c r="J53">
        <f>DAY(tblKmReales[[#This Row],[Fecha]])</f>
        <v>18</v>
      </c>
    </row>
    <row r="54" spans="1:11" x14ac:dyDescent="0.35">
      <c r="A54" s="1">
        <v>46251</v>
      </c>
      <c r="B54" t="s">
        <v>12</v>
      </c>
      <c r="C54" t="s">
        <v>13</v>
      </c>
      <c r="D54" t="s">
        <v>14</v>
      </c>
      <c r="F54">
        <v>255</v>
      </c>
      <c r="G54" s="7">
        <v>0.28333333333333333</v>
      </c>
      <c r="H54">
        <f>YEAR(tblKmReales[[#This Row],[Fecha]])</f>
        <v>2026</v>
      </c>
      <c r="I54">
        <f>MONTH(tblKmReales[[#This Row],[Fecha]])</f>
        <v>8</v>
      </c>
      <c r="J54">
        <f>DAY(tblKmReales[[#This Row],[Fecha]])</f>
        <v>17</v>
      </c>
    </row>
    <row r="55" spans="1:11" x14ac:dyDescent="0.35">
      <c r="A55" s="1">
        <v>46251</v>
      </c>
      <c r="B55" t="s">
        <v>16</v>
      </c>
      <c r="C55" t="s">
        <v>13</v>
      </c>
      <c r="D55" t="s">
        <v>17</v>
      </c>
      <c r="F55">
        <v>217</v>
      </c>
      <c r="G55">
        <v>5</v>
      </c>
      <c r="H55">
        <f>YEAR(tblKmReales[[#This Row],[Fecha]])</f>
        <v>2026</v>
      </c>
      <c r="I55">
        <f>MONTH(tblKmReales[[#This Row],[Fecha]])</f>
        <v>8</v>
      </c>
      <c r="J55">
        <f>DAY(tblKmReales[[#This Row],[Fecha]])</f>
        <v>17</v>
      </c>
    </row>
    <row r="56" spans="1:11" x14ac:dyDescent="0.35">
      <c r="A56" s="1">
        <v>46250</v>
      </c>
      <c r="B56" t="s">
        <v>18</v>
      </c>
      <c r="C56" t="s">
        <v>13</v>
      </c>
      <c r="D56" t="s">
        <v>14</v>
      </c>
      <c r="F56">
        <v>16</v>
      </c>
      <c r="H56">
        <f>YEAR(tblKmReales[[#This Row],[Fecha]])</f>
        <v>2026</v>
      </c>
      <c r="I56">
        <f>MONTH(tblKmReales[[#This Row],[Fecha]])</f>
        <v>8</v>
      </c>
      <c r="J56">
        <f>DAY(tblKmReales[[#This Row],[Fecha]])</f>
        <v>16</v>
      </c>
      <c r="K56" t="s">
        <v>21</v>
      </c>
    </row>
    <row r="57" spans="1:11" x14ac:dyDescent="0.35">
      <c r="A57" s="1">
        <v>46250</v>
      </c>
      <c r="B57" t="s">
        <v>12</v>
      </c>
      <c r="C57" t="s">
        <v>13</v>
      </c>
      <c r="D57" t="s">
        <v>14</v>
      </c>
      <c r="F57">
        <v>120</v>
      </c>
      <c r="H57">
        <f>YEAR(tblKmReales[[#This Row],[Fecha]])</f>
        <v>2026</v>
      </c>
      <c r="I57">
        <f>MONTH(tblKmReales[[#This Row],[Fecha]])</f>
        <v>8</v>
      </c>
      <c r="J57">
        <f>DAY(tblKmReales[[#This Row],[Fecha]])</f>
        <v>16</v>
      </c>
    </row>
    <row r="58" spans="1:11" x14ac:dyDescent="0.35">
      <c r="A58" s="1">
        <v>46249</v>
      </c>
      <c r="B58" t="s">
        <v>12</v>
      </c>
      <c r="C58" t="s">
        <v>13</v>
      </c>
      <c r="D58" t="s">
        <v>14</v>
      </c>
      <c r="F58">
        <v>296</v>
      </c>
      <c r="H58">
        <f>YEAR(tblKmReales[[#This Row],[Fecha]])</f>
        <v>2026</v>
      </c>
      <c r="I58">
        <f>MONTH(tblKmReales[[#This Row],[Fecha]])</f>
        <v>8</v>
      </c>
      <c r="J58">
        <f>DAY(tblKmReales[[#This Row],[Fecha]])</f>
        <v>15</v>
      </c>
    </row>
    <row r="59" spans="1:11" x14ac:dyDescent="0.35">
      <c r="A59" s="1">
        <v>46248</v>
      </c>
      <c r="B59" t="s">
        <v>12</v>
      </c>
      <c r="C59" t="s">
        <v>13</v>
      </c>
      <c r="D59" t="s">
        <v>14</v>
      </c>
      <c r="F59">
        <v>306</v>
      </c>
      <c r="G59" s="7">
        <v>0.3034722222222222</v>
      </c>
      <c r="H59">
        <f>YEAR(tblKmReales[[#This Row],[Fecha]])</f>
        <v>2026</v>
      </c>
      <c r="I59">
        <f>MONTH(tblKmReales[[#This Row],[Fecha]])</f>
        <v>8</v>
      </c>
      <c r="J59">
        <f>DAY(tblKmReales[[#This Row],[Fecha]])</f>
        <v>14</v>
      </c>
    </row>
    <row r="60" spans="1:11" x14ac:dyDescent="0.35">
      <c r="A60" s="1">
        <v>46248</v>
      </c>
      <c r="B60" t="s">
        <v>16</v>
      </c>
      <c r="C60" t="s">
        <v>13</v>
      </c>
      <c r="D60" t="s">
        <v>17</v>
      </c>
      <c r="F60">
        <v>225.6</v>
      </c>
      <c r="G60">
        <v>5</v>
      </c>
      <c r="H60">
        <f>YEAR(tblKmReales[[#This Row],[Fecha]])</f>
        <v>2026</v>
      </c>
      <c r="I60">
        <f>MONTH(tblKmReales[[#This Row],[Fecha]])</f>
        <v>8</v>
      </c>
      <c r="J60">
        <f>DAY(tblKmReales[[#This Row],[Fecha]])</f>
        <v>14</v>
      </c>
    </row>
    <row r="61" spans="1:11" x14ac:dyDescent="0.35">
      <c r="A61" s="1">
        <v>46247</v>
      </c>
      <c r="B61" t="s">
        <v>18</v>
      </c>
      <c r="C61" t="s">
        <v>13</v>
      </c>
      <c r="F61">
        <v>30</v>
      </c>
      <c r="H61">
        <f>YEAR(tblKmReales[[#This Row],[Fecha]])</f>
        <v>2026</v>
      </c>
      <c r="I61">
        <f>MONTH(tblKmReales[[#This Row],[Fecha]])</f>
        <v>8</v>
      </c>
      <c r="J61">
        <f>DAY(tblKmReales[[#This Row],[Fecha]])</f>
        <v>13</v>
      </c>
      <c r="K61" t="s">
        <v>21</v>
      </c>
    </row>
    <row r="62" spans="1:11" x14ac:dyDescent="0.35">
      <c r="A62" s="1">
        <v>46247</v>
      </c>
      <c r="B62" t="s">
        <v>12</v>
      </c>
      <c r="C62" t="s">
        <v>13</v>
      </c>
      <c r="D62" t="s">
        <v>14</v>
      </c>
      <c r="F62">
        <v>195.5</v>
      </c>
      <c r="G62">
        <v>6</v>
      </c>
      <c r="H62">
        <f>YEAR(tblKmReales[[#This Row],[Fecha]])</f>
        <v>2026</v>
      </c>
      <c r="I62">
        <f>MONTH(tblKmReales[[#This Row],[Fecha]])</f>
        <v>8</v>
      </c>
      <c r="J62">
        <f>DAY(tblKmReales[[#This Row],[Fecha]])</f>
        <v>13</v>
      </c>
    </row>
    <row r="63" spans="1:11" x14ac:dyDescent="0.35">
      <c r="A63" s="1">
        <v>46247</v>
      </c>
      <c r="B63" t="s">
        <v>15</v>
      </c>
      <c r="C63" t="s">
        <v>13</v>
      </c>
      <c r="D63" t="s">
        <v>17</v>
      </c>
      <c r="F63">
        <v>97.2</v>
      </c>
      <c r="G63">
        <v>3</v>
      </c>
      <c r="H63">
        <f>YEAR(tblKmReales[[#This Row],[Fecha]])</f>
        <v>2026</v>
      </c>
      <c r="I63">
        <f>MONTH(tblKmReales[[#This Row],[Fecha]])</f>
        <v>8</v>
      </c>
      <c r="J63">
        <f>DAY(tblKmReales[[#This Row],[Fecha]])</f>
        <v>13</v>
      </c>
    </row>
    <row r="64" spans="1:11" x14ac:dyDescent="0.35">
      <c r="A64" s="1">
        <v>46246</v>
      </c>
      <c r="B64" t="s">
        <v>12</v>
      </c>
      <c r="C64" t="s">
        <v>13</v>
      </c>
      <c r="D64" t="s">
        <v>14</v>
      </c>
      <c r="F64">
        <v>241</v>
      </c>
      <c r="G64" s="7">
        <v>0.27083333333333331</v>
      </c>
      <c r="H64">
        <f>YEAR(tblKmReales[[#This Row],[Fecha]])</f>
        <v>2026</v>
      </c>
      <c r="I64">
        <f>MONTH(tblKmReales[[#This Row],[Fecha]])</f>
        <v>8</v>
      </c>
      <c r="J64">
        <f>DAY(tblKmReales[[#This Row],[Fecha]])</f>
        <v>12</v>
      </c>
    </row>
    <row r="65" spans="1:10" x14ac:dyDescent="0.35">
      <c r="A65" s="1">
        <v>46245</v>
      </c>
      <c r="B65" t="s">
        <v>12</v>
      </c>
      <c r="C65" t="s">
        <v>13</v>
      </c>
      <c r="D65" t="s">
        <v>14</v>
      </c>
      <c r="F65">
        <v>198</v>
      </c>
      <c r="G65" s="7">
        <v>0.25694444444444442</v>
      </c>
      <c r="H65">
        <f>YEAR(tblKmReales[[#This Row],[Fecha]])</f>
        <v>2026</v>
      </c>
      <c r="I65">
        <f>MONTH(tblKmReales[[#This Row],[Fecha]])</f>
        <v>8</v>
      </c>
      <c r="J65">
        <f>DAY(tblKmReales[[#This Row],[Fecha]])</f>
        <v>11</v>
      </c>
    </row>
    <row r="66" spans="1:10" x14ac:dyDescent="0.35">
      <c r="A66" s="1">
        <v>46245</v>
      </c>
      <c r="B66" t="s">
        <v>15</v>
      </c>
      <c r="C66" t="s">
        <v>13</v>
      </c>
      <c r="D66" t="s">
        <v>17</v>
      </c>
      <c r="F66">
        <v>104.6</v>
      </c>
      <c r="G66" s="7">
        <v>0.14583333333333334</v>
      </c>
      <c r="H66">
        <f>YEAR(tblKmReales[[#This Row],[Fecha]])</f>
        <v>2026</v>
      </c>
      <c r="I66">
        <f>MONTH(tblKmReales[[#This Row],[Fecha]])</f>
        <v>8</v>
      </c>
      <c r="J66">
        <f>DAY(tblKmReales[[#This Row],[Fecha]])</f>
        <v>11</v>
      </c>
    </row>
    <row r="67" spans="1:10" x14ac:dyDescent="0.35">
      <c r="A67" s="1">
        <v>46244</v>
      </c>
      <c r="B67" t="s">
        <v>12</v>
      </c>
      <c r="C67" t="s">
        <v>13</v>
      </c>
      <c r="D67" t="s">
        <v>14</v>
      </c>
      <c r="F67">
        <v>223.7</v>
      </c>
      <c r="G67" s="7">
        <v>0.2638888888888889</v>
      </c>
      <c r="H67">
        <f>YEAR(tblKmReales[[#This Row],[Fecha]])</f>
        <v>2026</v>
      </c>
      <c r="I67">
        <f>MONTH(tblKmReales[[#This Row],[Fecha]])</f>
        <v>8</v>
      </c>
      <c r="J67">
        <f>DAY(tblKmReales[[#This Row],[Fecha]])</f>
        <v>10</v>
      </c>
    </row>
    <row r="68" spans="1:10" x14ac:dyDescent="0.35">
      <c r="A68" s="1">
        <v>46244</v>
      </c>
      <c r="B68" t="s">
        <v>15</v>
      </c>
      <c r="C68" t="s">
        <v>13</v>
      </c>
      <c r="D68" t="s">
        <v>17</v>
      </c>
      <c r="F68">
        <v>104.7</v>
      </c>
      <c r="G68">
        <v>4</v>
      </c>
      <c r="H68">
        <f>YEAR(tblKmReales[[#This Row],[Fecha]])</f>
        <v>2026</v>
      </c>
      <c r="I68">
        <f>MONTH(tblKmReales[[#This Row],[Fecha]])</f>
        <v>8</v>
      </c>
      <c r="J68">
        <f>DAY(tblKmReales[[#This Row],[Fecha]])</f>
        <v>10</v>
      </c>
    </row>
    <row r="69" spans="1:10" x14ac:dyDescent="0.35">
      <c r="A69" s="1">
        <v>46238</v>
      </c>
      <c r="B69" t="s">
        <v>22</v>
      </c>
      <c r="C69" t="s">
        <v>13</v>
      </c>
      <c r="F69">
        <v>117</v>
      </c>
      <c r="H69">
        <f>YEAR(tblKmReales[[#This Row],[Fecha]])</f>
        <v>2026</v>
      </c>
      <c r="I69">
        <f>MONTH(tblKmReales[[#This Row],[Fecha]])</f>
        <v>8</v>
      </c>
      <c r="J69">
        <f>DAY(tblKmReales[[#This Row],[Fecha]])</f>
        <v>4</v>
      </c>
    </row>
    <row r="70" spans="1:10" x14ac:dyDescent="0.35">
      <c r="A70" s="1">
        <v>46238</v>
      </c>
      <c r="B70" t="s">
        <v>12</v>
      </c>
      <c r="C70" t="s">
        <v>13</v>
      </c>
      <c r="D70" t="s">
        <v>14</v>
      </c>
      <c r="F70">
        <v>230</v>
      </c>
      <c r="G70" s="7">
        <v>0.30763888888888891</v>
      </c>
      <c r="H70">
        <f>YEAR(tblKmReales[[#This Row],[Fecha]])</f>
        <v>2026</v>
      </c>
      <c r="I70">
        <f>MONTH(tblKmReales[[#This Row],[Fecha]])</f>
        <v>8</v>
      </c>
      <c r="J70">
        <f>DAY(tblKmReales[[#This Row],[Fecha]])</f>
        <v>4</v>
      </c>
    </row>
    <row r="71" spans="1:10" x14ac:dyDescent="0.35">
      <c r="A71" s="1">
        <v>46237</v>
      </c>
      <c r="B71" t="s">
        <v>12</v>
      </c>
      <c r="C71" t="s">
        <v>13</v>
      </c>
      <c r="D71" t="s">
        <v>14</v>
      </c>
      <c r="F71">
        <v>224</v>
      </c>
      <c r="G71" s="7">
        <v>0.2986111111111111</v>
      </c>
      <c r="H71">
        <f>YEAR(tblKmReales[[#This Row],[Fecha]])</f>
        <v>2026</v>
      </c>
      <c r="I71">
        <f>MONTH(tblKmReales[[#This Row],[Fecha]])</f>
        <v>8</v>
      </c>
      <c r="J71">
        <f>DAY(tblKmReales[[#This Row],[Fecha]])</f>
        <v>3</v>
      </c>
    </row>
    <row r="72" spans="1:10" x14ac:dyDescent="0.35">
      <c r="A72" s="1">
        <v>46237</v>
      </c>
      <c r="B72" t="s">
        <v>15</v>
      </c>
      <c r="C72" t="s">
        <v>13</v>
      </c>
      <c r="D72" t="s">
        <v>17</v>
      </c>
      <c r="F72">
        <v>78</v>
      </c>
      <c r="G72" s="7">
        <v>0.10069444444444445</v>
      </c>
      <c r="H72">
        <f>YEAR(tblKmReales[[#This Row],[Fecha]])</f>
        <v>2026</v>
      </c>
      <c r="I72">
        <f>MONTH(tblKmReales[[#This Row],[Fecha]])</f>
        <v>8</v>
      </c>
      <c r="J72">
        <f>DAY(tblKmReales[[#This Row],[Fecha]])</f>
        <v>3</v>
      </c>
    </row>
    <row r="73" spans="1:10" x14ac:dyDescent="0.35">
      <c r="A73" s="1">
        <v>46236</v>
      </c>
      <c r="B73" t="s">
        <v>12</v>
      </c>
      <c r="C73" t="s">
        <v>13</v>
      </c>
      <c r="D73" t="s">
        <v>14</v>
      </c>
      <c r="E73" t="s">
        <v>23</v>
      </c>
      <c r="F73">
        <v>187</v>
      </c>
      <c r="G73" s="7">
        <v>0.22638888888888889</v>
      </c>
      <c r="H73">
        <f>YEAR(tblKmReales[[#This Row],[Fecha]])</f>
        <v>2026</v>
      </c>
      <c r="I73">
        <f>MONTH(tblKmReales[[#This Row],[Fecha]])</f>
        <v>8</v>
      </c>
      <c r="J73">
        <f>DAY(tblKmReales[[#This Row],[Fecha]])</f>
        <v>2</v>
      </c>
    </row>
    <row r="74" spans="1:10" x14ac:dyDescent="0.35">
      <c r="A74" s="1">
        <v>46235</v>
      </c>
      <c r="B74" t="s">
        <v>12</v>
      </c>
      <c r="C74" t="s">
        <v>13</v>
      </c>
      <c r="D74" t="s">
        <v>14</v>
      </c>
      <c r="E74" t="s">
        <v>23</v>
      </c>
      <c r="F74">
        <v>266</v>
      </c>
      <c r="G74">
        <v>7</v>
      </c>
      <c r="H74">
        <f>YEAR(tblKmReales[[#This Row],[Fecha]])</f>
        <v>2026</v>
      </c>
      <c r="I74">
        <f>MONTH(tblKmReales[[#This Row],[Fecha]])</f>
        <v>8</v>
      </c>
      <c r="J74">
        <f>DAY(tblKmReales[[#This Row],[Fecha]])</f>
        <v>1</v>
      </c>
    </row>
    <row r="75" spans="1:10" x14ac:dyDescent="0.35">
      <c r="A75" s="1">
        <v>46234</v>
      </c>
      <c r="B75" t="s">
        <v>12</v>
      </c>
      <c r="C75" t="s">
        <v>13</v>
      </c>
      <c r="D75" t="s">
        <v>14</v>
      </c>
      <c r="F75">
        <v>298</v>
      </c>
      <c r="G75" s="7">
        <v>0.35416666666666669</v>
      </c>
      <c r="H75">
        <f>YEAR(tblKmReales[[#This Row],[Fecha]])</f>
        <v>2026</v>
      </c>
      <c r="I75">
        <f>MONTH(tblKmReales[[#This Row],[Fecha]])</f>
        <v>7</v>
      </c>
      <c r="J75">
        <f>DAY(tblKmReales[[#This Row],[Fecha]])</f>
        <v>31</v>
      </c>
    </row>
    <row r="76" spans="1:10" x14ac:dyDescent="0.35">
      <c r="A76" s="1">
        <v>46234</v>
      </c>
      <c r="B76" t="s">
        <v>12</v>
      </c>
      <c r="C76" t="s">
        <v>13</v>
      </c>
      <c r="D76" t="s">
        <v>17</v>
      </c>
      <c r="F76">
        <v>121</v>
      </c>
      <c r="G76" s="7">
        <v>0.10416666666666667</v>
      </c>
      <c r="H76">
        <f>YEAR(tblKmReales[[#This Row],[Fecha]])</f>
        <v>2026</v>
      </c>
      <c r="I76">
        <f>MONTH(tblKmReales[[#This Row],[Fecha]])</f>
        <v>7</v>
      </c>
      <c r="J76">
        <f>DAY(tblKmReales[[#This Row],[Fecha]])</f>
        <v>31</v>
      </c>
    </row>
    <row r="77" spans="1:10" x14ac:dyDescent="0.35">
      <c r="A77" s="1">
        <v>46234</v>
      </c>
      <c r="B77" t="s">
        <v>15</v>
      </c>
      <c r="C77" t="s">
        <v>13</v>
      </c>
      <c r="D77" t="s">
        <v>17</v>
      </c>
      <c r="F77">
        <v>74.900000000000006</v>
      </c>
      <c r="G77">
        <v>2</v>
      </c>
      <c r="H77">
        <f>YEAR(tblKmReales[[#This Row],[Fecha]])</f>
        <v>2026</v>
      </c>
      <c r="I77">
        <f>MONTH(tblKmReales[[#This Row],[Fecha]])</f>
        <v>7</v>
      </c>
      <c r="J77">
        <f>DAY(tblKmReales[[#This Row],[Fecha]])</f>
        <v>31</v>
      </c>
    </row>
    <row r="78" spans="1:10" x14ac:dyDescent="0.35">
      <c r="A78" s="1">
        <v>46233</v>
      </c>
      <c r="B78" t="s">
        <v>12</v>
      </c>
      <c r="C78" t="s">
        <v>13</v>
      </c>
      <c r="D78" t="s">
        <v>14</v>
      </c>
      <c r="F78">
        <v>201</v>
      </c>
      <c r="G78">
        <v>7</v>
      </c>
      <c r="H78">
        <f>YEAR(tblKmReales[[#This Row],[Fecha]])</f>
        <v>2026</v>
      </c>
      <c r="I78">
        <f>MONTH(tblKmReales[[#This Row],[Fecha]])</f>
        <v>7</v>
      </c>
      <c r="J78">
        <f>DAY(tblKmReales[[#This Row],[Fecha]])</f>
        <v>30</v>
      </c>
    </row>
    <row r="79" spans="1:10" x14ac:dyDescent="0.35">
      <c r="A79" s="1">
        <v>46232</v>
      </c>
      <c r="B79" t="s">
        <v>12</v>
      </c>
      <c r="C79" t="s">
        <v>13</v>
      </c>
      <c r="D79" t="s">
        <v>14</v>
      </c>
      <c r="F79">
        <v>254</v>
      </c>
      <c r="G79">
        <v>7</v>
      </c>
      <c r="H79">
        <f>YEAR(tblKmReales[[#This Row],[Fecha]])</f>
        <v>2026</v>
      </c>
      <c r="I79">
        <f>MONTH(tblKmReales[[#This Row],[Fecha]])</f>
        <v>7</v>
      </c>
      <c r="J79">
        <f>DAY(tblKmReales[[#This Row],[Fecha]])</f>
        <v>29</v>
      </c>
    </row>
    <row r="80" spans="1:10" x14ac:dyDescent="0.35">
      <c r="A80" s="1">
        <v>46231</v>
      </c>
      <c r="B80" t="s">
        <v>12</v>
      </c>
      <c r="C80" t="s">
        <v>13</v>
      </c>
      <c r="D80" t="s">
        <v>14</v>
      </c>
      <c r="F80">
        <v>92</v>
      </c>
      <c r="G80">
        <v>4</v>
      </c>
      <c r="H80">
        <f>YEAR(tblKmReales[[#This Row],[Fecha]])</f>
        <v>2026</v>
      </c>
      <c r="I80">
        <f>MONTH(tblKmReales[[#This Row],[Fecha]])</f>
        <v>7</v>
      </c>
      <c r="J80">
        <f>DAY(tblKmReales[[#This Row],[Fecha]])</f>
        <v>28</v>
      </c>
    </row>
    <row r="81" spans="1:11" x14ac:dyDescent="0.35">
      <c r="A81" s="1">
        <v>46231</v>
      </c>
      <c r="B81" t="s">
        <v>24</v>
      </c>
      <c r="C81" t="s">
        <v>13</v>
      </c>
      <c r="D81" t="s">
        <v>17</v>
      </c>
      <c r="F81">
        <v>218.4</v>
      </c>
      <c r="G81">
        <v>5</v>
      </c>
      <c r="H81">
        <f>YEAR(tblKmReales[[#This Row],[Fecha]])</f>
        <v>2026</v>
      </c>
      <c r="I81">
        <f>MONTH(tblKmReales[[#This Row],[Fecha]])</f>
        <v>7</v>
      </c>
      <c r="J81">
        <f>DAY(tblKmReales[[#This Row],[Fecha]])</f>
        <v>28</v>
      </c>
    </row>
    <row r="82" spans="1:11" x14ac:dyDescent="0.35">
      <c r="A82" s="1">
        <v>46231</v>
      </c>
      <c r="B82" t="s">
        <v>15</v>
      </c>
      <c r="C82" t="s">
        <v>13</v>
      </c>
      <c r="D82" t="s">
        <v>17</v>
      </c>
      <c r="F82">
        <v>97.1</v>
      </c>
      <c r="G82" s="7">
        <v>0.20277777777777778</v>
      </c>
      <c r="H82">
        <f>YEAR(tblKmReales[[#This Row],[Fecha]])</f>
        <v>2026</v>
      </c>
      <c r="I82">
        <f>MONTH(tblKmReales[[#This Row],[Fecha]])</f>
        <v>7</v>
      </c>
      <c r="J82">
        <f>DAY(tblKmReales[[#This Row],[Fecha]])</f>
        <v>28</v>
      </c>
    </row>
    <row r="83" spans="1:11" x14ac:dyDescent="0.35">
      <c r="A83" s="1">
        <v>46230</v>
      </c>
      <c r="B83" t="s">
        <v>12</v>
      </c>
      <c r="C83" t="s">
        <v>13</v>
      </c>
      <c r="D83" t="s">
        <v>14</v>
      </c>
      <c r="F83">
        <v>185.6</v>
      </c>
      <c r="G83" s="7">
        <v>0.25694444444444442</v>
      </c>
      <c r="H83">
        <f>YEAR(tblKmReales[[#This Row],[Fecha]])</f>
        <v>2026</v>
      </c>
      <c r="I83">
        <f>MONTH(tblKmReales[[#This Row],[Fecha]])</f>
        <v>7</v>
      </c>
      <c r="J83">
        <f>DAY(tblKmReales[[#This Row],[Fecha]])</f>
        <v>27</v>
      </c>
    </row>
    <row r="84" spans="1:11" x14ac:dyDescent="0.35">
      <c r="A84" s="1">
        <v>46230</v>
      </c>
      <c r="B84" t="s">
        <v>15</v>
      </c>
      <c r="C84" t="s">
        <v>13</v>
      </c>
      <c r="D84" t="s">
        <v>17</v>
      </c>
      <c r="F84">
        <v>119</v>
      </c>
      <c r="G84" s="7">
        <v>0.17708333333333334</v>
      </c>
      <c r="H84">
        <f>YEAR(tblKmReales[[#This Row],[Fecha]])</f>
        <v>2026</v>
      </c>
      <c r="I84">
        <f>MONTH(tblKmReales[[#This Row],[Fecha]])</f>
        <v>7</v>
      </c>
      <c r="J84">
        <f>DAY(tblKmReales[[#This Row],[Fecha]])</f>
        <v>27</v>
      </c>
    </row>
    <row r="85" spans="1:11" x14ac:dyDescent="0.35">
      <c r="A85" s="1">
        <v>46229</v>
      </c>
      <c r="B85" t="s">
        <v>12</v>
      </c>
      <c r="C85" t="s">
        <v>13</v>
      </c>
      <c r="D85" t="s">
        <v>14</v>
      </c>
      <c r="E85" t="s">
        <v>23</v>
      </c>
      <c r="F85">
        <v>167</v>
      </c>
      <c r="G85" s="7">
        <v>0.28472222222222221</v>
      </c>
      <c r="H85">
        <f>YEAR(tblKmReales[[#This Row],[Fecha]])</f>
        <v>2026</v>
      </c>
      <c r="I85">
        <f>MONTH(tblKmReales[[#This Row],[Fecha]])</f>
        <v>7</v>
      </c>
      <c r="J85">
        <f>DAY(tblKmReales[[#This Row],[Fecha]])</f>
        <v>26</v>
      </c>
    </row>
    <row r="86" spans="1:11" x14ac:dyDescent="0.35">
      <c r="A86" s="1">
        <v>46228</v>
      </c>
      <c r="B86" t="s">
        <v>12</v>
      </c>
      <c r="C86" t="s">
        <v>13</v>
      </c>
      <c r="D86" t="s">
        <v>14</v>
      </c>
      <c r="F86">
        <v>242</v>
      </c>
      <c r="G86" s="7">
        <v>0.27777777777777779</v>
      </c>
      <c r="H86">
        <f>YEAR(tblKmReales[[#This Row],[Fecha]])</f>
        <v>2026</v>
      </c>
      <c r="I86">
        <f>MONTH(tblKmReales[[#This Row],[Fecha]])</f>
        <v>7</v>
      </c>
      <c r="J86">
        <f>DAY(tblKmReales[[#This Row],[Fecha]])</f>
        <v>25</v>
      </c>
    </row>
    <row r="87" spans="1:11" x14ac:dyDescent="0.35">
      <c r="A87" s="1">
        <v>46227</v>
      </c>
      <c r="B87" t="s">
        <v>12</v>
      </c>
      <c r="C87" t="s">
        <v>13</v>
      </c>
      <c r="D87" t="s">
        <v>14</v>
      </c>
      <c r="F87">
        <v>185.6</v>
      </c>
      <c r="G87" s="7">
        <v>0.30972222222222223</v>
      </c>
      <c r="H87">
        <f>YEAR(tblKmReales[[#This Row],[Fecha]])</f>
        <v>2026</v>
      </c>
      <c r="I87">
        <f>MONTH(tblKmReales[[#This Row],[Fecha]])</f>
        <v>7</v>
      </c>
      <c r="J87">
        <f>DAY(tblKmReales[[#This Row],[Fecha]])</f>
        <v>24</v>
      </c>
    </row>
    <row r="88" spans="1:11" x14ac:dyDescent="0.35">
      <c r="A88" s="1">
        <v>46226</v>
      </c>
      <c r="B88" t="s">
        <v>12</v>
      </c>
      <c r="C88" t="s">
        <v>13</v>
      </c>
      <c r="D88" t="s">
        <v>14</v>
      </c>
      <c r="F88">
        <v>234</v>
      </c>
      <c r="H88">
        <f>YEAR(tblKmReales[[#This Row],[Fecha]])</f>
        <v>2026</v>
      </c>
      <c r="I88">
        <f>MONTH(tblKmReales[[#This Row],[Fecha]])</f>
        <v>7</v>
      </c>
      <c r="J88">
        <f>DAY(tblKmReales[[#This Row],[Fecha]])</f>
        <v>23</v>
      </c>
      <c r="K88" t="s">
        <v>25</v>
      </c>
    </row>
    <row r="89" spans="1:11" x14ac:dyDescent="0.35">
      <c r="A89" s="1">
        <v>46226</v>
      </c>
      <c r="B89" t="s">
        <v>15</v>
      </c>
      <c r="C89" t="s">
        <v>13</v>
      </c>
      <c r="D89" t="s">
        <v>17</v>
      </c>
      <c r="F89">
        <v>96.5</v>
      </c>
      <c r="G89" s="7">
        <v>0.1875</v>
      </c>
      <c r="H89">
        <f>YEAR(tblKmReales[[#This Row],[Fecha]])</f>
        <v>2026</v>
      </c>
      <c r="I89">
        <f>MONTH(tblKmReales[[#This Row],[Fecha]])</f>
        <v>7</v>
      </c>
      <c r="J89">
        <f>DAY(tblKmReales[[#This Row],[Fecha]])</f>
        <v>23</v>
      </c>
    </row>
    <row r="90" spans="1:11" x14ac:dyDescent="0.35">
      <c r="A90" s="1">
        <v>46225</v>
      </c>
      <c r="B90" t="s">
        <v>12</v>
      </c>
      <c r="C90" t="s">
        <v>13</v>
      </c>
      <c r="D90" t="s">
        <v>14</v>
      </c>
      <c r="F90">
        <v>254</v>
      </c>
      <c r="G90">
        <v>7</v>
      </c>
      <c r="H90">
        <f>YEAR(tblKmReales[[#This Row],[Fecha]])</f>
        <v>2026</v>
      </c>
      <c r="I90">
        <f>MONTH(tblKmReales[[#This Row],[Fecha]])</f>
        <v>7</v>
      </c>
      <c r="J90">
        <f>DAY(tblKmReales[[#This Row],[Fecha]])</f>
        <v>22</v>
      </c>
    </row>
    <row r="91" spans="1:11" x14ac:dyDescent="0.35">
      <c r="A91" s="1">
        <v>46224</v>
      </c>
      <c r="B91" t="s">
        <v>12</v>
      </c>
      <c r="C91" t="s">
        <v>13</v>
      </c>
      <c r="D91" t="s">
        <v>14</v>
      </c>
      <c r="F91">
        <v>239</v>
      </c>
      <c r="G91">
        <v>8</v>
      </c>
      <c r="H91">
        <f>YEAR(tblKmReales[[#This Row],[Fecha]])</f>
        <v>2026</v>
      </c>
      <c r="I91">
        <f>MONTH(tblKmReales[[#This Row],[Fecha]])</f>
        <v>7</v>
      </c>
      <c r="J91">
        <f>DAY(tblKmReales[[#This Row],[Fecha]])</f>
        <v>21</v>
      </c>
    </row>
    <row r="92" spans="1:11" x14ac:dyDescent="0.35">
      <c r="A92" s="1">
        <v>46223</v>
      </c>
      <c r="B92" t="s">
        <v>12</v>
      </c>
      <c r="C92" t="s">
        <v>13</v>
      </c>
      <c r="D92" t="s">
        <v>14</v>
      </c>
      <c r="F92">
        <v>243.4</v>
      </c>
      <c r="G92" s="7">
        <v>0.3263888888888889</v>
      </c>
      <c r="H92">
        <f>YEAR(tblKmReales[[#This Row],[Fecha]])</f>
        <v>2026</v>
      </c>
      <c r="I92">
        <f>MONTH(tblKmReales[[#This Row],[Fecha]])</f>
        <v>7</v>
      </c>
      <c r="J92">
        <f>DAY(tblKmReales[[#This Row],[Fecha]])</f>
        <v>20</v>
      </c>
    </row>
    <row r="93" spans="1:11" x14ac:dyDescent="0.35">
      <c r="A93" s="1">
        <v>46223</v>
      </c>
      <c r="B93" t="s">
        <v>15</v>
      </c>
      <c r="C93" t="s">
        <v>13</v>
      </c>
      <c r="D93" t="s">
        <v>17</v>
      </c>
      <c r="F93">
        <v>96.5</v>
      </c>
      <c r="G93" s="7">
        <v>0.15972222222222221</v>
      </c>
      <c r="H93">
        <f>YEAR(tblKmReales[[#This Row],[Fecha]])</f>
        <v>2026</v>
      </c>
      <c r="I93">
        <f>MONTH(tblKmReales[[#This Row],[Fecha]])</f>
        <v>7</v>
      </c>
      <c r="J93">
        <f>DAY(tblKmReales[[#This Row],[Fecha]])</f>
        <v>20</v>
      </c>
    </row>
    <row r="94" spans="1:11" x14ac:dyDescent="0.35">
      <c r="A94" s="1">
        <v>46222</v>
      </c>
      <c r="B94" t="s">
        <v>12</v>
      </c>
      <c r="C94" t="s">
        <v>13</v>
      </c>
      <c r="D94" t="s">
        <v>17</v>
      </c>
      <c r="E94" t="s">
        <v>14</v>
      </c>
      <c r="F94">
        <v>183</v>
      </c>
      <c r="G94" s="7">
        <v>0.12222222222222222</v>
      </c>
      <c r="H94">
        <f>YEAR(tblKmReales[[#This Row],[Fecha]])</f>
        <v>2026</v>
      </c>
      <c r="I94">
        <f>MONTH(tblKmReales[[#This Row],[Fecha]])</f>
        <v>7</v>
      </c>
      <c r="J94">
        <f>DAY(tblKmReales[[#This Row],[Fecha]])</f>
        <v>19</v>
      </c>
    </row>
    <row r="95" spans="1:11" x14ac:dyDescent="0.35">
      <c r="A95" s="1">
        <v>46222</v>
      </c>
      <c r="B95" t="s">
        <v>15</v>
      </c>
      <c r="C95" t="s">
        <v>13</v>
      </c>
      <c r="D95" t="s">
        <v>17</v>
      </c>
      <c r="E95" t="s">
        <v>14</v>
      </c>
      <c r="F95">
        <v>97.8</v>
      </c>
      <c r="G95" s="7">
        <v>0.13541666666666666</v>
      </c>
      <c r="H95">
        <f>YEAR(tblKmReales[[#This Row],[Fecha]])</f>
        <v>2026</v>
      </c>
      <c r="I95">
        <f>MONTH(tblKmReales[[#This Row],[Fecha]])</f>
        <v>7</v>
      </c>
      <c r="J95">
        <f>DAY(tblKmReales[[#This Row],[Fecha]])</f>
        <v>19</v>
      </c>
    </row>
    <row r="96" spans="1:11" x14ac:dyDescent="0.35">
      <c r="A96" s="1">
        <v>46221</v>
      </c>
      <c r="B96" t="s">
        <v>12</v>
      </c>
      <c r="C96" t="s">
        <v>13</v>
      </c>
      <c r="D96" t="s">
        <v>14</v>
      </c>
      <c r="F96">
        <v>295</v>
      </c>
      <c r="G96">
        <v>7</v>
      </c>
      <c r="H96">
        <f>YEAR(tblKmReales[[#This Row],[Fecha]])</f>
        <v>2026</v>
      </c>
      <c r="I96">
        <f>MONTH(tblKmReales[[#This Row],[Fecha]])</f>
        <v>7</v>
      </c>
      <c r="J96">
        <f>DAY(tblKmReales[[#This Row],[Fecha]])</f>
        <v>18</v>
      </c>
    </row>
    <row r="97" spans="1:11" x14ac:dyDescent="0.35">
      <c r="A97" s="1">
        <v>46220</v>
      </c>
      <c r="B97" t="s">
        <v>12</v>
      </c>
      <c r="C97" t="s">
        <v>13</v>
      </c>
      <c r="D97" t="s">
        <v>14</v>
      </c>
      <c r="F97">
        <v>250.9</v>
      </c>
      <c r="G97" s="7">
        <v>0.31944444444444442</v>
      </c>
      <c r="H97">
        <f>YEAR(tblKmReales[[#This Row],[Fecha]])</f>
        <v>2026</v>
      </c>
      <c r="I97">
        <f>MONTH(tblKmReales[[#This Row],[Fecha]])</f>
        <v>7</v>
      </c>
      <c r="J97">
        <f>DAY(tblKmReales[[#This Row],[Fecha]])</f>
        <v>17</v>
      </c>
    </row>
    <row r="98" spans="1:11" x14ac:dyDescent="0.35">
      <c r="A98" s="1">
        <v>46220</v>
      </c>
      <c r="B98" t="s">
        <v>26</v>
      </c>
      <c r="C98" t="s">
        <v>13</v>
      </c>
      <c r="D98" t="s">
        <v>14</v>
      </c>
      <c r="F98">
        <v>60</v>
      </c>
      <c r="G98" s="7">
        <v>0.10416666666666667</v>
      </c>
      <c r="H98">
        <f>YEAR(tblKmReales[[#This Row],[Fecha]])</f>
        <v>2026</v>
      </c>
      <c r="I98">
        <f>MONTH(tblKmReales[[#This Row],[Fecha]])</f>
        <v>7</v>
      </c>
      <c r="J98">
        <f>DAY(tblKmReales[[#This Row],[Fecha]])</f>
        <v>17</v>
      </c>
    </row>
    <row r="99" spans="1:11" x14ac:dyDescent="0.35">
      <c r="A99" s="1">
        <v>46219</v>
      </c>
      <c r="B99" t="s">
        <v>12</v>
      </c>
      <c r="C99" t="s">
        <v>13</v>
      </c>
      <c r="D99" t="s">
        <v>14</v>
      </c>
      <c r="F99">
        <v>219</v>
      </c>
      <c r="G99" s="7">
        <v>0.3125</v>
      </c>
      <c r="H99">
        <f>YEAR(tblKmReales[[#This Row],[Fecha]])</f>
        <v>2026</v>
      </c>
      <c r="I99">
        <f>MONTH(tblKmReales[[#This Row],[Fecha]])</f>
        <v>7</v>
      </c>
      <c r="J99">
        <f>DAY(tblKmReales[[#This Row],[Fecha]])</f>
        <v>16</v>
      </c>
    </row>
    <row r="100" spans="1:11" x14ac:dyDescent="0.35">
      <c r="A100" s="1">
        <v>46219</v>
      </c>
      <c r="B100" t="s">
        <v>15</v>
      </c>
      <c r="C100" t="s">
        <v>13</v>
      </c>
      <c r="D100" t="s">
        <v>17</v>
      </c>
      <c r="E100" t="s">
        <v>14</v>
      </c>
      <c r="F100">
        <v>123.1</v>
      </c>
      <c r="G100" s="7">
        <v>0.15625</v>
      </c>
      <c r="H100">
        <f>YEAR(tblKmReales[[#This Row],[Fecha]])</f>
        <v>2026</v>
      </c>
      <c r="I100">
        <f>MONTH(tblKmReales[[#This Row],[Fecha]])</f>
        <v>7</v>
      </c>
      <c r="J100">
        <f>DAY(tblKmReales[[#This Row],[Fecha]])</f>
        <v>16</v>
      </c>
    </row>
    <row r="101" spans="1:11" x14ac:dyDescent="0.35">
      <c r="A101" s="1">
        <v>46218</v>
      </c>
      <c r="B101" t="s">
        <v>12</v>
      </c>
      <c r="C101" t="s">
        <v>13</v>
      </c>
      <c r="D101" t="s">
        <v>14</v>
      </c>
      <c r="F101">
        <v>223.2</v>
      </c>
      <c r="G101">
        <v>8</v>
      </c>
      <c r="H101">
        <f>YEAR(tblKmReales[[#This Row],[Fecha]])</f>
        <v>2026</v>
      </c>
      <c r="I101">
        <f>MONTH(tblKmReales[[#This Row],[Fecha]])</f>
        <v>7</v>
      </c>
      <c r="J101">
        <f>DAY(tblKmReales[[#This Row],[Fecha]])</f>
        <v>15</v>
      </c>
    </row>
    <row r="102" spans="1:11" x14ac:dyDescent="0.35">
      <c r="A102" s="1">
        <v>46218</v>
      </c>
      <c r="B102" t="s">
        <v>15</v>
      </c>
      <c r="C102" t="s">
        <v>13</v>
      </c>
      <c r="D102" t="s">
        <v>17</v>
      </c>
      <c r="E102" t="s">
        <v>14</v>
      </c>
      <c r="F102">
        <v>124.5</v>
      </c>
      <c r="G102" s="7">
        <v>0.26041666666666669</v>
      </c>
      <c r="H102">
        <f>YEAR(tblKmReales[[#This Row],[Fecha]])</f>
        <v>2026</v>
      </c>
      <c r="I102">
        <f>MONTH(tblKmReales[[#This Row],[Fecha]])</f>
        <v>7</v>
      </c>
      <c r="J102">
        <f>DAY(tblKmReales[[#This Row],[Fecha]])</f>
        <v>15</v>
      </c>
    </row>
    <row r="103" spans="1:11" x14ac:dyDescent="0.35">
      <c r="A103" s="1">
        <v>46217</v>
      </c>
      <c r="B103" t="s">
        <v>12</v>
      </c>
      <c r="C103" t="s">
        <v>13</v>
      </c>
      <c r="D103" t="s">
        <v>14</v>
      </c>
      <c r="F103">
        <v>162</v>
      </c>
      <c r="G103" s="7">
        <v>0.1388888888888889</v>
      </c>
      <c r="H103">
        <f>YEAR(tblKmReales[[#This Row],[Fecha]])</f>
        <v>2026</v>
      </c>
      <c r="I103">
        <f>MONTH(tblKmReales[[#This Row],[Fecha]])</f>
        <v>7</v>
      </c>
      <c r="J103">
        <f>DAY(tblKmReales[[#This Row],[Fecha]])</f>
        <v>14</v>
      </c>
    </row>
    <row r="104" spans="1:11" x14ac:dyDescent="0.35">
      <c r="A104" s="1">
        <v>46217</v>
      </c>
      <c r="B104" t="s">
        <v>15</v>
      </c>
      <c r="C104" t="s">
        <v>13</v>
      </c>
      <c r="D104" t="s">
        <v>14</v>
      </c>
      <c r="F104">
        <v>197</v>
      </c>
      <c r="G104" s="7">
        <v>0.40277777777777779</v>
      </c>
      <c r="H104">
        <f>YEAR(tblKmReales[[#This Row],[Fecha]])</f>
        <v>2026</v>
      </c>
      <c r="I104">
        <f>MONTH(tblKmReales[[#This Row],[Fecha]])</f>
        <v>7</v>
      </c>
      <c r="J104">
        <f>DAY(tblKmReales[[#This Row],[Fecha]])</f>
        <v>14</v>
      </c>
    </row>
    <row r="105" spans="1:11" x14ac:dyDescent="0.35">
      <c r="A105" s="1">
        <v>46216</v>
      </c>
      <c r="B105" t="s">
        <v>12</v>
      </c>
      <c r="C105" t="s">
        <v>13</v>
      </c>
      <c r="D105" t="s">
        <v>14</v>
      </c>
      <c r="F105">
        <v>247</v>
      </c>
      <c r="G105" s="7">
        <v>0.34027777777777779</v>
      </c>
      <c r="H105">
        <f>YEAR(tblKmReales[[#This Row],[Fecha]])</f>
        <v>2026</v>
      </c>
      <c r="I105">
        <f>MONTH(tblKmReales[[#This Row],[Fecha]])</f>
        <v>7</v>
      </c>
      <c r="J105">
        <f>DAY(tblKmReales[[#This Row],[Fecha]])</f>
        <v>13</v>
      </c>
    </row>
    <row r="106" spans="1:11" x14ac:dyDescent="0.35">
      <c r="A106" s="1">
        <v>46216</v>
      </c>
      <c r="B106" t="s">
        <v>15</v>
      </c>
      <c r="C106" t="s">
        <v>13</v>
      </c>
      <c r="D106" t="s">
        <v>14</v>
      </c>
      <c r="F106">
        <v>51.2</v>
      </c>
      <c r="G106" s="7">
        <v>0.14583333333333334</v>
      </c>
      <c r="H106">
        <f>YEAR(tblKmReales[[#This Row],[Fecha]])</f>
        <v>2026</v>
      </c>
      <c r="I106">
        <f>MONTH(tblKmReales[[#This Row],[Fecha]])</f>
        <v>7</v>
      </c>
      <c r="J106">
        <f>DAY(tblKmReales[[#This Row],[Fecha]])</f>
        <v>13</v>
      </c>
    </row>
    <row r="107" spans="1:11" x14ac:dyDescent="0.35">
      <c r="A107" s="1">
        <v>46216</v>
      </c>
      <c r="B107" t="s">
        <v>26</v>
      </c>
      <c r="C107" t="s">
        <v>13</v>
      </c>
      <c r="D107" t="s">
        <v>14</v>
      </c>
      <c r="F107">
        <v>92.1</v>
      </c>
      <c r="G107">
        <v>3</v>
      </c>
      <c r="H107">
        <f>YEAR(tblKmReales[[#This Row],[Fecha]])</f>
        <v>2026</v>
      </c>
      <c r="I107">
        <f>MONTH(tblKmReales[[#This Row],[Fecha]])</f>
        <v>7</v>
      </c>
      <c r="J107">
        <f>DAY(tblKmReales[[#This Row],[Fecha]])</f>
        <v>13</v>
      </c>
      <c r="K107" t="s">
        <v>27</v>
      </c>
    </row>
    <row r="108" spans="1:11" x14ac:dyDescent="0.35">
      <c r="A108" s="1">
        <v>46215</v>
      </c>
      <c r="B108" t="s">
        <v>12</v>
      </c>
      <c r="C108" t="s">
        <v>13</v>
      </c>
      <c r="D108" t="s">
        <v>17</v>
      </c>
      <c r="E108" t="s">
        <v>28</v>
      </c>
      <c r="F108">
        <v>226</v>
      </c>
      <c r="G108" s="7">
        <v>0.21875</v>
      </c>
      <c r="H108">
        <f>YEAR(tblKmReales[[#This Row],[Fecha]])</f>
        <v>2026</v>
      </c>
      <c r="I108">
        <f>MONTH(tblKmReales[[#This Row],[Fecha]])</f>
        <v>7</v>
      </c>
      <c r="J108">
        <f>DAY(tblKmReales[[#This Row],[Fecha]])</f>
        <v>12</v>
      </c>
    </row>
    <row r="109" spans="1:11" x14ac:dyDescent="0.35">
      <c r="A109" s="1">
        <v>46215</v>
      </c>
      <c r="B109" t="s">
        <v>15</v>
      </c>
      <c r="C109" t="s">
        <v>13</v>
      </c>
      <c r="D109" t="s">
        <v>17</v>
      </c>
      <c r="E109" t="s">
        <v>28</v>
      </c>
      <c r="F109">
        <v>86</v>
      </c>
      <c r="G109">
        <v>3</v>
      </c>
      <c r="H109">
        <f>YEAR(tblKmReales[[#This Row],[Fecha]])</f>
        <v>2026</v>
      </c>
      <c r="I109">
        <f>MONTH(tblKmReales[[#This Row],[Fecha]])</f>
        <v>7</v>
      </c>
      <c r="J109">
        <f>DAY(tblKmReales[[#This Row],[Fecha]])</f>
        <v>12</v>
      </c>
    </row>
    <row r="110" spans="1:11" x14ac:dyDescent="0.35">
      <c r="A110" s="1">
        <v>46214</v>
      </c>
      <c r="B110" t="s">
        <v>12</v>
      </c>
      <c r="C110" t="s">
        <v>13</v>
      </c>
      <c r="D110" t="s">
        <v>17</v>
      </c>
      <c r="E110" t="s">
        <v>28</v>
      </c>
      <c r="F110">
        <v>145.69999999999999</v>
      </c>
      <c r="G110" s="7">
        <v>0.22916666666666666</v>
      </c>
      <c r="H110">
        <f>YEAR(tblKmReales[[#This Row],[Fecha]])</f>
        <v>2026</v>
      </c>
      <c r="I110">
        <f>MONTH(tblKmReales[[#This Row],[Fecha]])</f>
        <v>7</v>
      </c>
      <c r="J110">
        <f>DAY(tblKmReales[[#This Row],[Fecha]])</f>
        <v>11</v>
      </c>
    </row>
    <row r="111" spans="1:11" x14ac:dyDescent="0.35">
      <c r="A111" s="1">
        <v>46214</v>
      </c>
      <c r="B111" t="s">
        <v>15</v>
      </c>
      <c r="C111" t="s">
        <v>13</v>
      </c>
      <c r="D111" t="s">
        <v>17</v>
      </c>
      <c r="F111">
        <v>142.19999999999999</v>
      </c>
      <c r="G111" s="7">
        <v>0.14583333333333334</v>
      </c>
      <c r="H111">
        <f>YEAR(tblKmReales[[#This Row],[Fecha]])</f>
        <v>2026</v>
      </c>
      <c r="I111">
        <f>MONTH(tblKmReales[[#This Row],[Fecha]])</f>
        <v>7</v>
      </c>
      <c r="J111">
        <f>DAY(tblKmReales[[#This Row],[Fecha]])</f>
        <v>11</v>
      </c>
    </row>
    <row r="112" spans="1:11" x14ac:dyDescent="0.35">
      <c r="A112" s="1">
        <v>46213</v>
      </c>
      <c r="B112" t="s">
        <v>12</v>
      </c>
      <c r="C112" t="s">
        <v>13</v>
      </c>
      <c r="D112" t="s">
        <v>14</v>
      </c>
      <c r="F112">
        <v>224</v>
      </c>
      <c r="G112" s="7">
        <v>0.2951388888888889</v>
      </c>
      <c r="H112">
        <f>YEAR(tblKmReales[[#This Row],[Fecha]])</f>
        <v>2026</v>
      </c>
      <c r="I112">
        <f>MONTH(tblKmReales[[#This Row],[Fecha]])</f>
        <v>7</v>
      </c>
      <c r="J112">
        <f>DAY(tblKmReales[[#This Row],[Fecha]])</f>
        <v>10</v>
      </c>
    </row>
    <row r="113" spans="1:10" x14ac:dyDescent="0.35">
      <c r="A113" s="1">
        <v>46213</v>
      </c>
      <c r="B113" t="s">
        <v>15</v>
      </c>
      <c r="C113" t="s">
        <v>13</v>
      </c>
      <c r="D113" t="s">
        <v>14</v>
      </c>
      <c r="F113">
        <v>143.4</v>
      </c>
      <c r="G113" s="7">
        <v>0.21527777777777779</v>
      </c>
      <c r="H113">
        <f>YEAR(tblKmReales[[#This Row],[Fecha]])</f>
        <v>2026</v>
      </c>
      <c r="I113">
        <f>MONTH(tblKmReales[[#This Row],[Fecha]])</f>
        <v>7</v>
      </c>
      <c r="J113">
        <f>DAY(tblKmReales[[#This Row],[Fecha]])</f>
        <v>10</v>
      </c>
    </row>
    <row r="114" spans="1:10" x14ac:dyDescent="0.35">
      <c r="A114" s="1">
        <v>46212</v>
      </c>
      <c r="B114" t="s">
        <v>12</v>
      </c>
      <c r="C114" t="s">
        <v>13</v>
      </c>
      <c r="D114" t="s">
        <v>14</v>
      </c>
      <c r="F114">
        <v>252.4</v>
      </c>
      <c r="G114" s="7">
        <v>0.3263888888888889</v>
      </c>
      <c r="H114">
        <f>YEAR(tblKmReales[[#This Row],[Fecha]])</f>
        <v>2026</v>
      </c>
      <c r="I114">
        <f>MONTH(tblKmReales[[#This Row],[Fecha]])</f>
        <v>7</v>
      </c>
      <c r="J114">
        <f>DAY(tblKmReales[[#This Row],[Fecha]])</f>
        <v>9</v>
      </c>
    </row>
    <row r="115" spans="1:10" x14ac:dyDescent="0.35">
      <c r="A115" s="1">
        <v>46212</v>
      </c>
      <c r="B115" t="s">
        <v>15</v>
      </c>
      <c r="C115" t="s">
        <v>13</v>
      </c>
      <c r="D115" t="s">
        <v>17</v>
      </c>
      <c r="E115" t="s">
        <v>14</v>
      </c>
      <c r="F115">
        <v>111.1</v>
      </c>
      <c r="G115" s="7">
        <v>0.1388888888888889</v>
      </c>
      <c r="H115">
        <f>YEAR(tblKmReales[[#This Row],[Fecha]])</f>
        <v>2026</v>
      </c>
      <c r="I115">
        <f>MONTH(tblKmReales[[#This Row],[Fecha]])</f>
        <v>7</v>
      </c>
      <c r="J115">
        <f>DAY(tblKmReales[[#This Row],[Fecha]])</f>
        <v>9</v>
      </c>
    </row>
    <row r="116" spans="1:10" x14ac:dyDescent="0.35">
      <c r="A116" s="1">
        <v>46211</v>
      </c>
      <c r="B116" t="s">
        <v>12</v>
      </c>
      <c r="C116" t="s">
        <v>13</v>
      </c>
      <c r="D116" t="s">
        <v>14</v>
      </c>
      <c r="F116">
        <v>131</v>
      </c>
      <c r="G116" s="7">
        <v>0.32847222222222222</v>
      </c>
      <c r="H116">
        <f>YEAR(tblKmReales[[#This Row],[Fecha]])</f>
        <v>2026</v>
      </c>
      <c r="I116">
        <f>MONTH(tblKmReales[[#This Row],[Fecha]])</f>
        <v>7</v>
      </c>
      <c r="J116">
        <f>DAY(tblKmReales[[#This Row],[Fecha]])</f>
        <v>8</v>
      </c>
    </row>
    <row r="117" spans="1:10" x14ac:dyDescent="0.35">
      <c r="A117" s="1">
        <v>46211</v>
      </c>
      <c r="B117" t="s">
        <v>15</v>
      </c>
      <c r="C117" t="s">
        <v>13</v>
      </c>
      <c r="D117" t="s">
        <v>17</v>
      </c>
      <c r="E117" t="s">
        <v>14</v>
      </c>
      <c r="F117">
        <v>97.8</v>
      </c>
      <c r="G117" s="7">
        <v>0.15625</v>
      </c>
      <c r="H117">
        <f>YEAR(tblKmReales[[#This Row],[Fecha]])</f>
        <v>2026</v>
      </c>
      <c r="I117">
        <f>MONTH(tblKmReales[[#This Row],[Fecha]])</f>
        <v>7</v>
      </c>
      <c r="J117">
        <f>DAY(tblKmReales[[#This Row],[Fecha]])</f>
        <v>8</v>
      </c>
    </row>
    <row r="118" spans="1:10" x14ac:dyDescent="0.35">
      <c r="A118" s="1">
        <v>46210</v>
      </c>
      <c r="B118" t="s">
        <v>12</v>
      </c>
      <c r="C118" t="s">
        <v>13</v>
      </c>
      <c r="D118" t="s">
        <v>14</v>
      </c>
      <c r="F118">
        <v>241.9</v>
      </c>
      <c r="G118" s="7">
        <v>0.3125</v>
      </c>
      <c r="H118">
        <f>YEAR(tblKmReales[[#This Row],[Fecha]])</f>
        <v>2026</v>
      </c>
      <c r="I118">
        <f>MONTH(tblKmReales[[#This Row],[Fecha]])</f>
        <v>7</v>
      </c>
      <c r="J118">
        <f>DAY(tblKmReales[[#This Row],[Fecha]])</f>
        <v>7</v>
      </c>
    </row>
    <row r="119" spans="1:10" x14ac:dyDescent="0.35">
      <c r="A119" s="1">
        <v>46210</v>
      </c>
      <c r="B119" t="s">
        <v>15</v>
      </c>
      <c r="C119" t="s">
        <v>13</v>
      </c>
      <c r="D119" t="s">
        <v>17</v>
      </c>
      <c r="E119" t="s">
        <v>14</v>
      </c>
      <c r="F119">
        <v>136.30000000000001</v>
      </c>
      <c r="G119">
        <v>5</v>
      </c>
      <c r="H119">
        <f>YEAR(tblKmReales[[#This Row],[Fecha]])</f>
        <v>2026</v>
      </c>
      <c r="I119">
        <f>MONTH(tblKmReales[[#This Row],[Fecha]])</f>
        <v>7</v>
      </c>
      <c r="J119">
        <f>DAY(tblKmReales[[#This Row],[Fecha]])</f>
        <v>7</v>
      </c>
    </row>
    <row r="120" spans="1:10" x14ac:dyDescent="0.35">
      <c r="A120" s="1">
        <v>46209</v>
      </c>
      <c r="B120" t="s">
        <v>12</v>
      </c>
      <c r="C120" t="s">
        <v>13</v>
      </c>
      <c r="D120" t="s">
        <v>14</v>
      </c>
      <c r="F120">
        <v>205.6</v>
      </c>
      <c r="G120">
        <v>8</v>
      </c>
      <c r="H120">
        <f>YEAR(tblKmReales[[#This Row],[Fecha]])</f>
        <v>2026</v>
      </c>
      <c r="I120">
        <f>MONTH(tblKmReales[[#This Row],[Fecha]])</f>
        <v>7</v>
      </c>
      <c r="J120">
        <f>DAY(tblKmReales[[#This Row],[Fecha]])</f>
        <v>6</v>
      </c>
    </row>
    <row r="121" spans="1:10" x14ac:dyDescent="0.35">
      <c r="A121" s="1">
        <v>46209</v>
      </c>
      <c r="B121" t="s">
        <v>15</v>
      </c>
      <c r="C121" t="s">
        <v>13</v>
      </c>
      <c r="D121" t="s">
        <v>17</v>
      </c>
      <c r="E121" t="s">
        <v>14</v>
      </c>
      <c r="F121">
        <v>119.2</v>
      </c>
      <c r="G121">
        <v>5</v>
      </c>
      <c r="H121">
        <f>YEAR(tblKmReales[[#This Row],[Fecha]])</f>
        <v>2026</v>
      </c>
      <c r="I121">
        <f>MONTH(tblKmReales[[#This Row],[Fecha]])</f>
        <v>7</v>
      </c>
      <c r="J121">
        <f>DAY(tblKmReales[[#This Row],[Fecha]])</f>
        <v>6</v>
      </c>
    </row>
    <row r="122" spans="1:10" x14ac:dyDescent="0.35">
      <c r="A122" s="1">
        <v>46208</v>
      </c>
      <c r="B122" t="s">
        <v>12</v>
      </c>
      <c r="C122" t="s">
        <v>13</v>
      </c>
      <c r="D122" t="s">
        <v>14</v>
      </c>
      <c r="F122">
        <v>164</v>
      </c>
      <c r="G122" s="7">
        <v>0.28472222222222221</v>
      </c>
      <c r="H122">
        <f>YEAR(tblKmReales[[#This Row],[Fecha]])</f>
        <v>2026</v>
      </c>
      <c r="I122">
        <f>MONTH(tblKmReales[[#This Row],[Fecha]])</f>
        <v>7</v>
      </c>
      <c r="J122">
        <f>DAY(tblKmReales[[#This Row],[Fecha]])</f>
        <v>5</v>
      </c>
    </row>
    <row r="123" spans="1:10" x14ac:dyDescent="0.35">
      <c r="A123" s="1">
        <v>46208</v>
      </c>
      <c r="B123" t="s">
        <v>15</v>
      </c>
      <c r="C123" t="s">
        <v>13</v>
      </c>
      <c r="D123" t="s">
        <v>14</v>
      </c>
      <c r="F123">
        <v>137</v>
      </c>
      <c r="G123" s="7">
        <v>0.22222222222222221</v>
      </c>
      <c r="H123">
        <f>YEAR(tblKmReales[[#This Row],[Fecha]])</f>
        <v>2026</v>
      </c>
      <c r="I123">
        <f>MONTH(tblKmReales[[#This Row],[Fecha]])</f>
        <v>7</v>
      </c>
      <c r="J123">
        <f>DAY(tblKmReales[[#This Row],[Fecha]])</f>
        <v>5</v>
      </c>
    </row>
    <row r="124" spans="1:10" x14ac:dyDescent="0.35">
      <c r="A124" s="1">
        <v>46207</v>
      </c>
      <c r="B124" t="s">
        <v>12</v>
      </c>
      <c r="C124" t="s">
        <v>13</v>
      </c>
      <c r="D124" t="s">
        <v>14</v>
      </c>
      <c r="F124">
        <v>222</v>
      </c>
      <c r="H124">
        <f>YEAR(tblKmReales[[#This Row],[Fecha]])</f>
        <v>2026</v>
      </c>
      <c r="I124">
        <f>MONTH(tblKmReales[[#This Row],[Fecha]])</f>
        <v>7</v>
      </c>
      <c r="J124">
        <f>DAY(tblKmReales[[#This Row],[Fecha]])</f>
        <v>4</v>
      </c>
    </row>
    <row r="125" spans="1:10" x14ac:dyDescent="0.35">
      <c r="A125" s="1">
        <v>46206</v>
      </c>
      <c r="B125" t="s">
        <v>12</v>
      </c>
      <c r="C125" t="s">
        <v>13</v>
      </c>
      <c r="D125" t="s">
        <v>14</v>
      </c>
      <c r="F125">
        <v>243.3</v>
      </c>
      <c r="G125" s="7">
        <v>0.53402777777777777</v>
      </c>
      <c r="H125">
        <f>YEAR(tblKmReales[[#This Row],[Fecha]])</f>
        <v>2026</v>
      </c>
      <c r="I125">
        <f>MONTH(tblKmReales[[#This Row],[Fecha]])</f>
        <v>7</v>
      </c>
      <c r="J125">
        <f>DAY(tblKmReales[[#This Row],[Fecha]])</f>
        <v>3</v>
      </c>
    </row>
    <row r="126" spans="1:10" x14ac:dyDescent="0.35">
      <c r="A126" s="1">
        <v>46205</v>
      </c>
      <c r="B126" t="s">
        <v>12</v>
      </c>
      <c r="C126" t="s">
        <v>13</v>
      </c>
      <c r="D126" t="s">
        <v>14</v>
      </c>
      <c r="F126">
        <v>157.1</v>
      </c>
      <c r="G126">
        <v>8</v>
      </c>
      <c r="H126">
        <f>YEAR(tblKmReales[[#This Row],[Fecha]])</f>
        <v>2026</v>
      </c>
      <c r="I126">
        <f>MONTH(tblKmReales[[#This Row],[Fecha]])</f>
        <v>7</v>
      </c>
      <c r="J126">
        <f>DAY(tblKmReales[[#This Row],[Fecha]])</f>
        <v>2</v>
      </c>
    </row>
    <row r="127" spans="1:10" x14ac:dyDescent="0.35">
      <c r="A127" s="1">
        <v>46205</v>
      </c>
      <c r="B127" t="s">
        <v>15</v>
      </c>
      <c r="C127" t="s">
        <v>13</v>
      </c>
      <c r="D127" t="s">
        <v>17</v>
      </c>
      <c r="E127" t="s">
        <v>14</v>
      </c>
      <c r="F127">
        <v>131.5</v>
      </c>
      <c r="G127">
        <v>6</v>
      </c>
      <c r="H127">
        <f>YEAR(tblKmReales[[#This Row],[Fecha]])</f>
        <v>2026</v>
      </c>
      <c r="I127">
        <f>MONTH(tblKmReales[[#This Row],[Fecha]])</f>
        <v>7</v>
      </c>
      <c r="J127">
        <f>DAY(tblKmReales[[#This Row],[Fecha]])</f>
        <v>2</v>
      </c>
    </row>
    <row r="128" spans="1:10" x14ac:dyDescent="0.35">
      <c r="A128" s="1">
        <v>46204</v>
      </c>
      <c r="B128" t="s">
        <v>12</v>
      </c>
      <c r="C128" t="s">
        <v>13</v>
      </c>
      <c r="D128" t="s">
        <v>14</v>
      </c>
      <c r="F128">
        <v>87.4</v>
      </c>
      <c r="G128" s="7">
        <v>0.35416666666666669</v>
      </c>
      <c r="H128">
        <f>YEAR(tblKmReales[[#This Row],[Fecha]])</f>
        <v>2026</v>
      </c>
      <c r="I128">
        <f>MONTH(tblKmReales[[#This Row],[Fecha]])</f>
        <v>7</v>
      </c>
      <c r="J128">
        <f>DAY(tblKmReales[[#This Row],[Fecha]])</f>
        <v>1</v>
      </c>
    </row>
    <row r="129" spans="1:11" x14ac:dyDescent="0.35">
      <c r="A129" s="1">
        <v>46204</v>
      </c>
      <c r="B129" t="s">
        <v>15</v>
      </c>
      <c r="C129" t="s">
        <v>13</v>
      </c>
      <c r="D129" t="s">
        <v>17</v>
      </c>
      <c r="E129" t="s">
        <v>14</v>
      </c>
      <c r="F129">
        <v>102</v>
      </c>
      <c r="G129">
        <v>4</v>
      </c>
      <c r="H129">
        <f>YEAR(tblKmReales[[#This Row],[Fecha]])</f>
        <v>2026</v>
      </c>
      <c r="I129">
        <f>MONTH(tblKmReales[[#This Row],[Fecha]])</f>
        <v>7</v>
      </c>
      <c r="J129">
        <f>DAY(tblKmReales[[#This Row],[Fecha]])</f>
        <v>1</v>
      </c>
      <c r="K129" t="s">
        <v>29</v>
      </c>
    </row>
    <row r="130" spans="1:11" x14ac:dyDescent="0.35">
      <c r="A130" s="1">
        <v>46203</v>
      </c>
      <c r="B130" t="s">
        <v>12</v>
      </c>
      <c r="C130" t="s">
        <v>13</v>
      </c>
      <c r="D130" t="s">
        <v>14</v>
      </c>
      <c r="F130">
        <v>192.8</v>
      </c>
      <c r="G130">
        <v>10</v>
      </c>
      <c r="H130">
        <f>YEAR(tblKmReales[[#This Row],[Fecha]])</f>
        <v>2026</v>
      </c>
      <c r="I130">
        <f>MONTH(tblKmReales[[#This Row],[Fecha]])</f>
        <v>6</v>
      </c>
      <c r="J130">
        <f>DAY(tblKmReales[[#This Row],[Fecha]])</f>
        <v>30</v>
      </c>
    </row>
    <row r="131" spans="1:11" x14ac:dyDescent="0.35">
      <c r="A131" s="1">
        <v>46203</v>
      </c>
      <c r="B131" t="s">
        <v>15</v>
      </c>
      <c r="C131" t="s">
        <v>13</v>
      </c>
      <c r="D131" t="s">
        <v>17</v>
      </c>
      <c r="F131">
        <v>132</v>
      </c>
      <c r="G131">
        <v>5</v>
      </c>
      <c r="H131">
        <f>YEAR(tblKmReales[[#This Row],[Fecha]])</f>
        <v>2026</v>
      </c>
      <c r="I131">
        <f>MONTH(tblKmReales[[#This Row],[Fecha]])</f>
        <v>6</v>
      </c>
      <c r="J131">
        <f>DAY(tblKmReales[[#This Row],[Fecha]])</f>
        <v>30</v>
      </c>
    </row>
    <row r="132" spans="1:11" x14ac:dyDescent="0.35">
      <c r="A132" s="1">
        <v>46202</v>
      </c>
      <c r="B132" t="s">
        <v>12</v>
      </c>
      <c r="C132" t="s">
        <v>13</v>
      </c>
      <c r="D132" t="s">
        <v>14</v>
      </c>
      <c r="F132">
        <v>236</v>
      </c>
      <c r="G132" s="7">
        <v>0.43402777777777779</v>
      </c>
      <c r="H132">
        <f>YEAR(tblKmReales[[#This Row],[Fecha]])</f>
        <v>2026</v>
      </c>
      <c r="I132">
        <f>MONTH(tblKmReales[[#This Row],[Fecha]])</f>
        <v>6</v>
      </c>
      <c r="J132">
        <f>DAY(tblKmReales[[#This Row],[Fecha]])</f>
        <v>29</v>
      </c>
      <c r="K132" t="s">
        <v>30</v>
      </c>
    </row>
    <row r="133" spans="1:11" x14ac:dyDescent="0.35">
      <c r="A133" s="1">
        <v>46202</v>
      </c>
      <c r="B133" t="s">
        <v>15</v>
      </c>
      <c r="C133" t="s">
        <v>13</v>
      </c>
      <c r="D133" t="s">
        <v>17</v>
      </c>
      <c r="F133">
        <v>180.1</v>
      </c>
      <c r="G133">
        <v>6.3</v>
      </c>
      <c r="H133">
        <f>YEAR(tblKmReales[[#This Row],[Fecha]])</f>
        <v>2026</v>
      </c>
      <c r="I133">
        <f>MONTH(tblKmReales[[#This Row],[Fecha]])</f>
        <v>6</v>
      </c>
      <c r="J133">
        <f>DAY(tblKmReales[[#This Row],[Fecha]])</f>
        <v>29</v>
      </c>
    </row>
    <row r="134" spans="1:11" x14ac:dyDescent="0.35">
      <c r="A134" s="1">
        <v>46201</v>
      </c>
      <c r="B134" t="s">
        <v>12</v>
      </c>
      <c r="C134" t="s">
        <v>13</v>
      </c>
      <c r="D134" t="s">
        <v>14</v>
      </c>
      <c r="F134">
        <v>170</v>
      </c>
      <c r="G134">
        <v>7</v>
      </c>
      <c r="H134">
        <f>YEAR(tblKmReales[[#This Row],[Fecha]])</f>
        <v>2026</v>
      </c>
      <c r="I134">
        <f>MONTH(tblKmReales[[#This Row],[Fecha]])</f>
        <v>6</v>
      </c>
      <c r="J134">
        <f>DAY(tblKmReales[[#This Row],[Fecha]])</f>
        <v>28</v>
      </c>
    </row>
    <row r="135" spans="1:11" x14ac:dyDescent="0.35">
      <c r="A135" s="1">
        <v>46200</v>
      </c>
      <c r="B135" t="s">
        <v>12</v>
      </c>
      <c r="C135" t="s">
        <v>13</v>
      </c>
      <c r="D135" t="s">
        <v>14</v>
      </c>
      <c r="F135">
        <v>315</v>
      </c>
      <c r="G135" s="7">
        <v>0.41249999999999998</v>
      </c>
      <c r="H135">
        <f>YEAR(tblKmReales[[#This Row],[Fecha]])</f>
        <v>2026</v>
      </c>
      <c r="I135">
        <f>MONTH(tblKmReales[[#This Row],[Fecha]])</f>
        <v>6</v>
      </c>
      <c r="J135">
        <f>DAY(tblKmReales[[#This Row],[Fecha]])</f>
        <v>27</v>
      </c>
    </row>
    <row r="136" spans="1:11" x14ac:dyDescent="0.35">
      <c r="A136" s="1">
        <v>46199</v>
      </c>
      <c r="B136" t="s">
        <v>12</v>
      </c>
      <c r="C136" t="s">
        <v>13</v>
      </c>
      <c r="D136" t="s">
        <v>14</v>
      </c>
      <c r="F136">
        <v>249</v>
      </c>
      <c r="G136" s="7">
        <v>0.30555555555555558</v>
      </c>
      <c r="H136">
        <f>YEAR(tblKmReales[[#This Row],[Fecha]])</f>
        <v>2026</v>
      </c>
      <c r="I136">
        <f>MONTH(tblKmReales[[#This Row],[Fecha]])</f>
        <v>6</v>
      </c>
      <c r="J136">
        <f>DAY(tblKmReales[[#This Row],[Fecha]])</f>
        <v>26</v>
      </c>
    </row>
    <row r="137" spans="1:11" x14ac:dyDescent="0.35">
      <c r="A137" s="1">
        <v>46199</v>
      </c>
      <c r="B137" t="s">
        <v>15</v>
      </c>
      <c r="C137" t="s">
        <v>13</v>
      </c>
      <c r="D137" t="s">
        <v>14</v>
      </c>
      <c r="F137">
        <v>171</v>
      </c>
      <c r="G137">
        <v>8</v>
      </c>
      <c r="H137">
        <f>YEAR(tblKmReales[[#This Row],[Fecha]])</f>
        <v>2026</v>
      </c>
      <c r="I137">
        <f>MONTH(tblKmReales[[#This Row],[Fecha]])</f>
        <v>6</v>
      </c>
      <c r="J137">
        <f>DAY(tblKmReales[[#This Row],[Fecha]])</f>
        <v>26</v>
      </c>
    </row>
    <row r="138" spans="1:11" x14ac:dyDescent="0.35">
      <c r="A138" s="1">
        <v>46198</v>
      </c>
      <c r="B138" t="s">
        <v>12</v>
      </c>
      <c r="C138" t="s">
        <v>13</v>
      </c>
      <c r="D138" t="s">
        <v>14</v>
      </c>
      <c r="F138">
        <v>247</v>
      </c>
      <c r="G138">
        <v>10</v>
      </c>
      <c r="H138">
        <f>YEAR(tblKmReales[[#This Row],[Fecha]])</f>
        <v>2026</v>
      </c>
      <c r="I138">
        <f>MONTH(tblKmReales[[#This Row],[Fecha]])</f>
        <v>6</v>
      </c>
      <c r="J138">
        <f>DAY(tblKmReales[[#This Row],[Fecha]])</f>
        <v>25</v>
      </c>
    </row>
    <row r="139" spans="1:11" x14ac:dyDescent="0.35">
      <c r="A139" s="1">
        <v>46197</v>
      </c>
      <c r="B139" t="s">
        <v>12</v>
      </c>
      <c r="C139" t="s">
        <v>13</v>
      </c>
      <c r="D139" t="s">
        <v>14</v>
      </c>
      <c r="F139">
        <v>258</v>
      </c>
      <c r="G139" s="7">
        <v>0.40347222222222223</v>
      </c>
      <c r="H139">
        <f>YEAR(tblKmReales[[#This Row],[Fecha]])</f>
        <v>2026</v>
      </c>
      <c r="I139">
        <f>MONTH(tblKmReales[[#This Row],[Fecha]])</f>
        <v>6</v>
      </c>
      <c r="J139">
        <f>DAY(tblKmReales[[#This Row],[Fecha]])</f>
        <v>24</v>
      </c>
    </row>
    <row r="140" spans="1:11" x14ac:dyDescent="0.35">
      <c r="A140" s="1">
        <v>46196</v>
      </c>
      <c r="B140" t="s">
        <v>12</v>
      </c>
      <c r="C140" t="s">
        <v>13</v>
      </c>
      <c r="D140" t="s">
        <v>14</v>
      </c>
      <c r="F140">
        <v>220</v>
      </c>
      <c r="G140">
        <v>9</v>
      </c>
      <c r="H140">
        <f>YEAR(tblKmReales[[#This Row],[Fecha]])</f>
        <v>2026</v>
      </c>
      <c r="I140">
        <f>MONTH(tblKmReales[[#This Row],[Fecha]])</f>
        <v>6</v>
      </c>
      <c r="J140">
        <f>DAY(tblKmReales[[#This Row],[Fecha]])</f>
        <v>23</v>
      </c>
    </row>
    <row r="141" spans="1:11" x14ac:dyDescent="0.35">
      <c r="A141" s="1">
        <v>46195</v>
      </c>
      <c r="B141" t="s">
        <v>12</v>
      </c>
      <c r="C141" t="s">
        <v>13</v>
      </c>
      <c r="D141" t="s">
        <v>14</v>
      </c>
      <c r="F141">
        <v>280</v>
      </c>
      <c r="G141">
        <v>7</v>
      </c>
      <c r="H141">
        <f>YEAR(tblKmReales[[#This Row],[Fecha]])</f>
        <v>2026</v>
      </c>
      <c r="I141">
        <f>MONTH(tblKmReales[[#This Row],[Fecha]])</f>
        <v>6</v>
      </c>
      <c r="J141">
        <f>DAY(tblKmReales[[#This Row],[Fecha]])</f>
        <v>22</v>
      </c>
    </row>
    <row r="142" spans="1:11" x14ac:dyDescent="0.35">
      <c r="A142" s="1">
        <v>46195</v>
      </c>
      <c r="B142" t="s">
        <v>31</v>
      </c>
      <c r="C142" t="s">
        <v>13</v>
      </c>
      <c r="D142" t="s">
        <v>14</v>
      </c>
      <c r="F142">
        <v>110</v>
      </c>
      <c r="G142">
        <v>4</v>
      </c>
      <c r="H142">
        <f>YEAR(tblKmReales[[#This Row],[Fecha]])</f>
        <v>2026</v>
      </c>
      <c r="I142">
        <f>MONTH(tblKmReales[[#This Row],[Fecha]])</f>
        <v>6</v>
      </c>
      <c r="J142">
        <f>DAY(tblKmReales[[#This Row],[Fecha]])</f>
        <v>22</v>
      </c>
    </row>
    <row r="143" spans="1:11" x14ac:dyDescent="0.35">
      <c r="A143" s="1">
        <v>46194</v>
      </c>
      <c r="B143" t="s">
        <v>12</v>
      </c>
      <c r="C143" t="s">
        <v>13</v>
      </c>
      <c r="D143" t="s">
        <v>14</v>
      </c>
      <c r="F143">
        <v>184</v>
      </c>
      <c r="H143">
        <f>YEAR(tblKmReales[[#This Row],[Fecha]])</f>
        <v>2026</v>
      </c>
      <c r="I143">
        <f>MONTH(tblKmReales[[#This Row],[Fecha]])</f>
        <v>6</v>
      </c>
      <c r="J143">
        <f>DAY(tblKmReales[[#This Row],[Fecha]])</f>
        <v>21</v>
      </c>
    </row>
    <row r="144" spans="1:11" x14ac:dyDescent="0.35">
      <c r="A144" s="1">
        <v>46193</v>
      </c>
      <c r="B144" t="s">
        <v>12</v>
      </c>
      <c r="C144" t="s">
        <v>13</v>
      </c>
      <c r="D144" t="s">
        <v>14</v>
      </c>
      <c r="F144">
        <v>300</v>
      </c>
      <c r="H144">
        <f>YEAR(tblKmReales[[#This Row],[Fecha]])</f>
        <v>2026</v>
      </c>
      <c r="I144">
        <f>MONTH(tblKmReales[[#This Row],[Fecha]])</f>
        <v>6</v>
      </c>
      <c r="J144">
        <f>DAY(tblKmReales[[#This Row],[Fecha]])</f>
        <v>20</v>
      </c>
    </row>
    <row r="145" spans="1:10" x14ac:dyDescent="0.35">
      <c r="A145" s="1">
        <v>46192</v>
      </c>
      <c r="B145" t="s">
        <v>12</v>
      </c>
      <c r="C145" t="s">
        <v>13</v>
      </c>
      <c r="D145" t="s">
        <v>14</v>
      </c>
      <c r="F145">
        <v>325</v>
      </c>
      <c r="H145">
        <f>YEAR(tblKmReales[[#This Row],[Fecha]])</f>
        <v>2026</v>
      </c>
      <c r="I145">
        <f>MONTH(tblKmReales[[#This Row],[Fecha]])</f>
        <v>6</v>
      </c>
      <c r="J145">
        <f>DAY(tblKmReales[[#This Row],[Fecha]])</f>
        <v>19</v>
      </c>
    </row>
    <row r="146" spans="1:10" x14ac:dyDescent="0.35">
      <c r="A146" s="1">
        <v>46192</v>
      </c>
      <c r="B146" t="s">
        <v>31</v>
      </c>
      <c r="C146" t="s">
        <v>13</v>
      </c>
      <c r="D146" t="s">
        <v>14</v>
      </c>
      <c r="F146">
        <v>162</v>
      </c>
      <c r="H146">
        <f>YEAR(tblKmReales[[#This Row],[Fecha]])</f>
        <v>2026</v>
      </c>
      <c r="I146">
        <f>MONTH(tblKmReales[[#This Row],[Fecha]])</f>
        <v>6</v>
      </c>
      <c r="J146">
        <f>DAY(tblKmReales[[#This Row],[Fecha]])</f>
        <v>19</v>
      </c>
    </row>
    <row r="147" spans="1:10" x14ac:dyDescent="0.35">
      <c r="A147" s="1">
        <v>46191</v>
      </c>
      <c r="B147" t="s">
        <v>31</v>
      </c>
      <c r="C147" t="s">
        <v>13</v>
      </c>
      <c r="D147" t="s">
        <v>14</v>
      </c>
      <c r="F147">
        <v>94</v>
      </c>
      <c r="H147">
        <f>YEAR(tblKmReales[[#This Row],[Fecha]])</f>
        <v>2026</v>
      </c>
      <c r="I147">
        <f>MONTH(tblKmReales[[#This Row],[Fecha]])</f>
        <v>6</v>
      </c>
      <c r="J147">
        <f>DAY(tblKmReales[[#This Row],[Fecha]])</f>
        <v>18</v>
      </c>
    </row>
    <row r="148" spans="1:10" x14ac:dyDescent="0.35">
      <c r="A148" s="1">
        <v>46190</v>
      </c>
      <c r="B148" t="s">
        <v>31</v>
      </c>
      <c r="C148" t="s">
        <v>13</v>
      </c>
      <c r="D148" t="s">
        <v>14</v>
      </c>
      <c r="F148">
        <v>124</v>
      </c>
      <c r="H148">
        <f>YEAR(tblKmReales[[#This Row],[Fecha]])</f>
        <v>2026</v>
      </c>
      <c r="I148">
        <f>MONTH(tblKmReales[[#This Row],[Fecha]])</f>
        <v>6</v>
      </c>
      <c r="J148">
        <f>DAY(tblKmReales[[#This Row],[Fecha]])</f>
        <v>17</v>
      </c>
    </row>
    <row r="149" spans="1:10" x14ac:dyDescent="0.35">
      <c r="A149" s="1">
        <v>46189</v>
      </c>
      <c r="B149" t="s">
        <v>31</v>
      </c>
      <c r="C149" t="s">
        <v>13</v>
      </c>
      <c r="D149" t="s">
        <v>14</v>
      </c>
      <c r="F149">
        <v>84</v>
      </c>
      <c r="H149">
        <f>YEAR(tblKmReales[[#This Row],[Fecha]])</f>
        <v>2026</v>
      </c>
      <c r="I149">
        <f>MONTH(tblKmReales[[#This Row],[Fecha]])</f>
        <v>6</v>
      </c>
      <c r="J149">
        <f>DAY(tblKmReales[[#This Row],[Fecha]])</f>
        <v>16</v>
      </c>
    </row>
    <row r="150" spans="1:10" x14ac:dyDescent="0.35">
      <c r="A150" s="1">
        <v>46188</v>
      </c>
      <c r="B150" t="s">
        <v>31</v>
      </c>
      <c r="C150" t="s">
        <v>13</v>
      </c>
      <c r="D150" t="s">
        <v>14</v>
      </c>
      <c r="F150">
        <v>264</v>
      </c>
      <c r="H150">
        <f>YEAR(tblKmReales[[#This Row],[Fecha]])</f>
        <v>2026</v>
      </c>
      <c r="I150">
        <f>MONTH(tblKmReales[[#This Row],[Fecha]])</f>
        <v>6</v>
      </c>
      <c r="J150">
        <f>DAY(tblKmReales[[#This Row],[Fecha]])</f>
        <v>15</v>
      </c>
    </row>
  </sheetData>
  <mergeCells count="1">
    <mergeCell ref="A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uevoDia.NuevoDia">
                <anchor moveWithCells="1" sizeWithCells="1">
                  <from>
                    <xdr:col>13</xdr:col>
                    <xdr:colOff>31750</xdr:colOff>
                    <xdr:row>2</xdr:row>
                    <xdr:rowOff>0</xdr:rowOff>
                  </from>
                  <to>
                    <xdr:col>16</xdr:col>
                    <xdr:colOff>19050</xdr:colOff>
                    <xdr:row>4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7ABD197-C57B-44A1-877F-F22B24B95FE4}">
          <x14:formula1>
            <xm:f>'99_Listas'!$D$2</xm:f>
          </x14:formula1>
          <xm:sqref>C151:C1048576</xm:sqref>
        </x14:dataValidation>
        <x14:dataValidation type="list" allowBlank="1" showInputMessage="1" showErrorMessage="1" xr:uid="{79EFA80A-253F-47DA-865C-C1136114C91A}">
          <x14:formula1>
            <xm:f>'99_Listas'!$D$2:$D$5</xm:f>
          </x14:formula1>
          <xm:sqref>E3:E150 D2:D150</xm:sqref>
        </x14:dataValidation>
        <x14:dataValidation type="list" allowBlank="1" showInputMessage="1" showErrorMessage="1" xr:uid="{BB72B29C-1A92-45BE-83BF-B5A259C11930}">
          <x14:formula1>
            <xm:f>'99_Listas'!$C$2:$C$6</xm:f>
          </x14:formula1>
          <xm:sqref>C3:C150</xm:sqref>
        </x14:dataValidation>
        <x14:dataValidation type="list" allowBlank="1" showInputMessage="1" showErrorMessage="1" xr:uid="{A421622E-8C34-42B8-94EF-A16F0B03E339}">
          <x14:formula1>
            <xm:f>'99_Listas'!$B$2:$B$9</xm:f>
          </x14:formula1>
          <xm:sqref>B3:B150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43"/>
  <sheetViews>
    <sheetView zoomScale="96" zoomScaleNormal="100" workbookViewId="0">
      <selection activeCell="A3" sqref="A3"/>
    </sheetView>
  </sheetViews>
  <sheetFormatPr baseColWidth="10" defaultColWidth="8.7265625" defaultRowHeight="14.5" x14ac:dyDescent="0.35"/>
  <cols>
    <col min="1" max="1" width="11.7265625" bestFit="1" customWidth="1"/>
    <col min="2" max="2" width="11.1796875" style="1" bestFit="1" customWidth="1"/>
    <col min="3" max="3" width="15.81640625" bestFit="1" customWidth="1"/>
    <col min="4" max="4" width="19.81640625" bestFit="1" customWidth="1"/>
    <col min="5" max="5" width="26.7265625" bestFit="1" customWidth="1"/>
    <col min="6" max="6" width="19.54296875" bestFit="1" customWidth="1"/>
    <col min="7" max="7" width="25.1796875" bestFit="1" customWidth="1"/>
    <col min="8" max="8" width="26.453125" bestFit="1" customWidth="1"/>
    <col min="9" max="9" width="30.54296875" bestFit="1" customWidth="1"/>
    <col min="10" max="10" width="39.1796875" bestFit="1" customWidth="1"/>
    <col min="11" max="11" width="12.54296875" bestFit="1" customWidth="1"/>
    <col min="12" max="12" width="20.1796875" bestFit="1" customWidth="1"/>
    <col min="13" max="13" width="17.1796875" bestFit="1" customWidth="1"/>
    <col min="14" max="14" width="18.54296875" bestFit="1" customWidth="1"/>
    <col min="15" max="15" width="9.1796875" bestFit="1" customWidth="1"/>
    <col min="16" max="16" width="5" hidden="1" customWidth="1"/>
    <col min="17" max="17" width="5.54296875" hidden="1" customWidth="1"/>
    <col min="18" max="18" width="11.1796875" hidden="1" customWidth="1"/>
    <col min="19" max="19" width="11.54296875" bestFit="1" customWidth="1"/>
    <col min="20" max="20" width="59" bestFit="1" customWidth="1"/>
  </cols>
  <sheetData>
    <row r="1" spans="1:20" x14ac:dyDescent="0.35">
      <c r="A1" t="s">
        <v>32</v>
      </c>
      <c r="B1" s="1" t="s">
        <v>1</v>
      </c>
      <c r="C1" t="s">
        <v>33</v>
      </c>
      <c r="D1" t="s">
        <v>34</v>
      </c>
      <c r="E1" t="s">
        <v>2</v>
      </c>
      <c r="F1" t="s">
        <v>3</v>
      </c>
      <c r="G1" t="s">
        <v>4</v>
      </c>
      <c r="H1" t="s">
        <v>5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8</v>
      </c>
      <c r="Q1" t="s">
        <v>9</v>
      </c>
      <c r="R1" t="s">
        <v>42</v>
      </c>
      <c r="S1" t="s">
        <v>43</v>
      </c>
      <c r="T1" t="s">
        <v>44</v>
      </c>
    </row>
    <row r="2" spans="1:20" x14ac:dyDescent="0.35">
      <c r="A2" t="s">
        <v>798</v>
      </c>
      <c r="B2" s="1">
        <v>46272</v>
      </c>
      <c r="C2" t="s">
        <v>46</v>
      </c>
      <c r="D2" t="s">
        <v>47</v>
      </c>
      <c r="E2" t="s">
        <v>12</v>
      </c>
      <c r="F2" t="s">
        <v>13</v>
      </c>
      <c r="G2" t="s">
        <v>14</v>
      </c>
      <c r="I2" t="s">
        <v>48</v>
      </c>
      <c r="J2" t="s">
        <v>48</v>
      </c>
      <c r="K2">
        <v>189.2</v>
      </c>
      <c r="L2" s="2"/>
      <c r="N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" t="s">
        <v>49</v>
      </c>
      <c r="P2" s="70">
        <f>YEAR(tblServicios[[#This Row],[Fecha]])</f>
        <v>2026</v>
      </c>
      <c r="Q2" s="70">
        <f>MONTH(tblServicios[[#This Row],[Fecha]])</f>
        <v>9</v>
      </c>
      <c r="R2" s="70">
        <f>ROUNDUP(MONTH(tblServicios[[#This Row],[Fecha]])/3,0)</f>
        <v>3</v>
      </c>
    </row>
    <row r="3" spans="1:20" x14ac:dyDescent="0.35">
      <c r="A3" t="s">
        <v>797</v>
      </c>
      <c r="B3" s="1">
        <v>46272</v>
      </c>
      <c r="C3" t="s">
        <v>46</v>
      </c>
      <c r="D3" t="s">
        <v>47</v>
      </c>
      <c r="E3" t="s">
        <v>15</v>
      </c>
      <c r="F3" t="s">
        <v>13</v>
      </c>
      <c r="G3" t="s">
        <v>17</v>
      </c>
      <c r="I3" t="s">
        <v>48</v>
      </c>
      <c r="J3" t="s">
        <v>48</v>
      </c>
      <c r="K3">
        <v>63.6</v>
      </c>
      <c r="L3" s="2"/>
      <c r="N3" s="2">
        <v>120</v>
      </c>
      <c r="O3" t="s">
        <v>49</v>
      </c>
      <c r="P3" s="70">
        <f>YEAR(tblServicios[[#This Row],[Fecha]])</f>
        <v>2026</v>
      </c>
      <c r="Q3" s="70">
        <f>MONTH(tblServicios[[#This Row],[Fecha]])</f>
        <v>9</v>
      </c>
      <c r="R3" s="70">
        <f>ROUNDUP(MONTH(tblServicios[[#This Row],[Fecha]])/3,0)</f>
        <v>3</v>
      </c>
      <c r="T3" t="s">
        <v>58</v>
      </c>
    </row>
    <row r="4" spans="1:20" x14ac:dyDescent="0.35">
      <c r="A4" t="s">
        <v>796</v>
      </c>
      <c r="B4" s="1">
        <v>46271</v>
      </c>
      <c r="C4" t="s">
        <v>46</v>
      </c>
      <c r="D4" t="s">
        <v>47</v>
      </c>
      <c r="E4" t="s">
        <v>12</v>
      </c>
      <c r="F4" t="s">
        <v>13</v>
      </c>
      <c r="G4" t="s">
        <v>14</v>
      </c>
      <c r="I4" t="s">
        <v>48</v>
      </c>
      <c r="J4" t="s">
        <v>48</v>
      </c>
      <c r="K4">
        <v>96.6</v>
      </c>
      <c r="L4" s="2"/>
      <c r="N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" t="s">
        <v>49</v>
      </c>
      <c r="P4" s="70">
        <f>YEAR(tblServicios[[#This Row],[Fecha]])</f>
        <v>2026</v>
      </c>
      <c r="Q4" s="70">
        <f>MONTH(tblServicios[[#This Row],[Fecha]])</f>
        <v>9</v>
      </c>
      <c r="R4" s="70">
        <f>ROUNDUP(MONTH(tblServicios[[#This Row],[Fecha]])/3,0)</f>
        <v>3</v>
      </c>
    </row>
    <row r="5" spans="1:20" x14ac:dyDescent="0.35">
      <c r="A5" t="s">
        <v>793</v>
      </c>
      <c r="B5" s="1">
        <v>46270</v>
      </c>
      <c r="C5" t="s">
        <v>46</v>
      </c>
      <c r="D5" t="s">
        <v>47</v>
      </c>
      <c r="E5" t="s">
        <v>12</v>
      </c>
      <c r="F5" t="s">
        <v>13</v>
      </c>
      <c r="G5" t="s">
        <v>14</v>
      </c>
      <c r="I5" t="s">
        <v>48</v>
      </c>
      <c r="J5" t="s">
        <v>48</v>
      </c>
      <c r="K5">
        <v>199.6</v>
      </c>
      <c r="L5" s="2"/>
      <c r="N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" t="s">
        <v>49</v>
      </c>
      <c r="P5">
        <f>YEAR(tblServicios[[#This Row],[Fecha]])</f>
        <v>2026</v>
      </c>
      <c r="Q5">
        <f>MONTH(tblServicios[[#This Row],[Fecha]])</f>
        <v>9</v>
      </c>
      <c r="R5">
        <f>ROUNDUP(MONTH(tblServicios[[#This Row],[Fecha]])/3,0)</f>
        <v>3</v>
      </c>
    </row>
    <row r="6" spans="1:20" x14ac:dyDescent="0.35">
      <c r="A6" t="s">
        <v>792</v>
      </c>
      <c r="B6" s="1">
        <v>46269</v>
      </c>
      <c r="C6" t="s">
        <v>46</v>
      </c>
      <c r="D6" t="s">
        <v>47</v>
      </c>
      <c r="E6" t="s">
        <v>12</v>
      </c>
      <c r="F6" t="s">
        <v>13</v>
      </c>
      <c r="G6" t="s">
        <v>14</v>
      </c>
      <c r="I6" t="s">
        <v>48</v>
      </c>
      <c r="J6" t="s">
        <v>48</v>
      </c>
      <c r="K6">
        <v>239</v>
      </c>
      <c r="L6" s="2"/>
      <c r="N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" t="s">
        <v>49</v>
      </c>
      <c r="P6">
        <f>YEAR(tblServicios[[#This Row],[Fecha]])</f>
        <v>2026</v>
      </c>
      <c r="Q6">
        <f>MONTH(tblServicios[[#This Row],[Fecha]])</f>
        <v>9</v>
      </c>
      <c r="R6">
        <f>ROUNDUP(MONTH(tblServicios[[#This Row],[Fecha]])/3,0)</f>
        <v>3</v>
      </c>
    </row>
    <row r="7" spans="1:20" x14ac:dyDescent="0.35">
      <c r="A7" t="s">
        <v>45</v>
      </c>
      <c r="B7" s="1">
        <v>46268</v>
      </c>
      <c r="C7" t="s">
        <v>46</v>
      </c>
      <c r="D7" t="s">
        <v>47</v>
      </c>
      <c r="E7" t="s">
        <v>12</v>
      </c>
      <c r="F7" t="s">
        <v>13</v>
      </c>
      <c r="G7" t="s">
        <v>14</v>
      </c>
      <c r="I7" t="s">
        <v>48</v>
      </c>
      <c r="J7" t="s">
        <v>48</v>
      </c>
      <c r="K7">
        <v>144.6</v>
      </c>
      <c r="L7" s="2"/>
      <c r="N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" t="s">
        <v>49</v>
      </c>
      <c r="P7">
        <f>YEAR(tblServicios[[#This Row],[Fecha]])</f>
        <v>2026</v>
      </c>
      <c r="Q7">
        <f>MONTH(tblServicios[[#This Row],[Fecha]])</f>
        <v>9</v>
      </c>
      <c r="R7">
        <f>ROUNDUP(MONTH(tblServicios[[#This Row],[Fecha]])/3,0)</f>
        <v>3</v>
      </c>
    </row>
    <row r="8" spans="1:20" x14ac:dyDescent="0.35">
      <c r="A8" t="s">
        <v>50</v>
      </c>
      <c r="B8" s="1">
        <v>46267</v>
      </c>
      <c r="C8" t="s">
        <v>46</v>
      </c>
      <c r="D8" t="s">
        <v>47</v>
      </c>
      <c r="E8" t="s">
        <v>12</v>
      </c>
      <c r="F8" t="s">
        <v>13</v>
      </c>
      <c r="G8" t="s">
        <v>14</v>
      </c>
      <c r="I8" t="s">
        <v>48</v>
      </c>
      <c r="J8" t="s">
        <v>48</v>
      </c>
      <c r="K8">
        <v>165</v>
      </c>
      <c r="L8" s="2"/>
      <c r="N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" t="s">
        <v>49</v>
      </c>
      <c r="P8">
        <f>YEAR(tblServicios[[#This Row],[Fecha]])</f>
        <v>2026</v>
      </c>
      <c r="Q8">
        <f>MONTH(tblServicios[[#This Row],[Fecha]])</f>
        <v>9</v>
      </c>
      <c r="R8">
        <f>ROUNDUP(MONTH(tblServicios[[#This Row],[Fecha]])/3,0)</f>
        <v>3</v>
      </c>
    </row>
    <row r="9" spans="1:20" x14ac:dyDescent="0.35">
      <c r="A9" t="s">
        <v>51</v>
      </c>
      <c r="B9" s="1">
        <v>46267</v>
      </c>
      <c r="C9" t="s">
        <v>46</v>
      </c>
      <c r="D9" t="s">
        <v>47</v>
      </c>
      <c r="E9" t="s">
        <v>15</v>
      </c>
      <c r="F9" t="s">
        <v>13</v>
      </c>
      <c r="G9" t="s">
        <v>14</v>
      </c>
      <c r="I9" t="s">
        <v>48</v>
      </c>
      <c r="J9" t="s">
        <v>48</v>
      </c>
      <c r="K9">
        <v>102</v>
      </c>
      <c r="L9" s="2"/>
      <c r="N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" t="s">
        <v>49</v>
      </c>
      <c r="P9">
        <f>YEAR(tblServicios[[#This Row],[Fecha]])</f>
        <v>2026</v>
      </c>
      <c r="Q9">
        <f>MONTH(tblServicios[[#This Row],[Fecha]])</f>
        <v>9</v>
      </c>
      <c r="R9">
        <f>ROUNDUP(MONTH(tblServicios[[#This Row],[Fecha]])/3,0)</f>
        <v>3</v>
      </c>
      <c r="T9" t="s">
        <v>52</v>
      </c>
    </row>
    <row r="10" spans="1:20" x14ac:dyDescent="0.35">
      <c r="A10" t="s">
        <v>53</v>
      </c>
      <c r="B10" s="1">
        <v>46267</v>
      </c>
      <c r="C10" t="s">
        <v>46</v>
      </c>
      <c r="D10" t="s">
        <v>47</v>
      </c>
      <c r="E10" t="s">
        <v>16</v>
      </c>
      <c r="F10" t="s">
        <v>13</v>
      </c>
      <c r="G10" t="s">
        <v>14</v>
      </c>
      <c r="I10" t="s">
        <v>54</v>
      </c>
      <c r="J10" t="s">
        <v>54</v>
      </c>
      <c r="K10">
        <v>107.5</v>
      </c>
      <c r="L10" s="2"/>
      <c r="N10" s="2">
        <v>80</v>
      </c>
      <c r="O10" t="s">
        <v>49</v>
      </c>
      <c r="P10">
        <f>YEAR(tblServicios[[#This Row],[Fecha]])</f>
        <v>2026</v>
      </c>
      <c r="Q10">
        <f>MONTH(tblServicios[[#This Row],[Fecha]])</f>
        <v>9</v>
      </c>
      <c r="R10">
        <f>ROUNDUP(MONTH(tblServicios[[#This Row],[Fecha]])/3,0)</f>
        <v>3</v>
      </c>
      <c r="T10" t="s">
        <v>55</v>
      </c>
    </row>
    <row r="11" spans="1:20" x14ac:dyDescent="0.35">
      <c r="A11" t="s">
        <v>56</v>
      </c>
      <c r="B11" s="1">
        <v>46266</v>
      </c>
      <c r="C11" t="s">
        <v>46</v>
      </c>
      <c r="D11" t="s">
        <v>47</v>
      </c>
      <c r="E11" t="s">
        <v>12</v>
      </c>
      <c r="F11" t="s">
        <v>13</v>
      </c>
      <c r="G11" t="s">
        <v>14</v>
      </c>
      <c r="I11" t="s">
        <v>48</v>
      </c>
      <c r="J11" t="s">
        <v>48</v>
      </c>
      <c r="K11">
        <v>129.6</v>
      </c>
      <c r="L11" s="2"/>
      <c r="N1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" t="s">
        <v>49</v>
      </c>
      <c r="P11">
        <f>YEAR(tblServicios[[#This Row],[Fecha]])</f>
        <v>2026</v>
      </c>
      <c r="Q11">
        <f>MONTH(tblServicios[[#This Row],[Fecha]])</f>
        <v>9</v>
      </c>
      <c r="R11">
        <f>ROUNDUP(MONTH(tblServicios[[#This Row],[Fecha]])/3,0)</f>
        <v>3</v>
      </c>
    </row>
    <row r="12" spans="1:20" x14ac:dyDescent="0.35">
      <c r="A12" t="s">
        <v>57</v>
      </c>
      <c r="B12" s="1">
        <v>46266</v>
      </c>
      <c r="C12" t="s">
        <v>46</v>
      </c>
      <c r="D12" t="s">
        <v>47</v>
      </c>
      <c r="E12" t="s">
        <v>15</v>
      </c>
      <c r="F12" t="s">
        <v>13</v>
      </c>
      <c r="G12" t="s">
        <v>17</v>
      </c>
      <c r="I12" t="s">
        <v>48</v>
      </c>
      <c r="J12" t="s">
        <v>48</v>
      </c>
      <c r="K12">
        <v>62.7</v>
      </c>
      <c r="L12" s="2"/>
      <c r="N12" s="2">
        <v>120</v>
      </c>
      <c r="O12" t="s">
        <v>49</v>
      </c>
      <c r="P12">
        <f>YEAR(tblServicios[[#This Row],[Fecha]])</f>
        <v>2026</v>
      </c>
      <c r="Q12">
        <f>MONTH(tblServicios[[#This Row],[Fecha]])</f>
        <v>9</v>
      </c>
      <c r="R12">
        <f>ROUNDUP(MONTH(tblServicios[[#This Row],[Fecha]])/3,0)</f>
        <v>3</v>
      </c>
      <c r="T12" t="s">
        <v>58</v>
      </c>
    </row>
    <row r="13" spans="1:20" x14ac:dyDescent="0.35">
      <c r="A13" t="s">
        <v>59</v>
      </c>
      <c r="B13" s="1">
        <v>46266</v>
      </c>
      <c r="C13" t="s">
        <v>46</v>
      </c>
      <c r="D13" t="s">
        <v>47</v>
      </c>
      <c r="E13" t="s">
        <v>16</v>
      </c>
      <c r="F13" t="s">
        <v>13</v>
      </c>
      <c r="G13" t="s">
        <v>17</v>
      </c>
      <c r="I13" t="s">
        <v>54</v>
      </c>
      <c r="J13" t="s">
        <v>60</v>
      </c>
      <c r="K13">
        <v>59</v>
      </c>
      <c r="L13" s="2"/>
      <c r="N13" s="2">
        <v>80</v>
      </c>
      <c r="O13" t="s">
        <v>49</v>
      </c>
      <c r="P13">
        <f>YEAR(tblServicios[[#This Row],[Fecha]])</f>
        <v>2026</v>
      </c>
      <c r="Q13">
        <f>MONTH(tblServicios[[#This Row],[Fecha]])</f>
        <v>9</v>
      </c>
      <c r="R13">
        <f>ROUNDUP(MONTH(tblServicios[[#This Row],[Fecha]])/3,0)</f>
        <v>3</v>
      </c>
      <c r="T13" t="s">
        <v>61</v>
      </c>
    </row>
    <row r="14" spans="1:20" x14ac:dyDescent="0.35">
      <c r="A14" t="s">
        <v>62</v>
      </c>
      <c r="B14" s="1">
        <v>46265</v>
      </c>
      <c r="C14" t="s">
        <v>46</v>
      </c>
      <c r="D14" t="s">
        <v>47</v>
      </c>
      <c r="E14" t="s">
        <v>12</v>
      </c>
      <c r="F14" t="s">
        <v>13</v>
      </c>
      <c r="G14" t="s">
        <v>14</v>
      </c>
      <c r="I14" t="s">
        <v>48</v>
      </c>
      <c r="J14" t="s">
        <v>48</v>
      </c>
      <c r="K14">
        <v>187.6</v>
      </c>
      <c r="L14" s="2"/>
      <c r="N1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4" t="s">
        <v>49</v>
      </c>
      <c r="P14">
        <f>YEAR(tblServicios[[#This Row],[Fecha]])</f>
        <v>2026</v>
      </c>
      <c r="Q14">
        <f>MONTH(tblServicios[[#This Row],[Fecha]])</f>
        <v>8</v>
      </c>
      <c r="R14">
        <f>ROUNDUP(MONTH(tblServicios[[#This Row],[Fecha]])/3,0)</f>
        <v>3</v>
      </c>
      <c r="S14" t="s">
        <v>63</v>
      </c>
    </row>
    <row r="15" spans="1:20" x14ac:dyDescent="0.35">
      <c r="A15" t="s">
        <v>64</v>
      </c>
      <c r="B15" s="1">
        <v>46265</v>
      </c>
      <c r="C15" t="s">
        <v>46</v>
      </c>
      <c r="D15" t="s">
        <v>47</v>
      </c>
      <c r="E15" t="s">
        <v>16</v>
      </c>
      <c r="F15" t="s">
        <v>13</v>
      </c>
      <c r="G15" t="s">
        <v>17</v>
      </c>
      <c r="I15" t="s">
        <v>54</v>
      </c>
      <c r="J15" t="s">
        <v>54</v>
      </c>
      <c r="K15">
        <v>117</v>
      </c>
      <c r="L15" s="2"/>
      <c r="N1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15" t="s">
        <v>49</v>
      </c>
      <c r="P15">
        <f>YEAR(tblServicios[[#This Row],[Fecha]])</f>
        <v>2026</v>
      </c>
      <c r="Q15">
        <f>MONTH(tblServicios[[#This Row],[Fecha]])</f>
        <v>8</v>
      </c>
      <c r="R15">
        <f>ROUNDUP(MONTH(tblServicios[[#This Row],[Fecha]])/3,0)</f>
        <v>3</v>
      </c>
      <c r="S15" t="s">
        <v>63</v>
      </c>
    </row>
    <row r="16" spans="1:20" x14ac:dyDescent="0.35">
      <c r="A16" t="s">
        <v>65</v>
      </c>
      <c r="B16" s="1">
        <v>46264</v>
      </c>
      <c r="C16" t="s">
        <v>46</v>
      </c>
      <c r="D16" t="s">
        <v>47</v>
      </c>
      <c r="E16" t="s">
        <v>12</v>
      </c>
      <c r="F16" t="s">
        <v>13</v>
      </c>
      <c r="G16" t="s">
        <v>14</v>
      </c>
      <c r="I16" t="s">
        <v>48</v>
      </c>
      <c r="J16" t="s">
        <v>48</v>
      </c>
      <c r="K16">
        <v>47.6</v>
      </c>
      <c r="L16" s="2"/>
      <c r="N1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6" t="s">
        <v>49</v>
      </c>
      <c r="P16">
        <f>YEAR(tblServicios[[#This Row],[Fecha]])</f>
        <v>2026</v>
      </c>
      <c r="Q16">
        <f>MONTH(tblServicios[[#This Row],[Fecha]])</f>
        <v>8</v>
      </c>
      <c r="R16">
        <f>ROUNDUP(MONTH(tblServicios[[#This Row],[Fecha]])/3,0)</f>
        <v>3</v>
      </c>
      <c r="S16" t="s">
        <v>63</v>
      </c>
    </row>
    <row r="17" spans="1:20" x14ac:dyDescent="0.35">
      <c r="A17" t="s">
        <v>66</v>
      </c>
      <c r="B17" s="1">
        <v>46263</v>
      </c>
      <c r="C17" t="s">
        <v>46</v>
      </c>
      <c r="D17" t="s">
        <v>47</v>
      </c>
      <c r="E17" t="s">
        <v>12</v>
      </c>
      <c r="F17" t="s">
        <v>13</v>
      </c>
      <c r="G17" t="s">
        <v>14</v>
      </c>
      <c r="I17" t="s">
        <v>48</v>
      </c>
      <c r="J17" t="s">
        <v>48</v>
      </c>
      <c r="K17">
        <v>208.6</v>
      </c>
      <c r="L17" s="2"/>
      <c r="N1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7" t="s">
        <v>49</v>
      </c>
      <c r="P17">
        <f>YEAR(tblServicios[[#This Row],[Fecha]])</f>
        <v>2026</v>
      </c>
      <c r="Q17">
        <f>MONTH(tblServicios[[#This Row],[Fecha]])</f>
        <v>8</v>
      </c>
      <c r="R17">
        <f>ROUNDUP(MONTH(tblServicios[[#This Row],[Fecha]])/3,0)</f>
        <v>3</v>
      </c>
      <c r="S17" t="s">
        <v>63</v>
      </c>
    </row>
    <row r="18" spans="1:20" x14ac:dyDescent="0.35">
      <c r="A18" t="s">
        <v>67</v>
      </c>
      <c r="B18" s="1">
        <v>46262</v>
      </c>
      <c r="C18" t="s">
        <v>46</v>
      </c>
      <c r="D18" t="s">
        <v>47</v>
      </c>
      <c r="E18" t="s">
        <v>12</v>
      </c>
      <c r="F18" t="s">
        <v>13</v>
      </c>
      <c r="G18" t="s">
        <v>14</v>
      </c>
      <c r="I18" t="s">
        <v>48</v>
      </c>
      <c r="J18" t="s">
        <v>48</v>
      </c>
      <c r="K18">
        <v>238.8</v>
      </c>
      <c r="L18" s="2"/>
      <c r="N1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8" t="s">
        <v>49</v>
      </c>
      <c r="P18">
        <f>YEAR(tblServicios[[#This Row],[Fecha]])</f>
        <v>2026</v>
      </c>
      <c r="Q18">
        <f>MONTH(tblServicios[[#This Row],[Fecha]])</f>
        <v>8</v>
      </c>
      <c r="R18">
        <f>ROUNDUP(MONTH(tblServicios[[#This Row],[Fecha]])/3,0)</f>
        <v>3</v>
      </c>
      <c r="S18" t="s">
        <v>63</v>
      </c>
      <c r="T18" t="s">
        <v>68</v>
      </c>
    </row>
    <row r="19" spans="1:20" x14ac:dyDescent="0.35">
      <c r="A19" t="s">
        <v>69</v>
      </c>
      <c r="B19" s="1">
        <v>46262</v>
      </c>
      <c r="C19" t="s">
        <v>46</v>
      </c>
      <c r="D19" t="s">
        <v>47</v>
      </c>
      <c r="E19" t="s">
        <v>16</v>
      </c>
      <c r="F19" t="s">
        <v>13</v>
      </c>
      <c r="G19" t="s">
        <v>17</v>
      </c>
      <c r="I19" t="s">
        <v>70</v>
      </c>
      <c r="J19" t="s">
        <v>54</v>
      </c>
      <c r="K19">
        <v>215</v>
      </c>
      <c r="L19" s="2"/>
      <c r="N19" s="2">
        <v>220</v>
      </c>
      <c r="O19" t="s">
        <v>49</v>
      </c>
      <c r="P19">
        <f>YEAR(tblServicios[[#This Row],[Fecha]])</f>
        <v>2026</v>
      </c>
      <c r="Q19">
        <f>MONTH(tblServicios[[#This Row],[Fecha]])</f>
        <v>8</v>
      </c>
      <c r="R19">
        <f>ROUNDUP(MONTH(tblServicios[[#This Row],[Fecha]])/3,0)</f>
        <v>3</v>
      </c>
      <c r="S19" t="s">
        <v>63</v>
      </c>
      <c r="T19" t="s">
        <v>71</v>
      </c>
    </row>
    <row r="20" spans="1:20" x14ac:dyDescent="0.35">
      <c r="A20" t="s">
        <v>72</v>
      </c>
      <c r="B20" s="1">
        <v>46261</v>
      </c>
      <c r="C20" t="s">
        <v>46</v>
      </c>
      <c r="D20" t="s">
        <v>47</v>
      </c>
      <c r="E20" t="s">
        <v>12</v>
      </c>
      <c r="F20" t="s">
        <v>13</v>
      </c>
      <c r="G20" t="s">
        <v>14</v>
      </c>
      <c r="I20" t="s">
        <v>48</v>
      </c>
      <c r="J20" t="s">
        <v>48</v>
      </c>
      <c r="K20">
        <v>174</v>
      </c>
      <c r="L20" s="2"/>
      <c r="N2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0" t="s">
        <v>49</v>
      </c>
      <c r="P20">
        <f>YEAR(tblServicios[[#This Row],[Fecha]])</f>
        <v>2026</v>
      </c>
      <c r="Q20">
        <f>MONTH(tblServicios[[#This Row],[Fecha]])</f>
        <v>8</v>
      </c>
      <c r="R20">
        <f>ROUNDUP(MONTH(tblServicios[[#This Row],[Fecha]])/3,0)</f>
        <v>3</v>
      </c>
      <c r="S20" t="s">
        <v>63</v>
      </c>
    </row>
    <row r="21" spans="1:20" x14ac:dyDescent="0.35">
      <c r="A21" t="s">
        <v>73</v>
      </c>
      <c r="B21" s="1">
        <v>46261</v>
      </c>
      <c r="C21" t="s">
        <v>46</v>
      </c>
      <c r="D21" t="s">
        <v>47</v>
      </c>
      <c r="E21" t="s">
        <v>15</v>
      </c>
      <c r="F21" t="s">
        <v>13</v>
      </c>
      <c r="G21" t="s">
        <v>17</v>
      </c>
      <c r="I21" t="s">
        <v>48</v>
      </c>
      <c r="J21" t="s">
        <v>48</v>
      </c>
      <c r="K21">
        <v>65.7</v>
      </c>
      <c r="L21" s="2"/>
      <c r="N21" s="2">
        <v>120</v>
      </c>
      <c r="O21" t="s">
        <v>49</v>
      </c>
      <c r="P21">
        <f>YEAR(tblServicios[[#This Row],[Fecha]])</f>
        <v>2026</v>
      </c>
      <c r="Q21">
        <f>MONTH(tblServicios[[#This Row],[Fecha]])</f>
        <v>8</v>
      </c>
      <c r="R21">
        <f>ROUNDUP(MONTH(tblServicios[[#This Row],[Fecha]])/3,0)</f>
        <v>3</v>
      </c>
      <c r="S21" t="s">
        <v>63</v>
      </c>
      <c r="T21" t="s">
        <v>58</v>
      </c>
    </row>
    <row r="22" spans="1:20" x14ac:dyDescent="0.35">
      <c r="A22" t="s">
        <v>74</v>
      </c>
      <c r="B22" s="1">
        <v>46261</v>
      </c>
      <c r="C22" t="s">
        <v>46</v>
      </c>
      <c r="D22" t="s">
        <v>47</v>
      </c>
      <c r="E22" t="s">
        <v>16</v>
      </c>
      <c r="F22" t="s">
        <v>13</v>
      </c>
      <c r="G22" t="s">
        <v>17</v>
      </c>
      <c r="I22" t="s">
        <v>54</v>
      </c>
      <c r="J22" t="s">
        <v>60</v>
      </c>
      <c r="K22">
        <v>60.7</v>
      </c>
      <c r="L22" s="2"/>
      <c r="N22" s="2">
        <v>80</v>
      </c>
      <c r="O22" t="s">
        <v>49</v>
      </c>
      <c r="P22">
        <f>YEAR(tblServicios[[#This Row],[Fecha]])</f>
        <v>2026</v>
      </c>
      <c r="Q22">
        <f>MONTH(tblServicios[[#This Row],[Fecha]])</f>
        <v>8</v>
      </c>
      <c r="R22">
        <f>ROUNDUP(MONTH(tblServicios[[#This Row],[Fecha]])/3,0)</f>
        <v>3</v>
      </c>
      <c r="S22" t="s">
        <v>63</v>
      </c>
      <c r="T22" t="s">
        <v>61</v>
      </c>
    </row>
    <row r="23" spans="1:20" x14ac:dyDescent="0.35">
      <c r="A23" t="s">
        <v>75</v>
      </c>
      <c r="B23" s="1">
        <v>46260</v>
      </c>
      <c r="C23" t="s">
        <v>46</v>
      </c>
      <c r="D23" t="s">
        <v>47</v>
      </c>
      <c r="E23" t="s">
        <v>12</v>
      </c>
      <c r="F23" t="s">
        <v>13</v>
      </c>
      <c r="G23" t="s">
        <v>14</v>
      </c>
      <c r="I23" t="s">
        <v>48</v>
      </c>
      <c r="J23" t="s">
        <v>48</v>
      </c>
      <c r="K23">
        <v>188</v>
      </c>
      <c r="L23" s="2"/>
      <c r="N2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3" t="s">
        <v>49</v>
      </c>
      <c r="P23">
        <f>YEAR(tblServicios[[#This Row],[Fecha]])</f>
        <v>2026</v>
      </c>
      <c r="Q23">
        <f>MONTH(tblServicios[[#This Row],[Fecha]])</f>
        <v>8</v>
      </c>
      <c r="R23">
        <f>ROUNDUP(MONTH(tblServicios[[#This Row],[Fecha]])/3,0)</f>
        <v>3</v>
      </c>
      <c r="S23" t="s">
        <v>63</v>
      </c>
    </row>
    <row r="24" spans="1:20" x14ac:dyDescent="0.35">
      <c r="A24" t="s">
        <v>76</v>
      </c>
      <c r="B24" s="1">
        <v>46260</v>
      </c>
      <c r="C24" t="s">
        <v>46</v>
      </c>
      <c r="D24" t="s">
        <v>47</v>
      </c>
      <c r="E24" t="s">
        <v>15</v>
      </c>
      <c r="F24" t="s">
        <v>13</v>
      </c>
      <c r="G24" t="s">
        <v>17</v>
      </c>
      <c r="I24" t="s">
        <v>48</v>
      </c>
      <c r="J24" t="s">
        <v>48</v>
      </c>
      <c r="K24">
        <v>64</v>
      </c>
      <c r="L24" s="2"/>
      <c r="N24" s="2">
        <v>120</v>
      </c>
      <c r="O24" t="s">
        <v>49</v>
      </c>
      <c r="P24">
        <f>YEAR(tblServicios[[#This Row],[Fecha]])</f>
        <v>2026</v>
      </c>
      <c r="Q24">
        <f>MONTH(tblServicios[[#This Row],[Fecha]])</f>
        <v>8</v>
      </c>
      <c r="R24">
        <f>ROUNDUP(MONTH(tblServicios[[#This Row],[Fecha]])/3,0)</f>
        <v>3</v>
      </c>
      <c r="S24" t="s">
        <v>63</v>
      </c>
      <c r="T24" t="s">
        <v>58</v>
      </c>
    </row>
    <row r="25" spans="1:20" x14ac:dyDescent="0.35">
      <c r="A25" t="s">
        <v>77</v>
      </c>
      <c r="B25" s="1">
        <v>46260</v>
      </c>
      <c r="C25" t="s">
        <v>46</v>
      </c>
      <c r="D25" t="s">
        <v>47</v>
      </c>
      <c r="E25" t="s">
        <v>16</v>
      </c>
      <c r="F25" t="s">
        <v>13</v>
      </c>
      <c r="G25" t="s">
        <v>17</v>
      </c>
      <c r="I25" t="s">
        <v>54</v>
      </c>
      <c r="J25" t="s">
        <v>60</v>
      </c>
      <c r="K25">
        <v>58.9</v>
      </c>
      <c r="L25" s="2"/>
      <c r="N25" s="2">
        <v>80</v>
      </c>
      <c r="O25" t="s">
        <v>49</v>
      </c>
      <c r="P25">
        <f>YEAR(tblServicios[[#This Row],[Fecha]])</f>
        <v>2026</v>
      </c>
      <c r="Q25">
        <f>MONTH(tblServicios[[#This Row],[Fecha]])</f>
        <v>8</v>
      </c>
      <c r="R25">
        <f>ROUNDUP(MONTH(tblServicios[[#This Row],[Fecha]])/3,0)</f>
        <v>3</v>
      </c>
      <c r="S25" t="s">
        <v>63</v>
      </c>
      <c r="T25" t="s">
        <v>61</v>
      </c>
    </row>
    <row r="26" spans="1:20" x14ac:dyDescent="0.35">
      <c r="A26" t="s">
        <v>78</v>
      </c>
      <c r="B26" s="1">
        <v>46259</v>
      </c>
      <c r="C26" t="s">
        <v>46</v>
      </c>
      <c r="D26" t="s">
        <v>47</v>
      </c>
      <c r="E26" t="s">
        <v>12</v>
      </c>
      <c r="F26" t="s">
        <v>13</v>
      </c>
      <c r="G26" t="s">
        <v>14</v>
      </c>
      <c r="I26" t="s">
        <v>48</v>
      </c>
      <c r="J26" t="s">
        <v>48</v>
      </c>
      <c r="K26">
        <v>166</v>
      </c>
      <c r="L26" s="2"/>
      <c r="N2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6" t="s">
        <v>49</v>
      </c>
      <c r="P26">
        <f>YEAR(tblServicios[[#This Row],[Fecha]])</f>
        <v>2026</v>
      </c>
      <c r="Q26">
        <f>MONTH(tblServicios[[#This Row],[Fecha]])</f>
        <v>8</v>
      </c>
      <c r="R26">
        <f>ROUNDUP(MONTH(tblServicios[[#This Row],[Fecha]])/3,0)</f>
        <v>3</v>
      </c>
      <c r="S26" t="s">
        <v>63</v>
      </c>
    </row>
    <row r="27" spans="1:20" x14ac:dyDescent="0.35">
      <c r="A27" t="s">
        <v>79</v>
      </c>
      <c r="B27" s="1">
        <v>46259</v>
      </c>
      <c r="C27" t="s">
        <v>46</v>
      </c>
      <c r="D27" t="s">
        <v>47</v>
      </c>
      <c r="E27" t="s">
        <v>15</v>
      </c>
      <c r="F27" t="s">
        <v>13</v>
      </c>
      <c r="G27" t="s">
        <v>17</v>
      </c>
      <c r="I27" t="s">
        <v>48</v>
      </c>
      <c r="J27" t="s">
        <v>48</v>
      </c>
      <c r="K27">
        <v>63.7</v>
      </c>
      <c r="L27" s="2"/>
      <c r="N27" s="2">
        <v>120</v>
      </c>
      <c r="O27" t="s">
        <v>49</v>
      </c>
      <c r="P27">
        <f>YEAR(tblServicios[[#This Row],[Fecha]])</f>
        <v>2026</v>
      </c>
      <c r="Q27">
        <f>MONTH(tblServicios[[#This Row],[Fecha]])</f>
        <v>8</v>
      </c>
      <c r="R27">
        <f>ROUNDUP(MONTH(tblServicios[[#This Row],[Fecha]])/3,0)</f>
        <v>3</v>
      </c>
      <c r="S27" t="s">
        <v>63</v>
      </c>
      <c r="T27" t="s">
        <v>58</v>
      </c>
    </row>
    <row r="28" spans="1:20" x14ac:dyDescent="0.35">
      <c r="A28" t="s">
        <v>80</v>
      </c>
      <c r="B28" s="1">
        <v>46259</v>
      </c>
      <c r="C28" t="s">
        <v>46</v>
      </c>
      <c r="D28" t="s">
        <v>47</v>
      </c>
      <c r="E28" t="s">
        <v>16</v>
      </c>
      <c r="F28" t="s">
        <v>13</v>
      </c>
      <c r="G28" t="s">
        <v>17</v>
      </c>
      <c r="I28" t="s">
        <v>54</v>
      </c>
      <c r="J28" t="s">
        <v>60</v>
      </c>
      <c r="K28">
        <v>59.5</v>
      </c>
      <c r="L28" s="2"/>
      <c r="N28" s="2">
        <v>80</v>
      </c>
      <c r="O28" t="s">
        <v>49</v>
      </c>
      <c r="P28">
        <f>YEAR(tblServicios[[#This Row],[Fecha]])</f>
        <v>2026</v>
      </c>
      <c r="Q28">
        <f>MONTH(tblServicios[[#This Row],[Fecha]])</f>
        <v>8</v>
      </c>
      <c r="R28">
        <f>ROUNDUP(MONTH(tblServicios[[#This Row],[Fecha]])/3,0)</f>
        <v>3</v>
      </c>
      <c r="S28" t="s">
        <v>63</v>
      </c>
      <c r="T28" t="s">
        <v>61</v>
      </c>
    </row>
    <row r="29" spans="1:20" x14ac:dyDescent="0.35">
      <c r="A29" t="s">
        <v>81</v>
      </c>
      <c r="B29" s="1">
        <v>46258</v>
      </c>
      <c r="C29" t="s">
        <v>46</v>
      </c>
      <c r="D29" t="s">
        <v>47</v>
      </c>
      <c r="E29" t="s">
        <v>12</v>
      </c>
      <c r="F29" t="s">
        <v>13</v>
      </c>
      <c r="G29" t="s">
        <v>14</v>
      </c>
      <c r="I29" t="s">
        <v>48</v>
      </c>
      <c r="J29" t="s">
        <v>48</v>
      </c>
      <c r="K29">
        <v>218.6</v>
      </c>
      <c r="L29" s="2">
        <v>40</v>
      </c>
      <c r="M29" t="s">
        <v>82</v>
      </c>
      <c r="N2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220</v>
      </c>
      <c r="O29" t="s">
        <v>49</v>
      </c>
      <c r="P29">
        <f>YEAR(tblServicios[[#This Row],[Fecha]])</f>
        <v>2026</v>
      </c>
      <c r="Q29">
        <f>MONTH(tblServicios[[#This Row],[Fecha]])</f>
        <v>8</v>
      </c>
      <c r="R29">
        <f>ROUNDUP(MONTH(tblServicios[[#This Row],[Fecha]])/3,0)</f>
        <v>3</v>
      </c>
      <c r="S29" t="s">
        <v>63</v>
      </c>
      <c r="T29" t="s">
        <v>83</v>
      </c>
    </row>
    <row r="30" spans="1:20" x14ac:dyDescent="0.35">
      <c r="A30" t="s">
        <v>84</v>
      </c>
      <c r="B30" s="1">
        <v>46258</v>
      </c>
      <c r="C30" t="s">
        <v>46</v>
      </c>
      <c r="D30" t="s">
        <v>47</v>
      </c>
      <c r="E30" t="s">
        <v>16</v>
      </c>
      <c r="F30" t="s">
        <v>13</v>
      </c>
      <c r="G30" t="s">
        <v>17</v>
      </c>
      <c r="I30" t="s">
        <v>54</v>
      </c>
      <c r="J30" t="s">
        <v>54</v>
      </c>
      <c r="K30">
        <v>119</v>
      </c>
      <c r="L30" s="2"/>
      <c r="N3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30" t="s">
        <v>49</v>
      </c>
      <c r="P30">
        <f>YEAR(tblServicios[[#This Row],[Fecha]])</f>
        <v>2026</v>
      </c>
      <c r="Q30">
        <f>MONTH(tblServicios[[#This Row],[Fecha]])</f>
        <v>8</v>
      </c>
      <c r="R30">
        <f>ROUNDUP(MONTH(tblServicios[[#This Row],[Fecha]])/3,0)</f>
        <v>3</v>
      </c>
      <c r="S30" t="s">
        <v>63</v>
      </c>
    </row>
    <row r="31" spans="1:20" x14ac:dyDescent="0.35">
      <c r="A31" t="s">
        <v>85</v>
      </c>
      <c r="B31" s="1">
        <v>46257</v>
      </c>
      <c r="C31" t="s">
        <v>46</v>
      </c>
      <c r="D31" t="s">
        <v>47</v>
      </c>
      <c r="E31" t="s">
        <v>12</v>
      </c>
      <c r="F31" t="s">
        <v>13</v>
      </c>
      <c r="G31" t="s">
        <v>14</v>
      </c>
      <c r="I31" t="s">
        <v>48</v>
      </c>
      <c r="J31" t="s">
        <v>48</v>
      </c>
      <c r="K31">
        <v>48.9</v>
      </c>
      <c r="L31" s="2"/>
      <c r="N3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31" t="s">
        <v>49</v>
      </c>
      <c r="P31">
        <f>YEAR(tblServicios[[#This Row],[Fecha]])</f>
        <v>2026</v>
      </c>
      <c r="Q31">
        <f>MONTH(tblServicios[[#This Row],[Fecha]])</f>
        <v>8</v>
      </c>
      <c r="R31">
        <f>ROUNDUP(MONTH(tblServicios[[#This Row],[Fecha]])/3,0)</f>
        <v>3</v>
      </c>
      <c r="S31" t="s">
        <v>63</v>
      </c>
      <c r="T31" t="s">
        <v>86</v>
      </c>
    </row>
    <row r="32" spans="1:20" x14ac:dyDescent="0.35">
      <c r="A32" t="s">
        <v>87</v>
      </c>
      <c r="B32" s="1">
        <v>46256</v>
      </c>
      <c r="C32" t="s">
        <v>46</v>
      </c>
      <c r="D32" t="s">
        <v>47</v>
      </c>
      <c r="E32" t="s">
        <v>12</v>
      </c>
      <c r="F32" t="s">
        <v>13</v>
      </c>
      <c r="G32" t="s">
        <v>14</v>
      </c>
      <c r="I32" t="s">
        <v>48</v>
      </c>
      <c r="J32" t="s">
        <v>48</v>
      </c>
      <c r="K32">
        <v>225.7</v>
      </c>
      <c r="L32" s="2"/>
      <c r="N3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32" t="s">
        <v>49</v>
      </c>
      <c r="P32">
        <f>YEAR(tblServicios[[#This Row],[Fecha]])</f>
        <v>2026</v>
      </c>
      <c r="Q32">
        <f>MONTH(tblServicios[[#This Row],[Fecha]])</f>
        <v>8</v>
      </c>
      <c r="R32">
        <f>ROUNDUP(MONTH(tblServicios[[#This Row],[Fecha]])/3,0)</f>
        <v>3</v>
      </c>
      <c r="S32" t="s">
        <v>63</v>
      </c>
    </row>
    <row r="33" spans="1:20" x14ac:dyDescent="0.35">
      <c r="A33" t="s">
        <v>88</v>
      </c>
      <c r="B33" s="1">
        <v>46255</v>
      </c>
      <c r="C33" t="s">
        <v>46</v>
      </c>
      <c r="D33" t="s">
        <v>47</v>
      </c>
      <c r="E33" t="s">
        <v>12</v>
      </c>
      <c r="F33" t="s">
        <v>13</v>
      </c>
      <c r="G33" t="s">
        <v>14</v>
      </c>
      <c r="I33" t="s">
        <v>48</v>
      </c>
      <c r="J33" t="s">
        <v>48</v>
      </c>
      <c r="K33">
        <v>242.6</v>
      </c>
      <c r="L33" s="2"/>
      <c r="N3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33" t="s">
        <v>49</v>
      </c>
      <c r="P33">
        <f>YEAR(tblServicios[[#This Row],[Fecha]])</f>
        <v>2026</v>
      </c>
      <c r="Q33">
        <f>MONTH(tblServicios[[#This Row],[Fecha]])</f>
        <v>8</v>
      </c>
      <c r="R33">
        <f>ROUNDUP(MONTH(tblServicios[[#This Row],[Fecha]])/3,0)</f>
        <v>3</v>
      </c>
      <c r="S33" t="s">
        <v>63</v>
      </c>
    </row>
    <row r="34" spans="1:20" x14ac:dyDescent="0.35">
      <c r="A34" t="s">
        <v>89</v>
      </c>
      <c r="B34" s="1">
        <v>46255</v>
      </c>
      <c r="C34" t="s">
        <v>46</v>
      </c>
      <c r="D34" t="s">
        <v>47</v>
      </c>
      <c r="E34" t="s">
        <v>15</v>
      </c>
      <c r="F34" t="s">
        <v>13</v>
      </c>
      <c r="G34" t="s">
        <v>17</v>
      </c>
      <c r="I34" t="s">
        <v>48</v>
      </c>
      <c r="J34" t="s">
        <v>48</v>
      </c>
      <c r="K34">
        <v>84</v>
      </c>
      <c r="L34" s="2"/>
      <c r="N34" s="2">
        <v>120</v>
      </c>
      <c r="O34" t="s">
        <v>49</v>
      </c>
      <c r="P34">
        <f>YEAR(tblServicios[[#This Row],[Fecha]])</f>
        <v>2026</v>
      </c>
      <c r="Q34">
        <f>MONTH(tblServicios[[#This Row],[Fecha]])</f>
        <v>8</v>
      </c>
      <c r="R34">
        <f>ROUNDUP(MONTH(tblServicios[[#This Row],[Fecha]])/3,0)</f>
        <v>3</v>
      </c>
      <c r="S34" t="s">
        <v>63</v>
      </c>
      <c r="T34" t="s">
        <v>58</v>
      </c>
    </row>
    <row r="35" spans="1:20" x14ac:dyDescent="0.35">
      <c r="A35" t="s">
        <v>90</v>
      </c>
      <c r="B35" s="1">
        <v>46255</v>
      </c>
      <c r="C35" t="s">
        <v>46</v>
      </c>
      <c r="D35" t="s">
        <v>47</v>
      </c>
      <c r="E35" t="s">
        <v>16</v>
      </c>
      <c r="F35" t="s">
        <v>13</v>
      </c>
      <c r="G35" t="s">
        <v>17</v>
      </c>
      <c r="I35" t="s">
        <v>54</v>
      </c>
      <c r="J35" t="s">
        <v>60</v>
      </c>
      <c r="K35">
        <v>58</v>
      </c>
      <c r="L35" s="2"/>
      <c r="N35" s="2">
        <v>80</v>
      </c>
      <c r="O35" t="s">
        <v>49</v>
      </c>
      <c r="P35">
        <f>YEAR(tblServicios[[#This Row],[Fecha]])</f>
        <v>2026</v>
      </c>
      <c r="Q35">
        <f>MONTH(tblServicios[[#This Row],[Fecha]])</f>
        <v>8</v>
      </c>
      <c r="R35">
        <f>ROUNDUP(MONTH(tblServicios[[#This Row],[Fecha]])/3,0)</f>
        <v>3</v>
      </c>
      <c r="S35" t="s">
        <v>63</v>
      </c>
      <c r="T35" t="s">
        <v>61</v>
      </c>
    </row>
    <row r="36" spans="1:20" x14ac:dyDescent="0.35">
      <c r="A36" t="s">
        <v>91</v>
      </c>
      <c r="B36" s="1">
        <v>46254</v>
      </c>
      <c r="C36" t="s">
        <v>46</v>
      </c>
      <c r="D36" t="s">
        <v>47</v>
      </c>
      <c r="E36" t="s">
        <v>12</v>
      </c>
      <c r="F36" t="s">
        <v>13</v>
      </c>
      <c r="G36" t="s">
        <v>14</v>
      </c>
      <c r="I36" t="s">
        <v>48</v>
      </c>
      <c r="J36" t="s">
        <v>48</v>
      </c>
      <c r="K36">
        <v>181</v>
      </c>
      <c r="L36" s="2"/>
      <c r="N3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36" t="s">
        <v>49</v>
      </c>
      <c r="P36">
        <f>YEAR(tblServicios[[#This Row],[Fecha]])</f>
        <v>2026</v>
      </c>
      <c r="Q36">
        <f>MONTH(tblServicios[[#This Row],[Fecha]])</f>
        <v>8</v>
      </c>
      <c r="R36">
        <f>ROUNDUP(MONTH(tblServicios[[#This Row],[Fecha]])/3,0)</f>
        <v>3</v>
      </c>
      <c r="S36" t="s">
        <v>63</v>
      </c>
    </row>
    <row r="37" spans="1:20" x14ac:dyDescent="0.35">
      <c r="A37" t="s">
        <v>92</v>
      </c>
      <c r="B37" s="1">
        <v>46254</v>
      </c>
      <c r="C37" t="s">
        <v>46</v>
      </c>
      <c r="D37" t="s">
        <v>47</v>
      </c>
      <c r="E37" t="s">
        <v>15</v>
      </c>
      <c r="F37" t="s">
        <v>13</v>
      </c>
      <c r="G37" t="s">
        <v>17</v>
      </c>
      <c r="I37" t="s">
        <v>48</v>
      </c>
      <c r="J37" t="s">
        <v>48</v>
      </c>
      <c r="K37">
        <v>64</v>
      </c>
      <c r="L37" s="2"/>
      <c r="N37" s="2">
        <v>120</v>
      </c>
      <c r="O37" t="s">
        <v>49</v>
      </c>
      <c r="P37">
        <f>YEAR(tblServicios[[#This Row],[Fecha]])</f>
        <v>2026</v>
      </c>
      <c r="Q37">
        <f>MONTH(tblServicios[[#This Row],[Fecha]])</f>
        <v>8</v>
      </c>
      <c r="R37">
        <f>ROUNDUP(MONTH(tblServicios[[#This Row],[Fecha]])/3,0)</f>
        <v>3</v>
      </c>
      <c r="S37" t="s">
        <v>63</v>
      </c>
      <c r="T37" t="s">
        <v>58</v>
      </c>
    </row>
    <row r="38" spans="1:20" x14ac:dyDescent="0.35">
      <c r="A38" t="s">
        <v>93</v>
      </c>
      <c r="B38" s="1">
        <v>46254</v>
      </c>
      <c r="C38" t="s">
        <v>46</v>
      </c>
      <c r="D38" t="s">
        <v>47</v>
      </c>
      <c r="E38" t="s">
        <v>16</v>
      </c>
      <c r="F38" t="s">
        <v>13</v>
      </c>
      <c r="G38" t="s">
        <v>17</v>
      </c>
      <c r="I38" t="s">
        <v>54</v>
      </c>
      <c r="J38" t="s">
        <v>60</v>
      </c>
      <c r="K38">
        <v>59.6</v>
      </c>
      <c r="L38" s="2"/>
      <c r="N38" s="2">
        <v>80</v>
      </c>
      <c r="O38" t="s">
        <v>49</v>
      </c>
      <c r="P38">
        <f>YEAR(tblServicios[[#This Row],[Fecha]])</f>
        <v>2026</v>
      </c>
      <c r="Q38">
        <f>MONTH(tblServicios[[#This Row],[Fecha]])</f>
        <v>8</v>
      </c>
      <c r="R38">
        <f>ROUNDUP(MONTH(tblServicios[[#This Row],[Fecha]])/3,0)</f>
        <v>3</v>
      </c>
      <c r="S38" t="s">
        <v>63</v>
      </c>
      <c r="T38" t="s">
        <v>94</v>
      </c>
    </row>
    <row r="39" spans="1:20" x14ac:dyDescent="0.35">
      <c r="A39" t="s">
        <v>95</v>
      </c>
      <c r="B39" s="1">
        <v>46253</v>
      </c>
      <c r="C39" t="s">
        <v>46</v>
      </c>
      <c r="D39" t="s">
        <v>47</v>
      </c>
      <c r="E39" t="s">
        <v>12</v>
      </c>
      <c r="F39" t="s">
        <v>13</v>
      </c>
      <c r="G39" t="s">
        <v>14</v>
      </c>
      <c r="I39" t="s">
        <v>48</v>
      </c>
      <c r="J39" t="s">
        <v>48</v>
      </c>
      <c r="K39">
        <v>174</v>
      </c>
      <c r="L39" s="2"/>
      <c r="N3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39" t="s">
        <v>49</v>
      </c>
      <c r="P39">
        <f>YEAR(tblServicios[[#This Row],[Fecha]])</f>
        <v>2026</v>
      </c>
      <c r="Q39">
        <f>MONTH(tblServicios[[#This Row],[Fecha]])</f>
        <v>8</v>
      </c>
      <c r="R39">
        <f>ROUNDUP(MONTH(tblServicios[[#This Row],[Fecha]])/3,0)</f>
        <v>3</v>
      </c>
      <c r="S39" t="s">
        <v>63</v>
      </c>
    </row>
    <row r="40" spans="1:20" x14ac:dyDescent="0.35">
      <c r="A40" t="s">
        <v>96</v>
      </c>
      <c r="B40" s="1">
        <v>46253</v>
      </c>
      <c r="C40" t="s">
        <v>46</v>
      </c>
      <c r="D40" t="s">
        <v>47</v>
      </c>
      <c r="E40" t="s">
        <v>16</v>
      </c>
      <c r="F40" t="s">
        <v>13</v>
      </c>
      <c r="G40" t="s">
        <v>17</v>
      </c>
      <c r="I40" t="s">
        <v>54</v>
      </c>
      <c r="J40" t="s">
        <v>54</v>
      </c>
      <c r="K40">
        <v>131.6</v>
      </c>
      <c r="L40" s="2"/>
      <c r="N4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40" t="s">
        <v>49</v>
      </c>
      <c r="P40">
        <f>YEAR(tblServicios[[#This Row],[Fecha]])</f>
        <v>2026</v>
      </c>
      <c r="Q40">
        <f>MONTH(tblServicios[[#This Row],[Fecha]])</f>
        <v>8</v>
      </c>
      <c r="R40">
        <f>ROUNDUP(MONTH(tblServicios[[#This Row],[Fecha]])/3,0)</f>
        <v>3</v>
      </c>
      <c r="S40" t="s">
        <v>63</v>
      </c>
      <c r="T40" t="s">
        <v>97</v>
      </c>
    </row>
    <row r="41" spans="1:20" x14ac:dyDescent="0.35">
      <c r="A41" t="s">
        <v>98</v>
      </c>
      <c r="B41" s="1">
        <v>46252</v>
      </c>
      <c r="C41" t="s">
        <v>46</v>
      </c>
      <c r="D41" t="s">
        <v>47</v>
      </c>
      <c r="E41" t="s">
        <v>12</v>
      </c>
      <c r="F41" t="s">
        <v>13</v>
      </c>
      <c r="G41" t="s">
        <v>14</v>
      </c>
      <c r="I41" t="s">
        <v>48</v>
      </c>
      <c r="J41" t="s">
        <v>48</v>
      </c>
      <c r="K41">
        <v>161.6</v>
      </c>
      <c r="L41" s="2"/>
      <c r="N4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1" t="s">
        <v>49</v>
      </c>
      <c r="P41">
        <f>YEAR(tblServicios[[#This Row],[Fecha]])</f>
        <v>2026</v>
      </c>
      <c r="Q41">
        <f>MONTH(tblServicios[[#This Row],[Fecha]])</f>
        <v>8</v>
      </c>
      <c r="R41">
        <f>ROUNDUP(MONTH(tblServicios[[#This Row],[Fecha]])/3,0)</f>
        <v>3</v>
      </c>
      <c r="S41" t="s">
        <v>63</v>
      </c>
    </row>
    <row r="42" spans="1:20" x14ac:dyDescent="0.35">
      <c r="A42" t="s">
        <v>99</v>
      </c>
      <c r="B42" s="1">
        <v>46252</v>
      </c>
      <c r="C42" t="s">
        <v>46</v>
      </c>
      <c r="D42" t="s">
        <v>47</v>
      </c>
      <c r="E42" t="s">
        <v>16</v>
      </c>
      <c r="F42" t="s">
        <v>13</v>
      </c>
      <c r="G42" t="s">
        <v>17</v>
      </c>
      <c r="I42" t="s">
        <v>54</v>
      </c>
      <c r="J42" t="s">
        <v>54</v>
      </c>
      <c r="K42">
        <v>117</v>
      </c>
      <c r="L42" s="2"/>
      <c r="N4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42" t="s">
        <v>49</v>
      </c>
      <c r="P42">
        <f>YEAR(tblServicios[[#This Row],[Fecha]])</f>
        <v>2026</v>
      </c>
      <c r="Q42">
        <f>MONTH(tblServicios[[#This Row],[Fecha]])</f>
        <v>8</v>
      </c>
      <c r="R42">
        <f>ROUNDUP(MONTH(tblServicios[[#This Row],[Fecha]])/3,0)</f>
        <v>3</v>
      </c>
      <c r="S42" t="s">
        <v>63</v>
      </c>
    </row>
    <row r="43" spans="1:20" x14ac:dyDescent="0.35">
      <c r="A43" t="s">
        <v>100</v>
      </c>
      <c r="B43" s="1">
        <v>46251</v>
      </c>
      <c r="C43" t="s">
        <v>46</v>
      </c>
      <c r="D43" t="s">
        <v>47</v>
      </c>
      <c r="E43" t="s">
        <v>12</v>
      </c>
      <c r="F43" t="s">
        <v>13</v>
      </c>
      <c r="G43" t="s">
        <v>14</v>
      </c>
      <c r="I43" t="s">
        <v>48</v>
      </c>
      <c r="J43" t="s">
        <v>48</v>
      </c>
      <c r="K43">
        <v>185.6</v>
      </c>
      <c r="L43" s="2"/>
      <c r="N4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3" t="s">
        <v>49</v>
      </c>
      <c r="P43">
        <f>YEAR(tblServicios[[#This Row],[Fecha]])</f>
        <v>2026</v>
      </c>
      <c r="Q43">
        <f>MONTH(tblServicios[[#This Row],[Fecha]])</f>
        <v>8</v>
      </c>
      <c r="R43">
        <f>ROUNDUP(MONTH(tblServicios[[#This Row],[Fecha]])/3,0)</f>
        <v>3</v>
      </c>
      <c r="S43" t="s">
        <v>63</v>
      </c>
    </row>
    <row r="44" spans="1:20" x14ac:dyDescent="0.35">
      <c r="A44" t="s">
        <v>101</v>
      </c>
      <c r="B44" s="1">
        <v>46251</v>
      </c>
      <c r="C44" t="s">
        <v>46</v>
      </c>
      <c r="D44" t="s">
        <v>47</v>
      </c>
      <c r="E44" t="s">
        <v>16</v>
      </c>
      <c r="F44" t="s">
        <v>13</v>
      </c>
      <c r="G44" t="s">
        <v>17</v>
      </c>
      <c r="I44" t="s">
        <v>54</v>
      </c>
      <c r="J44" t="s">
        <v>54</v>
      </c>
      <c r="K44">
        <v>117</v>
      </c>
      <c r="L44" s="2"/>
      <c r="N4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44" t="s">
        <v>49</v>
      </c>
      <c r="P44">
        <f>YEAR(tblServicios[[#This Row],[Fecha]])</f>
        <v>2026</v>
      </c>
      <c r="Q44">
        <f>MONTH(tblServicios[[#This Row],[Fecha]])</f>
        <v>8</v>
      </c>
      <c r="R44">
        <f>ROUNDUP(MONTH(tblServicios[[#This Row],[Fecha]])/3,0)</f>
        <v>3</v>
      </c>
      <c r="S44" t="s">
        <v>63</v>
      </c>
    </row>
    <row r="45" spans="1:20" x14ac:dyDescent="0.35">
      <c r="A45" t="s">
        <v>102</v>
      </c>
      <c r="B45" s="1">
        <v>46250</v>
      </c>
      <c r="C45" t="s">
        <v>46</v>
      </c>
      <c r="D45" t="s">
        <v>47</v>
      </c>
      <c r="E45" t="s">
        <v>12</v>
      </c>
      <c r="F45" t="s">
        <v>13</v>
      </c>
      <c r="G45" t="s">
        <v>14</v>
      </c>
      <c r="I45" t="s">
        <v>48</v>
      </c>
      <c r="J45" t="s">
        <v>48</v>
      </c>
      <c r="K45">
        <v>50.6</v>
      </c>
      <c r="L45" s="2"/>
      <c r="N4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5" t="s">
        <v>49</v>
      </c>
      <c r="P45">
        <f>YEAR(tblServicios[[#This Row],[Fecha]])</f>
        <v>2026</v>
      </c>
      <c r="Q45">
        <f>MONTH(tblServicios[[#This Row],[Fecha]])</f>
        <v>8</v>
      </c>
      <c r="R45">
        <f>ROUNDUP(MONTH(tblServicios[[#This Row],[Fecha]])/3,0)</f>
        <v>3</v>
      </c>
      <c r="S45" t="s">
        <v>63</v>
      </c>
    </row>
    <row r="46" spans="1:20" x14ac:dyDescent="0.35">
      <c r="A46" t="s">
        <v>103</v>
      </c>
      <c r="B46" s="1">
        <v>46249</v>
      </c>
      <c r="C46" t="s">
        <v>46</v>
      </c>
      <c r="D46" t="s">
        <v>47</v>
      </c>
      <c r="E46" t="s">
        <v>12</v>
      </c>
      <c r="F46" t="s">
        <v>13</v>
      </c>
      <c r="G46" t="s">
        <v>14</v>
      </c>
      <c r="I46" t="s">
        <v>48</v>
      </c>
      <c r="J46" t="s">
        <v>48</v>
      </c>
      <c r="K46">
        <v>229</v>
      </c>
      <c r="L46" s="2"/>
      <c r="N4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6" t="s">
        <v>49</v>
      </c>
      <c r="P46">
        <f>YEAR(tblServicios[[#This Row],[Fecha]])</f>
        <v>2026</v>
      </c>
      <c r="Q46">
        <f>MONTH(tblServicios[[#This Row],[Fecha]])</f>
        <v>8</v>
      </c>
      <c r="R46">
        <f>ROUNDUP(MONTH(tblServicios[[#This Row],[Fecha]])/3,0)</f>
        <v>3</v>
      </c>
      <c r="S46" t="s">
        <v>63</v>
      </c>
    </row>
    <row r="47" spans="1:20" x14ac:dyDescent="0.35">
      <c r="A47" t="s">
        <v>104</v>
      </c>
      <c r="B47" s="1">
        <v>46248</v>
      </c>
      <c r="C47" t="s">
        <v>46</v>
      </c>
      <c r="D47" t="s">
        <v>47</v>
      </c>
      <c r="E47" t="s">
        <v>12</v>
      </c>
      <c r="F47" t="s">
        <v>13</v>
      </c>
      <c r="G47" t="s">
        <v>14</v>
      </c>
      <c r="I47" t="s">
        <v>48</v>
      </c>
      <c r="J47" t="s">
        <v>48</v>
      </c>
      <c r="K47">
        <v>236.6</v>
      </c>
      <c r="L47" s="2"/>
      <c r="N4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7" t="s">
        <v>49</v>
      </c>
      <c r="P47">
        <f>YEAR(tblServicios[[#This Row],[Fecha]])</f>
        <v>2026</v>
      </c>
      <c r="Q47">
        <f>MONTH(tblServicios[[#This Row],[Fecha]])</f>
        <v>8</v>
      </c>
      <c r="R47">
        <f>ROUNDUP(MONTH(tblServicios[[#This Row],[Fecha]])/3,0)</f>
        <v>3</v>
      </c>
      <c r="S47" t="s">
        <v>63</v>
      </c>
    </row>
    <row r="48" spans="1:20" x14ac:dyDescent="0.35">
      <c r="A48" t="s">
        <v>105</v>
      </c>
      <c r="B48" s="1">
        <v>46248</v>
      </c>
      <c r="C48" t="s">
        <v>46</v>
      </c>
      <c r="D48" t="s">
        <v>47</v>
      </c>
      <c r="E48" t="s">
        <v>16</v>
      </c>
      <c r="F48" t="s">
        <v>13</v>
      </c>
      <c r="G48" t="s">
        <v>17</v>
      </c>
      <c r="I48" t="s">
        <v>54</v>
      </c>
      <c r="J48" t="s">
        <v>54</v>
      </c>
      <c r="K48">
        <v>118</v>
      </c>
      <c r="L48" s="2"/>
      <c r="N4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48" t="s">
        <v>49</v>
      </c>
      <c r="P48">
        <f>YEAR(tblServicios[[#This Row],[Fecha]])</f>
        <v>2026</v>
      </c>
      <c r="Q48">
        <f>MONTH(tblServicios[[#This Row],[Fecha]])</f>
        <v>8</v>
      </c>
      <c r="R48">
        <f>ROUNDUP(MONTH(tblServicios[[#This Row],[Fecha]])/3,0)</f>
        <v>3</v>
      </c>
      <c r="S48" t="s">
        <v>63</v>
      </c>
    </row>
    <row r="49" spans="1:20" x14ac:dyDescent="0.35">
      <c r="A49" t="s">
        <v>106</v>
      </c>
      <c r="B49" s="1">
        <v>46247</v>
      </c>
      <c r="C49" t="s">
        <v>46</v>
      </c>
      <c r="D49" t="s">
        <v>47</v>
      </c>
      <c r="E49" t="s">
        <v>12</v>
      </c>
      <c r="F49" t="s">
        <v>13</v>
      </c>
      <c r="G49" t="s">
        <v>14</v>
      </c>
      <c r="I49" t="s">
        <v>48</v>
      </c>
      <c r="J49" t="s">
        <v>48</v>
      </c>
      <c r="K49">
        <v>161.5</v>
      </c>
      <c r="L49" s="2"/>
      <c r="N4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9" t="s">
        <v>49</v>
      </c>
      <c r="P49">
        <f>YEAR(tblServicios[[#This Row],[Fecha]])</f>
        <v>2026</v>
      </c>
      <c r="Q49">
        <f>MONTH(tblServicios[[#This Row],[Fecha]])</f>
        <v>8</v>
      </c>
      <c r="R49">
        <f>ROUNDUP(MONTH(tblServicios[[#This Row],[Fecha]])/3,0)</f>
        <v>3</v>
      </c>
      <c r="S49" t="s">
        <v>63</v>
      </c>
    </row>
    <row r="50" spans="1:20" x14ac:dyDescent="0.35">
      <c r="A50" t="s">
        <v>107</v>
      </c>
      <c r="B50" s="1">
        <v>46247</v>
      </c>
      <c r="C50" t="s">
        <v>46</v>
      </c>
      <c r="D50" t="s">
        <v>47</v>
      </c>
      <c r="E50" t="s">
        <v>15</v>
      </c>
      <c r="F50" t="s">
        <v>13</v>
      </c>
      <c r="G50" t="s">
        <v>17</v>
      </c>
      <c r="I50" t="s">
        <v>48</v>
      </c>
      <c r="J50" t="s">
        <v>48</v>
      </c>
      <c r="K50">
        <v>63.2</v>
      </c>
      <c r="L50" s="2"/>
      <c r="N50" s="2">
        <v>120</v>
      </c>
      <c r="O50" t="s">
        <v>49</v>
      </c>
      <c r="P50">
        <f>YEAR(tblServicios[[#This Row],[Fecha]])</f>
        <v>2026</v>
      </c>
      <c r="Q50">
        <f>MONTH(tblServicios[[#This Row],[Fecha]])</f>
        <v>8</v>
      </c>
      <c r="R50">
        <f>ROUNDUP(MONTH(tblServicios[[#This Row],[Fecha]])/3,0)</f>
        <v>3</v>
      </c>
      <c r="S50" t="s">
        <v>63</v>
      </c>
      <c r="T50" t="s">
        <v>58</v>
      </c>
    </row>
    <row r="51" spans="1:20" x14ac:dyDescent="0.35">
      <c r="A51" t="s">
        <v>108</v>
      </c>
      <c r="B51" s="1">
        <v>46246</v>
      </c>
      <c r="C51" t="s">
        <v>46</v>
      </c>
      <c r="D51" t="s">
        <v>47</v>
      </c>
      <c r="E51" t="s">
        <v>12</v>
      </c>
      <c r="F51" t="s">
        <v>13</v>
      </c>
      <c r="G51" t="s">
        <v>14</v>
      </c>
      <c r="I51" t="s">
        <v>48</v>
      </c>
      <c r="J51" t="s">
        <v>48</v>
      </c>
      <c r="K51">
        <v>171.6</v>
      </c>
      <c r="L51" s="2"/>
      <c r="N5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1" t="s">
        <v>49</v>
      </c>
      <c r="P51">
        <f>YEAR(tblServicios[[#This Row],[Fecha]])</f>
        <v>2026</v>
      </c>
      <c r="Q51">
        <f>MONTH(tblServicios[[#This Row],[Fecha]])</f>
        <v>8</v>
      </c>
      <c r="R51">
        <f>ROUNDUP(MONTH(tblServicios[[#This Row],[Fecha]])/3,0)</f>
        <v>3</v>
      </c>
      <c r="S51" t="s">
        <v>63</v>
      </c>
    </row>
    <row r="52" spans="1:20" x14ac:dyDescent="0.35">
      <c r="A52" t="s">
        <v>109</v>
      </c>
      <c r="B52" s="1">
        <v>46245</v>
      </c>
      <c r="C52" t="s">
        <v>46</v>
      </c>
      <c r="D52" t="s">
        <v>47</v>
      </c>
      <c r="E52" t="s">
        <v>12</v>
      </c>
      <c r="F52" t="s">
        <v>13</v>
      </c>
      <c r="G52" t="s">
        <v>14</v>
      </c>
      <c r="I52" t="s">
        <v>48</v>
      </c>
      <c r="J52" t="s">
        <v>48</v>
      </c>
      <c r="K52">
        <v>164.9</v>
      </c>
      <c r="L52" s="2"/>
      <c r="N5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2" t="s">
        <v>49</v>
      </c>
      <c r="P52">
        <f>YEAR(tblServicios[[#This Row],[Fecha]])</f>
        <v>2026</v>
      </c>
      <c r="Q52">
        <f>MONTH(tblServicios[[#This Row],[Fecha]])</f>
        <v>8</v>
      </c>
      <c r="R52">
        <f>ROUNDUP(MONTH(tblServicios[[#This Row],[Fecha]])/3,0)</f>
        <v>3</v>
      </c>
      <c r="S52" t="s">
        <v>63</v>
      </c>
    </row>
    <row r="53" spans="1:20" x14ac:dyDescent="0.35">
      <c r="A53" t="s">
        <v>110</v>
      </c>
      <c r="B53" s="1">
        <v>46245</v>
      </c>
      <c r="C53" t="s">
        <v>46</v>
      </c>
      <c r="D53" t="s">
        <v>47</v>
      </c>
      <c r="E53" t="s">
        <v>15</v>
      </c>
      <c r="F53" t="s">
        <v>13</v>
      </c>
      <c r="G53" t="s">
        <v>17</v>
      </c>
      <c r="I53" t="s">
        <v>48</v>
      </c>
      <c r="J53" t="s">
        <v>48</v>
      </c>
      <c r="K53">
        <v>70</v>
      </c>
      <c r="L53" s="2"/>
      <c r="N53" s="2">
        <v>120</v>
      </c>
      <c r="O53" t="s">
        <v>49</v>
      </c>
      <c r="P53">
        <f>YEAR(tblServicios[[#This Row],[Fecha]])</f>
        <v>2026</v>
      </c>
      <c r="Q53">
        <f>MONTH(tblServicios[[#This Row],[Fecha]])</f>
        <v>8</v>
      </c>
      <c r="R53">
        <f>ROUNDUP(MONTH(tblServicios[[#This Row],[Fecha]])/3,0)</f>
        <v>3</v>
      </c>
      <c r="S53" t="s">
        <v>63</v>
      </c>
      <c r="T53" t="s">
        <v>111</v>
      </c>
    </row>
    <row r="54" spans="1:20" x14ac:dyDescent="0.35">
      <c r="A54" t="s">
        <v>112</v>
      </c>
      <c r="B54" s="1">
        <v>46244</v>
      </c>
      <c r="C54" t="s">
        <v>46</v>
      </c>
      <c r="D54" t="s">
        <v>47</v>
      </c>
      <c r="E54" t="s">
        <v>12</v>
      </c>
      <c r="F54" t="s">
        <v>13</v>
      </c>
      <c r="G54" t="s">
        <v>14</v>
      </c>
      <c r="I54" t="s">
        <v>48</v>
      </c>
      <c r="J54" t="s">
        <v>48</v>
      </c>
      <c r="K54">
        <v>190.3</v>
      </c>
      <c r="L54" s="2"/>
      <c r="N5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4" t="s">
        <v>49</v>
      </c>
      <c r="P54">
        <f>YEAR(tblServicios[[#This Row],[Fecha]])</f>
        <v>2026</v>
      </c>
      <c r="Q54">
        <f>MONTH(tblServicios[[#This Row],[Fecha]])</f>
        <v>8</v>
      </c>
      <c r="R54">
        <f>ROUNDUP(MONTH(tblServicios[[#This Row],[Fecha]])/3,0)</f>
        <v>3</v>
      </c>
      <c r="S54" t="s">
        <v>63</v>
      </c>
    </row>
    <row r="55" spans="1:20" x14ac:dyDescent="0.35">
      <c r="A55" t="s">
        <v>113</v>
      </c>
      <c r="B55" s="1">
        <v>46244</v>
      </c>
      <c r="C55" t="s">
        <v>46</v>
      </c>
      <c r="D55" t="s">
        <v>47</v>
      </c>
      <c r="E55" t="s">
        <v>15</v>
      </c>
      <c r="F55" t="s">
        <v>13</v>
      </c>
      <c r="G55" t="s">
        <v>17</v>
      </c>
      <c r="I55" t="s">
        <v>48</v>
      </c>
      <c r="J55" t="s">
        <v>48</v>
      </c>
      <c r="K55">
        <v>70</v>
      </c>
      <c r="L55" s="2"/>
      <c r="N55" s="2">
        <v>120</v>
      </c>
      <c r="O55" t="s">
        <v>49</v>
      </c>
      <c r="P55">
        <f>YEAR(tblServicios[[#This Row],[Fecha]])</f>
        <v>2026</v>
      </c>
      <c r="Q55">
        <f>MONTH(tblServicios[[#This Row],[Fecha]])</f>
        <v>8</v>
      </c>
      <c r="R55">
        <f>ROUNDUP(MONTH(tblServicios[[#This Row],[Fecha]])/3,0)</f>
        <v>3</v>
      </c>
      <c r="S55" t="s">
        <v>63</v>
      </c>
      <c r="T55" t="s">
        <v>114</v>
      </c>
    </row>
    <row r="56" spans="1:20" x14ac:dyDescent="0.35">
      <c r="A56" t="s">
        <v>115</v>
      </c>
      <c r="B56" s="1">
        <v>46238</v>
      </c>
      <c r="C56" t="s">
        <v>46</v>
      </c>
      <c r="D56" t="s">
        <v>47</v>
      </c>
      <c r="E56" t="s">
        <v>12</v>
      </c>
      <c r="F56" t="s">
        <v>13</v>
      </c>
      <c r="G56" t="s">
        <v>14</v>
      </c>
      <c r="I56" t="s">
        <v>48</v>
      </c>
      <c r="J56" t="s">
        <v>48</v>
      </c>
      <c r="K56">
        <v>160.6</v>
      </c>
      <c r="L56" s="2"/>
      <c r="N5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6" t="s">
        <v>49</v>
      </c>
      <c r="P56">
        <f>YEAR(tblServicios[[#This Row],[Fecha]])</f>
        <v>2026</v>
      </c>
      <c r="Q56">
        <f>MONTH(tblServicios[[#This Row],[Fecha]])</f>
        <v>8</v>
      </c>
      <c r="R56">
        <f>ROUNDUP(MONTH(tblServicios[[#This Row],[Fecha]])/3,0)</f>
        <v>3</v>
      </c>
      <c r="S56" t="s">
        <v>63</v>
      </c>
    </row>
    <row r="57" spans="1:20" x14ac:dyDescent="0.35">
      <c r="A57" t="s">
        <v>116</v>
      </c>
      <c r="B57" s="1">
        <v>46237</v>
      </c>
      <c r="C57" t="s">
        <v>46</v>
      </c>
      <c r="D57" t="s">
        <v>47</v>
      </c>
      <c r="E57" t="s">
        <v>12</v>
      </c>
      <c r="F57" t="s">
        <v>13</v>
      </c>
      <c r="G57" t="s">
        <v>14</v>
      </c>
      <c r="I57" t="s">
        <v>48</v>
      </c>
      <c r="J57" t="s">
        <v>48</v>
      </c>
      <c r="K57">
        <v>191</v>
      </c>
      <c r="L57" s="2"/>
      <c r="N5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7" t="s">
        <v>49</v>
      </c>
      <c r="P57">
        <f>YEAR(tblServicios[[#This Row],[Fecha]])</f>
        <v>2026</v>
      </c>
      <c r="Q57">
        <f>MONTH(tblServicios[[#This Row],[Fecha]])</f>
        <v>8</v>
      </c>
      <c r="R57">
        <f>ROUNDUP(MONTH(tblServicios[[#This Row],[Fecha]])/3,0)</f>
        <v>3</v>
      </c>
      <c r="S57" t="s">
        <v>63</v>
      </c>
    </row>
    <row r="58" spans="1:20" x14ac:dyDescent="0.35">
      <c r="A58" t="s">
        <v>117</v>
      </c>
      <c r="B58" s="1">
        <v>46237</v>
      </c>
      <c r="C58" t="s">
        <v>46</v>
      </c>
      <c r="D58" t="s">
        <v>47</v>
      </c>
      <c r="E58" t="s">
        <v>15</v>
      </c>
      <c r="F58" t="s">
        <v>13</v>
      </c>
      <c r="G58" t="s">
        <v>17</v>
      </c>
      <c r="I58" t="s">
        <v>48</v>
      </c>
      <c r="J58" t="s">
        <v>48</v>
      </c>
      <c r="K58">
        <v>43.8</v>
      </c>
      <c r="L58" s="2"/>
      <c r="N58" s="2">
        <v>80</v>
      </c>
      <c r="O58" t="s">
        <v>49</v>
      </c>
      <c r="P58">
        <f>YEAR(tblServicios[[#This Row],[Fecha]])</f>
        <v>2026</v>
      </c>
      <c r="Q58">
        <f>MONTH(tblServicios[[#This Row],[Fecha]])</f>
        <v>8</v>
      </c>
      <c r="R58">
        <f>ROUNDUP(MONTH(tblServicios[[#This Row],[Fecha]])/3,0)</f>
        <v>3</v>
      </c>
      <c r="S58" t="s">
        <v>63</v>
      </c>
      <c r="T58" t="s">
        <v>118</v>
      </c>
    </row>
    <row r="59" spans="1:20" x14ac:dyDescent="0.35">
      <c r="A59" t="s">
        <v>119</v>
      </c>
      <c r="B59" s="1">
        <v>46236</v>
      </c>
      <c r="C59" t="s">
        <v>46</v>
      </c>
      <c r="D59" t="s">
        <v>47</v>
      </c>
      <c r="E59" t="s">
        <v>12</v>
      </c>
      <c r="F59" t="s">
        <v>13</v>
      </c>
      <c r="G59" t="s">
        <v>14</v>
      </c>
      <c r="H59" t="s">
        <v>23</v>
      </c>
      <c r="I59" t="s">
        <v>48</v>
      </c>
      <c r="J59" t="s">
        <v>48</v>
      </c>
      <c r="K59">
        <v>117.6</v>
      </c>
      <c r="L59" s="2"/>
      <c r="N5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9" t="s">
        <v>49</v>
      </c>
      <c r="P59">
        <f>YEAR(tblServicios[[#This Row],[Fecha]])</f>
        <v>2026</v>
      </c>
      <c r="Q59">
        <f>MONTH(tblServicios[[#This Row],[Fecha]])</f>
        <v>8</v>
      </c>
      <c r="R59">
        <f>ROUNDUP(MONTH(tblServicios[[#This Row],[Fecha]])/3,0)</f>
        <v>3</v>
      </c>
      <c r="S59" t="s">
        <v>63</v>
      </c>
    </row>
    <row r="60" spans="1:20" x14ac:dyDescent="0.35">
      <c r="A60" t="s">
        <v>120</v>
      </c>
      <c r="B60" s="1">
        <v>46235</v>
      </c>
      <c r="C60" t="s">
        <v>46</v>
      </c>
      <c r="D60" t="s">
        <v>47</v>
      </c>
      <c r="E60" t="s">
        <v>12</v>
      </c>
      <c r="F60" t="s">
        <v>13</v>
      </c>
      <c r="G60" t="s">
        <v>14</v>
      </c>
      <c r="H60" t="s">
        <v>23</v>
      </c>
      <c r="I60" t="s">
        <v>48</v>
      </c>
      <c r="J60" t="s">
        <v>48</v>
      </c>
      <c r="K60">
        <v>196.6</v>
      </c>
      <c r="L60" s="2"/>
      <c r="N6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0" t="s">
        <v>49</v>
      </c>
      <c r="P60">
        <f>YEAR(tblServicios[[#This Row],[Fecha]])</f>
        <v>2026</v>
      </c>
      <c r="Q60">
        <f>MONTH(tblServicios[[#This Row],[Fecha]])</f>
        <v>8</v>
      </c>
      <c r="R60">
        <f>ROUNDUP(MONTH(tblServicios[[#This Row],[Fecha]])/3,0)</f>
        <v>3</v>
      </c>
      <c r="S60" t="s">
        <v>63</v>
      </c>
    </row>
    <row r="61" spans="1:20" x14ac:dyDescent="0.35">
      <c r="A61" t="s">
        <v>121</v>
      </c>
      <c r="B61" s="1">
        <v>46234</v>
      </c>
      <c r="C61" t="s">
        <v>46</v>
      </c>
      <c r="D61" t="s">
        <v>47</v>
      </c>
      <c r="E61" t="s">
        <v>12</v>
      </c>
      <c r="F61" t="s">
        <v>13</v>
      </c>
      <c r="G61" t="s">
        <v>14</v>
      </c>
      <c r="I61" t="s">
        <v>48</v>
      </c>
      <c r="J61" t="s">
        <v>48</v>
      </c>
      <c r="K61">
        <v>264</v>
      </c>
      <c r="L61" s="2"/>
      <c r="N6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1" t="s">
        <v>122</v>
      </c>
      <c r="P61">
        <f>YEAR(tblServicios[[#This Row],[Fecha]])</f>
        <v>2026</v>
      </c>
      <c r="Q61">
        <f>MONTH(tblServicios[[#This Row],[Fecha]])</f>
        <v>7</v>
      </c>
      <c r="R61">
        <f>ROUNDUP(MONTH(tblServicios[[#This Row],[Fecha]])/3,0)</f>
        <v>3</v>
      </c>
      <c r="S61" t="s">
        <v>123</v>
      </c>
    </row>
    <row r="62" spans="1:20" x14ac:dyDescent="0.35">
      <c r="A62" t="s">
        <v>124</v>
      </c>
      <c r="B62" s="1">
        <v>46234</v>
      </c>
      <c r="C62" t="s">
        <v>46</v>
      </c>
      <c r="D62" t="s">
        <v>47</v>
      </c>
      <c r="E62" t="s">
        <v>15</v>
      </c>
      <c r="F62" t="s">
        <v>13</v>
      </c>
      <c r="G62" t="s">
        <v>17</v>
      </c>
      <c r="I62" t="s">
        <v>48</v>
      </c>
      <c r="J62" t="s">
        <v>48</v>
      </c>
      <c r="K62">
        <v>40.9</v>
      </c>
      <c r="L62" s="2"/>
      <c r="N6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62" t="s">
        <v>122</v>
      </c>
      <c r="P62">
        <f>YEAR(tblServicios[[#This Row],[Fecha]])</f>
        <v>2026</v>
      </c>
      <c r="Q62">
        <f>MONTH(tblServicios[[#This Row],[Fecha]])</f>
        <v>7</v>
      </c>
      <c r="R62">
        <f>ROUNDUP(MONTH(tblServicios[[#This Row],[Fecha]])/3,0)</f>
        <v>3</v>
      </c>
      <c r="S62" t="s">
        <v>123</v>
      </c>
    </row>
    <row r="63" spans="1:20" x14ac:dyDescent="0.35">
      <c r="A63" t="s">
        <v>125</v>
      </c>
      <c r="B63" s="1">
        <v>46233</v>
      </c>
      <c r="C63" t="s">
        <v>46</v>
      </c>
      <c r="D63" t="s">
        <v>47</v>
      </c>
      <c r="E63" t="s">
        <v>12</v>
      </c>
      <c r="F63" t="s">
        <v>13</v>
      </c>
      <c r="G63" t="s">
        <v>14</v>
      </c>
      <c r="I63" t="s">
        <v>48</v>
      </c>
      <c r="J63" t="s">
        <v>48</v>
      </c>
      <c r="K63">
        <v>168</v>
      </c>
      <c r="L63" s="2"/>
      <c r="N6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3" t="s">
        <v>122</v>
      </c>
      <c r="P63">
        <f>YEAR(tblServicios[[#This Row],[Fecha]])</f>
        <v>2026</v>
      </c>
      <c r="Q63">
        <f>MONTH(tblServicios[[#This Row],[Fecha]])</f>
        <v>7</v>
      </c>
      <c r="R63">
        <f>ROUNDUP(MONTH(tblServicios[[#This Row],[Fecha]])/3,0)</f>
        <v>3</v>
      </c>
      <c r="S63" t="s">
        <v>123</v>
      </c>
    </row>
    <row r="64" spans="1:20" x14ac:dyDescent="0.35">
      <c r="A64" t="s">
        <v>126</v>
      </c>
      <c r="B64" s="1">
        <v>46232</v>
      </c>
      <c r="C64" t="s">
        <v>46</v>
      </c>
      <c r="D64" t="s">
        <v>47</v>
      </c>
      <c r="E64" t="s">
        <v>12</v>
      </c>
      <c r="F64" t="s">
        <v>13</v>
      </c>
      <c r="G64" t="s">
        <v>14</v>
      </c>
      <c r="I64" t="s">
        <v>48</v>
      </c>
      <c r="J64" t="s">
        <v>48</v>
      </c>
      <c r="K64">
        <v>184.6</v>
      </c>
      <c r="L64" s="2"/>
      <c r="N6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4" t="s">
        <v>122</v>
      </c>
      <c r="P64">
        <f>YEAR(tblServicios[[#This Row],[Fecha]])</f>
        <v>2026</v>
      </c>
      <c r="Q64">
        <f>MONTH(tblServicios[[#This Row],[Fecha]])</f>
        <v>7</v>
      </c>
      <c r="R64">
        <f>ROUNDUP(MONTH(tblServicios[[#This Row],[Fecha]])/3,0)</f>
        <v>3</v>
      </c>
      <c r="S64" t="s">
        <v>123</v>
      </c>
    </row>
    <row r="65" spans="1:20" x14ac:dyDescent="0.35">
      <c r="A65" t="s">
        <v>127</v>
      </c>
      <c r="B65" s="1">
        <v>46231</v>
      </c>
      <c r="C65" t="s">
        <v>46</v>
      </c>
      <c r="D65" t="s">
        <v>47</v>
      </c>
      <c r="E65" t="s">
        <v>12</v>
      </c>
      <c r="F65" t="s">
        <v>13</v>
      </c>
      <c r="G65" t="s">
        <v>14</v>
      </c>
      <c r="I65" t="s">
        <v>48</v>
      </c>
      <c r="J65" t="s">
        <v>48</v>
      </c>
      <c r="K65">
        <v>58</v>
      </c>
      <c r="L65" s="2"/>
      <c r="N6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5" t="s">
        <v>122</v>
      </c>
      <c r="P65">
        <f>YEAR(tblServicios[[#This Row],[Fecha]])</f>
        <v>2026</v>
      </c>
      <c r="Q65">
        <f>MONTH(tblServicios[[#This Row],[Fecha]])</f>
        <v>7</v>
      </c>
      <c r="R65">
        <f>ROUNDUP(MONTH(tblServicios[[#This Row],[Fecha]])/3,0)</f>
        <v>3</v>
      </c>
      <c r="S65" t="s">
        <v>123</v>
      </c>
    </row>
    <row r="66" spans="1:20" x14ac:dyDescent="0.35">
      <c r="A66" t="s">
        <v>128</v>
      </c>
      <c r="B66" s="1">
        <v>46231</v>
      </c>
      <c r="C66" t="s">
        <v>46</v>
      </c>
      <c r="D66" t="s">
        <v>47</v>
      </c>
      <c r="E66" t="s">
        <v>15</v>
      </c>
      <c r="F66" t="s">
        <v>13</v>
      </c>
      <c r="G66" t="s">
        <v>17</v>
      </c>
      <c r="I66" t="s">
        <v>48</v>
      </c>
      <c r="J66" t="s">
        <v>48</v>
      </c>
      <c r="K66">
        <v>62.4</v>
      </c>
      <c r="L66" s="2"/>
      <c r="N6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66" t="s">
        <v>122</v>
      </c>
      <c r="P66">
        <f>YEAR(tblServicios[[#This Row],[Fecha]])</f>
        <v>2026</v>
      </c>
      <c r="Q66">
        <f>MONTH(tblServicios[[#This Row],[Fecha]])</f>
        <v>7</v>
      </c>
      <c r="R66">
        <f>ROUNDUP(MONTH(tblServicios[[#This Row],[Fecha]])/3,0)</f>
        <v>3</v>
      </c>
      <c r="S66" t="s">
        <v>123</v>
      </c>
    </row>
    <row r="67" spans="1:20" x14ac:dyDescent="0.35">
      <c r="A67" t="s">
        <v>129</v>
      </c>
      <c r="B67" s="1">
        <v>46230</v>
      </c>
      <c r="C67" t="s">
        <v>46</v>
      </c>
      <c r="D67" t="s">
        <v>47</v>
      </c>
      <c r="E67" t="s">
        <v>12</v>
      </c>
      <c r="F67" t="s">
        <v>13</v>
      </c>
      <c r="G67" t="s">
        <v>14</v>
      </c>
      <c r="I67" t="s">
        <v>48</v>
      </c>
      <c r="J67" t="s">
        <v>48</v>
      </c>
      <c r="K67">
        <v>152.6</v>
      </c>
      <c r="L67" s="2"/>
      <c r="N6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7" t="s">
        <v>122</v>
      </c>
      <c r="P67">
        <f>YEAR(tblServicios[[#This Row],[Fecha]])</f>
        <v>2026</v>
      </c>
      <c r="Q67">
        <f>MONTH(tblServicios[[#This Row],[Fecha]])</f>
        <v>7</v>
      </c>
      <c r="R67">
        <f>ROUNDUP(MONTH(tblServicios[[#This Row],[Fecha]])/3,0)</f>
        <v>3</v>
      </c>
      <c r="S67" t="s">
        <v>123</v>
      </c>
    </row>
    <row r="68" spans="1:20" x14ac:dyDescent="0.35">
      <c r="A68" t="s">
        <v>130</v>
      </c>
      <c r="B68" s="1">
        <v>46230</v>
      </c>
      <c r="C68" t="s">
        <v>46</v>
      </c>
      <c r="D68" t="s">
        <v>47</v>
      </c>
      <c r="E68" t="s">
        <v>15</v>
      </c>
      <c r="F68" t="s">
        <v>13</v>
      </c>
      <c r="G68" t="s">
        <v>17</v>
      </c>
      <c r="I68" t="s">
        <v>48</v>
      </c>
      <c r="J68" t="s">
        <v>48</v>
      </c>
      <c r="K68">
        <v>85</v>
      </c>
      <c r="L68" s="2"/>
      <c r="N6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68" t="s">
        <v>122</v>
      </c>
      <c r="P68">
        <f>YEAR(tblServicios[[#This Row],[Fecha]])</f>
        <v>2026</v>
      </c>
      <c r="Q68">
        <f>MONTH(tblServicios[[#This Row],[Fecha]])</f>
        <v>7</v>
      </c>
      <c r="R68">
        <f>ROUNDUP(MONTH(tblServicios[[#This Row],[Fecha]])/3,0)</f>
        <v>3</v>
      </c>
      <c r="S68" t="s">
        <v>123</v>
      </c>
      <c r="T68" t="s">
        <v>131</v>
      </c>
    </row>
    <row r="69" spans="1:20" x14ac:dyDescent="0.35">
      <c r="A69" t="s">
        <v>132</v>
      </c>
      <c r="B69" s="1">
        <v>46229</v>
      </c>
      <c r="C69" t="s">
        <v>46</v>
      </c>
      <c r="D69" t="s">
        <v>47</v>
      </c>
      <c r="E69" t="s">
        <v>12</v>
      </c>
      <c r="F69" t="s">
        <v>13</v>
      </c>
      <c r="G69" t="s">
        <v>14</v>
      </c>
      <c r="H69" t="s">
        <v>23</v>
      </c>
      <c r="I69" t="s">
        <v>48</v>
      </c>
      <c r="J69" t="s">
        <v>48</v>
      </c>
      <c r="K69">
        <v>97.6</v>
      </c>
      <c r="L69" s="2"/>
      <c r="N6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9" t="s">
        <v>122</v>
      </c>
      <c r="P69">
        <f>YEAR(tblServicios[[#This Row],[Fecha]])</f>
        <v>2026</v>
      </c>
      <c r="Q69">
        <f>MONTH(tblServicios[[#This Row],[Fecha]])</f>
        <v>7</v>
      </c>
      <c r="R69">
        <f>ROUNDUP(MONTH(tblServicios[[#This Row],[Fecha]])/3,0)</f>
        <v>3</v>
      </c>
      <c r="S69" t="s">
        <v>123</v>
      </c>
    </row>
    <row r="70" spans="1:20" x14ac:dyDescent="0.35">
      <c r="A70" t="s">
        <v>133</v>
      </c>
      <c r="B70" s="1">
        <v>46228</v>
      </c>
      <c r="C70" t="s">
        <v>46</v>
      </c>
      <c r="D70" t="s">
        <v>47</v>
      </c>
      <c r="E70" t="s">
        <v>12</v>
      </c>
      <c r="F70" t="s">
        <v>13</v>
      </c>
      <c r="G70" t="s">
        <v>14</v>
      </c>
      <c r="I70" t="s">
        <v>48</v>
      </c>
      <c r="J70" t="s">
        <v>48</v>
      </c>
      <c r="K70">
        <v>172.6</v>
      </c>
      <c r="L70" s="2"/>
      <c r="N7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0" t="s">
        <v>122</v>
      </c>
      <c r="P70">
        <f>YEAR(tblServicios[[#This Row],[Fecha]])</f>
        <v>2026</v>
      </c>
      <c r="Q70">
        <f>MONTH(tblServicios[[#This Row],[Fecha]])</f>
        <v>7</v>
      </c>
      <c r="R70">
        <f>ROUNDUP(MONTH(tblServicios[[#This Row],[Fecha]])/3,0)</f>
        <v>3</v>
      </c>
      <c r="S70" t="s">
        <v>123</v>
      </c>
    </row>
    <row r="71" spans="1:20" x14ac:dyDescent="0.35">
      <c r="A71" t="s">
        <v>134</v>
      </c>
      <c r="B71" s="1">
        <v>46227</v>
      </c>
      <c r="C71" t="s">
        <v>46</v>
      </c>
      <c r="D71" t="s">
        <v>47</v>
      </c>
      <c r="E71" t="s">
        <v>12</v>
      </c>
      <c r="F71" t="s">
        <v>13</v>
      </c>
      <c r="G71" t="s">
        <v>14</v>
      </c>
      <c r="I71" t="s">
        <v>48</v>
      </c>
      <c r="J71" t="s">
        <v>48</v>
      </c>
      <c r="K71">
        <v>152.6</v>
      </c>
      <c r="L71" s="2"/>
      <c r="N7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1" t="s">
        <v>122</v>
      </c>
      <c r="P71">
        <f>YEAR(tblServicios[[#This Row],[Fecha]])</f>
        <v>2026</v>
      </c>
      <c r="Q71">
        <f>MONTH(tblServicios[[#This Row],[Fecha]])</f>
        <v>7</v>
      </c>
      <c r="R71">
        <f>ROUNDUP(MONTH(tblServicios[[#This Row],[Fecha]])/3,0)</f>
        <v>3</v>
      </c>
      <c r="S71" t="s">
        <v>123</v>
      </c>
    </row>
    <row r="72" spans="1:20" x14ac:dyDescent="0.35">
      <c r="A72" t="s">
        <v>135</v>
      </c>
      <c r="B72" s="1">
        <v>46226</v>
      </c>
      <c r="C72" t="s">
        <v>46</v>
      </c>
      <c r="D72" t="s">
        <v>47</v>
      </c>
      <c r="E72" t="s">
        <v>12</v>
      </c>
      <c r="F72" t="s">
        <v>13</v>
      </c>
      <c r="G72" t="s">
        <v>14</v>
      </c>
      <c r="I72" t="s">
        <v>48</v>
      </c>
      <c r="J72" t="s">
        <v>48</v>
      </c>
      <c r="K72">
        <v>234</v>
      </c>
      <c r="L72" s="2"/>
      <c r="N7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2" t="s">
        <v>122</v>
      </c>
      <c r="P72">
        <f>YEAR(tblServicios[[#This Row],[Fecha]])</f>
        <v>2026</v>
      </c>
      <c r="Q72">
        <f>MONTH(tblServicios[[#This Row],[Fecha]])</f>
        <v>7</v>
      </c>
      <c r="R72">
        <f>ROUNDUP(MONTH(tblServicios[[#This Row],[Fecha]])/3,0)</f>
        <v>3</v>
      </c>
      <c r="S72" t="s">
        <v>123</v>
      </c>
      <c r="T72" t="s">
        <v>136</v>
      </c>
    </row>
    <row r="73" spans="1:20" x14ac:dyDescent="0.35">
      <c r="A73" t="s">
        <v>137</v>
      </c>
      <c r="B73" s="1">
        <v>46226</v>
      </c>
      <c r="C73" t="s">
        <v>46</v>
      </c>
      <c r="D73" t="s">
        <v>47</v>
      </c>
      <c r="E73" t="s">
        <v>15</v>
      </c>
      <c r="F73" t="s">
        <v>13</v>
      </c>
      <c r="G73" t="s">
        <v>17</v>
      </c>
      <c r="I73" t="s">
        <v>48</v>
      </c>
      <c r="J73" t="s">
        <v>48</v>
      </c>
      <c r="K73">
        <v>62.5</v>
      </c>
      <c r="L73" s="2"/>
      <c r="N7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73" t="s">
        <v>122</v>
      </c>
      <c r="P73">
        <f>YEAR(tblServicios[[#This Row],[Fecha]])</f>
        <v>2026</v>
      </c>
      <c r="Q73">
        <f>MONTH(tblServicios[[#This Row],[Fecha]])</f>
        <v>7</v>
      </c>
      <c r="R73">
        <f>ROUNDUP(MONTH(tblServicios[[#This Row],[Fecha]])/3,0)</f>
        <v>3</v>
      </c>
      <c r="S73" t="s">
        <v>123</v>
      </c>
    </row>
    <row r="74" spans="1:20" x14ac:dyDescent="0.35">
      <c r="A74" t="s">
        <v>138</v>
      </c>
      <c r="B74" s="1">
        <v>46225</v>
      </c>
      <c r="C74" t="s">
        <v>46</v>
      </c>
      <c r="D74" t="s">
        <v>47</v>
      </c>
      <c r="E74" t="s">
        <v>12</v>
      </c>
      <c r="F74" t="s">
        <v>13</v>
      </c>
      <c r="G74" t="s">
        <v>14</v>
      </c>
      <c r="I74" t="s">
        <v>48</v>
      </c>
      <c r="J74" t="s">
        <v>48</v>
      </c>
      <c r="K74">
        <v>187</v>
      </c>
      <c r="L74" s="2"/>
      <c r="N7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4" t="s">
        <v>122</v>
      </c>
      <c r="P74">
        <f>YEAR(tblServicios[[#This Row],[Fecha]])</f>
        <v>2026</v>
      </c>
      <c r="Q74">
        <f>MONTH(tblServicios[[#This Row],[Fecha]])</f>
        <v>7</v>
      </c>
      <c r="R74">
        <f>ROUNDUP(MONTH(tblServicios[[#This Row],[Fecha]])/3,0)</f>
        <v>3</v>
      </c>
      <c r="S74" t="s">
        <v>123</v>
      </c>
    </row>
    <row r="75" spans="1:20" x14ac:dyDescent="0.35">
      <c r="A75" t="s">
        <v>139</v>
      </c>
      <c r="B75" s="1">
        <v>46224</v>
      </c>
      <c r="C75" t="s">
        <v>46</v>
      </c>
      <c r="D75" t="s">
        <v>47</v>
      </c>
      <c r="E75" t="s">
        <v>12</v>
      </c>
      <c r="F75" t="s">
        <v>13</v>
      </c>
      <c r="G75" t="s">
        <v>14</v>
      </c>
      <c r="I75" t="s">
        <v>48</v>
      </c>
      <c r="J75" t="s">
        <v>48</v>
      </c>
      <c r="K75">
        <v>170</v>
      </c>
      <c r="L75" s="2"/>
      <c r="N7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5" t="s">
        <v>122</v>
      </c>
      <c r="P75">
        <f>YEAR(tblServicios[[#This Row],[Fecha]])</f>
        <v>2026</v>
      </c>
      <c r="Q75">
        <f>MONTH(tblServicios[[#This Row],[Fecha]])</f>
        <v>7</v>
      </c>
      <c r="R75">
        <f>ROUNDUP(MONTH(tblServicios[[#This Row],[Fecha]])/3,0)</f>
        <v>3</v>
      </c>
      <c r="S75" t="s">
        <v>123</v>
      </c>
    </row>
    <row r="76" spans="1:20" x14ac:dyDescent="0.35">
      <c r="A76" t="s">
        <v>140</v>
      </c>
      <c r="B76" s="1">
        <v>46223</v>
      </c>
      <c r="C76" t="s">
        <v>46</v>
      </c>
      <c r="D76" t="s">
        <v>47</v>
      </c>
      <c r="E76" t="s">
        <v>12</v>
      </c>
      <c r="F76" t="s">
        <v>13</v>
      </c>
      <c r="G76" t="s">
        <v>14</v>
      </c>
      <c r="I76" t="s">
        <v>48</v>
      </c>
      <c r="J76" t="s">
        <v>48</v>
      </c>
      <c r="K76">
        <v>210.6</v>
      </c>
      <c r="L76" s="2"/>
      <c r="N7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6" t="s">
        <v>122</v>
      </c>
      <c r="P76">
        <f>YEAR(tblServicios[[#This Row],[Fecha]])</f>
        <v>2026</v>
      </c>
      <c r="Q76">
        <f>MONTH(tblServicios[[#This Row],[Fecha]])</f>
        <v>7</v>
      </c>
      <c r="R76">
        <f>ROUNDUP(MONTH(tblServicios[[#This Row],[Fecha]])/3,0)</f>
        <v>3</v>
      </c>
      <c r="S76" t="s">
        <v>123</v>
      </c>
    </row>
    <row r="77" spans="1:20" x14ac:dyDescent="0.35">
      <c r="A77" t="s">
        <v>141</v>
      </c>
      <c r="B77" s="1">
        <v>46223</v>
      </c>
      <c r="C77" t="s">
        <v>46</v>
      </c>
      <c r="D77" t="s">
        <v>47</v>
      </c>
      <c r="E77" t="s">
        <v>15</v>
      </c>
      <c r="F77" t="s">
        <v>13</v>
      </c>
      <c r="G77" t="s">
        <v>17</v>
      </c>
      <c r="I77" t="s">
        <v>48</v>
      </c>
      <c r="J77" t="s">
        <v>48</v>
      </c>
      <c r="K77">
        <v>62.5</v>
      </c>
      <c r="L77" s="2"/>
      <c r="N7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77" t="s">
        <v>122</v>
      </c>
      <c r="P77">
        <f>YEAR(tblServicios[[#This Row],[Fecha]])</f>
        <v>2026</v>
      </c>
      <c r="Q77">
        <f>MONTH(tblServicios[[#This Row],[Fecha]])</f>
        <v>7</v>
      </c>
      <c r="R77">
        <f>ROUNDUP(MONTH(tblServicios[[#This Row],[Fecha]])/3,0)</f>
        <v>3</v>
      </c>
      <c r="S77" t="s">
        <v>123</v>
      </c>
    </row>
    <row r="78" spans="1:20" x14ac:dyDescent="0.35">
      <c r="A78" t="s">
        <v>142</v>
      </c>
      <c r="B78" s="1">
        <v>46222</v>
      </c>
      <c r="C78" t="s">
        <v>46</v>
      </c>
      <c r="D78" t="s">
        <v>47</v>
      </c>
      <c r="E78" t="s">
        <v>12</v>
      </c>
      <c r="F78" t="s">
        <v>13</v>
      </c>
      <c r="G78" t="s">
        <v>17</v>
      </c>
      <c r="H78" t="s">
        <v>14</v>
      </c>
      <c r="I78" t="s">
        <v>48</v>
      </c>
      <c r="J78" t="s">
        <v>48</v>
      </c>
      <c r="K78">
        <v>149</v>
      </c>
      <c r="L78" s="2"/>
      <c r="N7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8" t="s">
        <v>122</v>
      </c>
      <c r="P78">
        <f>YEAR(tblServicios[[#This Row],[Fecha]])</f>
        <v>2026</v>
      </c>
      <c r="Q78">
        <f>MONTH(tblServicios[[#This Row],[Fecha]])</f>
        <v>7</v>
      </c>
      <c r="R78">
        <f>ROUNDUP(MONTH(tblServicios[[#This Row],[Fecha]])/3,0)</f>
        <v>3</v>
      </c>
      <c r="S78" t="s">
        <v>123</v>
      </c>
    </row>
    <row r="79" spans="1:20" x14ac:dyDescent="0.35">
      <c r="A79" t="s">
        <v>143</v>
      </c>
      <c r="B79" s="1">
        <v>46222</v>
      </c>
      <c r="C79" t="s">
        <v>46</v>
      </c>
      <c r="D79" t="s">
        <v>47</v>
      </c>
      <c r="E79" t="s">
        <v>15</v>
      </c>
      <c r="F79" t="s">
        <v>13</v>
      </c>
      <c r="G79" t="s">
        <v>17</v>
      </c>
      <c r="H79" t="s">
        <v>14</v>
      </c>
      <c r="I79" t="s">
        <v>48</v>
      </c>
      <c r="J79" t="s">
        <v>48</v>
      </c>
      <c r="K79">
        <v>63.8</v>
      </c>
      <c r="L79" s="2"/>
      <c r="N7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79" t="s">
        <v>122</v>
      </c>
      <c r="P79">
        <f>YEAR(tblServicios[[#This Row],[Fecha]])</f>
        <v>2026</v>
      </c>
      <c r="Q79">
        <f>MONTH(tblServicios[[#This Row],[Fecha]])</f>
        <v>7</v>
      </c>
      <c r="R79">
        <f>ROUNDUP(MONTH(tblServicios[[#This Row],[Fecha]])/3,0)</f>
        <v>3</v>
      </c>
      <c r="S79" t="s">
        <v>123</v>
      </c>
    </row>
    <row r="80" spans="1:20" x14ac:dyDescent="0.35">
      <c r="A80" t="s">
        <v>144</v>
      </c>
      <c r="B80" s="1">
        <v>46221</v>
      </c>
      <c r="C80" t="s">
        <v>46</v>
      </c>
      <c r="D80" t="s">
        <v>47</v>
      </c>
      <c r="E80" t="s">
        <v>12</v>
      </c>
      <c r="F80" t="s">
        <v>13</v>
      </c>
      <c r="G80" t="s">
        <v>14</v>
      </c>
      <c r="I80" t="s">
        <v>48</v>
      </c>
      <c r="J80" t="s">
        <v>48</v>
      </c>
      <c r="K80">
        <v>261</v>
      </c>
      <c r="L80" s="2"/>
      <c r="N8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0" t="s">
        <v>122</v>
      </c>
      <c r="P80">
        <f>YEAR(tblServicios[[#This Row],[Fecha]])</f>
        <v>2026</v>
      </c>
      <c r="Q80">
        <f>MONTH(tblServicios[[#This Row],[Fecha]])</f>
        <v>7</v>
      </c>
      <c r="R80">
        <f>ROUNDUP(MONTH(tblServicios[[#This Row],[Fecha]])/3,0)</f>
        <v>3</v>
      </c>
      <c r="S80" t="s">
        <v>123</v>
      </c>
    </row>
    <row r="81" spans="1:20" x14ac:dyDescent="0.35">
      <c r="A81" t="s">
        <v>145</v>
      </c>
      <c r="B81" s="1">
        <v>46220</v>
      </c>
      <c r="C81" t="s">
        <v>46</v>
      </c>
      <c r="D81" t="s">
        <v>47</v>
      </c>
      <c r="E81" t="s">
        <v>12</v>
      </c>
      <c r="F81" t="s">
        <v>13</v>
      </c>
      <c r="G81" t="s">
        <v>14</v>
      </c>
      <c r="I81" t="s">
        <v>48</v>
      </c>
      <c r="J81" t="s">
        <v>48</v>
      </c>
      <c r="K81">
        <v>218.4</v>
      </c>
      <c r="L81" s="2">
        <f>25+12.5</f>
        <v>37.5</v>
      </c>
      <c r="M81" t="s">
        <v>146</v>
      </c>
      <c r="N8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217.5</v>
      </c>
      <c r="O81" t="s">
        <v>122</v>
      </c>
      <c r="P81">
        <f>YEAR(tblServicios[[#This Row],[Fecha]])</f>
        <v>2026</v>
      </c>
      <c r="Q81">
        <f>MONTH(tblServicios[[#This Row],[Fecha]])</f>
        <v>7</v>
      </c>
      <c r="R81">
        <f>ROUNDUP(MONTH(tblServicios[[#This Row],[Fecha]])/3,0)</f>
        <v>3</v>
      </c>
      <c r="S81" t="s">
        <v>123</v>
      </c>
      <c r="T81" t="s">
        <v>147</v>
      </c>
    </row>
    <row r="82" spans="1:20" x14ac:dyDescent="0.35">
      <c r="A82" t="s">
        <v>148</v>
      </c>
      <c r="B82" s="1">
        <v>46220</v>
      </c>
      <c r="C82" t="s">
        <v>46</v>
      </c>
      <c r="D82" t="s">
        <v>47</v>
      </c>
      <c r="E82" t="s">
        <v>26</v>
      </c>
      <c r="F82" t="s">
        <v>13</v>
      </c>
      <c r="G82" t="s">
        <v>14</v>
      </c>
      <c r="I82" t="s">
        <v>48</v>
      </c>
      <c r="J82" t="s">
        <v>48</v>
      </c>
      <c r="K82">
        <v>25</v>
      </c>
      <c r="L82" s="2"/>
      <c r="N8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60</v>
      </c>
      <c r="O82" t="s">
        <v>122</v>
      </c>
      <c r="P82">
        <f>YEAR(tblServicios[[#This Row],[Fecha]])</f>
        <v>2026</v>
      </c>
      <c r="Q82">
        <f>MONTH(tblServicios[[#This Row],[Fecha]])</f>
        <v>7</v>
      </c>
      <c r="R82">
        <f>ROUNDUP(MONTH(tblServicios[[#This Row],[Fecha]])/3,0)</f>
        <v>3</v>
      </c>
      <c r="S82" t="s">
        <v>123</v>
      </c>
    </row>
    <row r="83" spans="1:20" x14ac:dyDescent="0.35">
      <c r="A83" t="s">
        <v>149</v>
      </c>
      <c r="B83" s="1">
        <v>46219</v>
      </c>
      <c r="C83" t="s">
        <v>46</v>
      </c>
      <c r="D83" t="s">
        <v>47</v>
      </c>
      <c r="E83" t="s">
        <v>12</v>
      </c>
      <c r="F83" t="s">
        <v>13</v>
      </c>
      <c r="G83" t="s">
        <v>14</v>
      </c>
      <c r="I83" t="s">
        <v>48</v>
      </c>
      <c r="J83" t="s">
        <v>48</v>
      </c>
      <c r="K83">
        <v>186.2</v>
      </c>
      <c r="L83" s="2"/>
      <c r="N8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3" t="s">
        <v>122</v>
      </c>
      <c r="P83">
        <f>YEAR(tblServicios[[#This Row],[Fecha]])</f>
        <v>2026</v>
      </c>
      <c r="Q83">
        <f>MONTH(tblServicios[[#This Row],[Fecha]])</f>
        <v>7</v>
      </c>
      <c r="R83">
        <f>ROUNDUP(MONTH(tblServicios[[#This Row],[Fecha]])/3,0)</f>
        <v>3</v>
      </c>
      <c r="S83" t="s">
        <v>123</v>
      </c>
    </row>
    <row r="84" spans="1:20" x14ac:dyDescent="0.35">
      <c r="A84" t="s">
        <v>150</v>
      </c>
      <c r="B84" s="1">
        <v>46219</v>
      </c>
      <c r="C84" t="s">
        <v>46</v>
      </c>
      <c r="D84" t="s">
        <v>47</v>
      </c>
      <c r="E84" t="s">
        <v>15</v>
      </c>
      <c r="F84" t="s">
        <v>13</v>
      </c>
      <c r="G84" t="s">
        <v>17</v>
      </c>
      <c r="H84" t="s">
        <v>14</v>
      </c>
      <c r="I84" t="s">
        <v>48</v>
      </c>
      <c r="J84" t="s">
        <v>48</v>
      </c>
      <c r="K84">
        <v>89.1</v>
      </c>
      <c r="L84" s="2"/>
      <c r="N8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84" t="s">
        <v>122</v>
      </c>
      <c r="P84">
        <f>YEAR(tblServicios[[#This Row],[Fecha]])</f>
        <v>2026</v>
      </c>
      <c r="Q84">
        <f>MONTH(tblServicios[[#This Row],[Fecha]])</f>
        <v>7</v>
      </c>
      <c r="R84">
        <f>ROUNDUP(MONTH(tblServicios[[#This Row],[Fecha]])/3,0)</f>
        <v>3</v>
      </c>
      <c r="S84" t="s">
        <v>123</v>
      </c>
    </row>
    <row r="85" spans="1:20" x14ac:dyDescent="0.35">
      <c r="A85" t="s">
        <v>151</v>
      </c>
      <c r="B85" s="1">
        <v>46218</v>
      </c>
      <c r="C85" t="s">
        <v>46</v>
      </c>
      <c r="D85" t="s">
        <v>47</v>
      </c>
      <c r="E85" t="s">
        <v>12</v>
      </c>
      <c r="F85" t="s">
        <v>13</v>
      </c>
      <c r="G85" t="s">
        <v>14</v>
      </c>
      <c r="I85" t="s">
        <v>48</v>
      </c>
      <c r="J85" t="s">
        <v>48</v>
      </c>
      <c r="K85">
        <v>189.2</v>
      </c>
      <c r="L85" s="2"/>
      <c r="N8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5" t="s">
        <v>122</v>
      </c>
      <c r="P85">
        <f>YEAR(tblServicios[[#This Row],[Fecha]])</f>
        <v>2026</v>
      </c>
      <c r="Q85">
        <f>MONTH(tblServicios[[#This Row],[Fecha]])</f>
        <v>7</v>
      </c>
      <c r="R85">
        <f>ROUNDUP(MONTH(tblServicios[[#This Row],[Fecha]])/3,0)</f>
        <v>3</v>
      </c>
      <c r="S85" t="s">
        <v>123</v>
      </c>
    </row>
    <row r="86" spans="1:20" x14ac:dyDescent="0.35">
      <c r="A86" t="s">
        <v>152</v>
      </c>
      <c r="B86" s="1">
        <v>46218</v>
      </c>
      <c r="C86" t="s">
        <v>46</v>
      </c>
      <c r="D86" t="s">
        <v>47</v>
      </c>
      <c r="E86" t="s">
        <v>15</v>
      </c>
      <c r="F86" t="s">
        <v>13</v>
      </c>
      <c r="G86" t="s">
        <v>17</v>
      </c>
      <c r="H86" t="s">
        <v>14</v>
      </c>
      <c r="I86" t="s">
        <v>48</v>
      </c>
      <c r="J86" t="s">
        <v>48</v>
      </c>
      <c r="K86">
        <v>90.5</v>
      </c>
      <c r="L86" s="2">
        <v>30</v>
      </c>
      <c r="M86" t="s">
        <v>82</v>
      </c>
      <c r="N8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190</v>
      </c>
      <c r="O86" t="s">
        <v>122</v>
      </c>
      <c r="P86">
        <f>YEAR(tblServicios[[#This Row],[Fecha]])</f>
        <v>2026</v>
      </c>
      <c r="Q86">
        <f>MONTH(tblServicios[[#This Row],[Fecha]])</f>
        <v>7</v>
      </c>
      <c r="R86">
        <f>ROUNDUP(MONTH(tblServicios[[#This Row],[Fecha]])/3,0)</f>
        <v>3</v>
      </c>
      <c r="S86" t="s">
        <v>123</v>
      </c>
    </row>
    <row r="87" spans="1:20" x14ac:dyDescent="0.35">
      <c r="A87" t="s">
        <v>153</v>
      </c>
      <c r="B87" s="1">
        <v>46217</v>
      </c>
      <c r="C87" t="s">
        <v>46</v>
      </c>
      <c r="D87" t="s">
        <v>47</v>
      </c>
      <c r="E87" t="s">
        <v>12</v>
      </c>
      <c r="F87" t="s">
        <v>13</v>
      </c>
      <c r="G87" t="s">
        <v>14</v>
      </c>
      <c r="I87" t="s">
        <v>48</v>
      </c>
      <c r="J87" t="s">
        <v>48</v>
      </c>
      <c r="K87">
        <v>128</v>
      </c>
      <c r="L87" s="2"/>
      <c r="N8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7" t="s">
        <v>122</v>
      </c>
      <c r="P87">
        <f>YEAR(tblServicios[[#This Row],[Fecha]])</f>
        <v>2026</v>
      </c>
      <c r="Q87">
        <f>MONTH(tblServicios[[#This Row],[Fecha]])</f>
        <v>7</v>
      </c>
      <c r="R87">
        <f>ROUNDUP(MONTH(tblServicios[[#This Row],[Fecha]])/3,0)</f>
        <v>3</v>
      </c>
      <c r="S87" t="s">
        <v>123</v>
      </c>
    </row>
    <row r="88" spans="1:20" x14ac:dyDescent="0.35">
      <c r="A88" t="s">
        <v>154</v>
      </c>
      <c r="B88" s="1">
        <v>46217</v>
      </c>
      <c r="C88" t="s">
        <v>46</v>
      </c>
      <c r="D88" t="s">
        <v>47</v>
      </c>
      <c r="E88" t="s">
        <v>15</v>
      </c>
      <c r="F88" t="s">
        <v>13</v>
      </c>
      <c r="G88" t="s">
        <v>14</v>
      </c>
      <c r="I88" t="s">
        <v>48</v>
      </c>
      <c r="J88" t="s">
        <v>48</v>
      </c>
      <c r="K88">
        <v>163</v>
      </c>
      <c r="L88" s="2">
        <v>60</v>
      </c>
      <c r="M88" t="s">
        <v>82</v>
      </c>
      <c r="N8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220</v>
      </c>
      <c r="O88" t="s">
        <v>122</v>
      </c>
      <c r="P88">
        <f>YEAR(tblServicios[[#This Row],[Fecha]])</f>
        <v>2026</v>
      </c>
      <c r="Q88">
        <f>MONTH(tblServicios[[#This Row],[Fecha]])</f>
        <v>7</v>
      </c>
      <c r="R88">
        <f>ROUNDUP(MONTH(tblServicios[[#This Row],[Fecha]])/3,0)</f>
        <v>3</v>
      </c>
      <c r="S88" t="s">
        <v>123</v>
      </c>
      <c r="T88" t="s">
        <v>155</v>
      </c>
    </row>
    <row r="89" spans="1:20" x14ac:dyDescent="0.35">
      <c r="A89" t="s">
        <v>156</v>
      </c>
      <c r="B89" s="1">
        <v>46216</v>
      </c>
      <c r="C89" t="s">
        <v>46</v>
      </c>
      <c r="D89" t="s">
        <v>47</v>
      </c>
      <c r="E89" t="s">
        <v>12</v>
      </c>
      <c r="F89" t="s">
        <v>13</v>
      </c>
      <c r="G89" t="s">
        <v>14</v>
      </c>
      <c r="I89" t="s">
        <v>48</v>
      </c>
      <c r="J89" t="s">
        <v>48</v>
      </c>
      <c r="K89">
        <v>214</v>
      </c>
      <c r="L89" s="2">
        <v>85</v>
      </c>
      <c r="M89" t="s">
        <v>157</v>
      </c>
      <c r="N8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265</v>
      </c>
      <c r="O89" t="s">
        <v>122</v>
      </c>
      <c r="P89">
        <f>YEAR(tblServicios[[#This Row],[Fecha]])</f>
        <v>2026</v>
      </c>
      <c r="Q89">
        <f>MONTH(tblServicios[[#This Row],[Fecha]])</f>
        <v>7</v>
      </c>
      <c r="R89">
        <f>ROUNDUP(MONTH(tblServicios[[#This Row],[Fecha]])/3,0)</f>
        <v>3</v>
      </c>
      <c r="S89" t="s">
        <v>123</v>
      </c>
      <c r="T89" t="s">
        <v>158</v>
      </c>
    </row>
    <row r="90" spans="1:20" x14ac:dyDescent="0.35">
      <c r="A90" t="s">
        <v>159</v>
      </c>
      <c r="B90" s="1">
        <v>46216</v>
      </c>
      <c r="C90" t="s">
        <v>46</v>
      </c>
      <c r="D90" t="s">
        <v>47</v>
      </c>
      <c r="E90" t="s">
        <v>15</v>
      </c>
      <c r="F90" t="s">
        <v>13</v>
      </c>
      <c r="G90" t="s">
        <v>14</v>
      </c>
      <c r="I90" t="s">
        <v>48</v>
      </c>
      <c r="J90" t="s">
        <v>48</v>
      </c>
      <c r="K90">
        <v>51.2</v>
      </c>
      <c r="L90" s="2"/>
      <c r="N9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0" t="s">
        <v>122</v>
      </c>
      <c r="P90">
        <f>YEAR(tblServicios[[#This Row],[Fecha]])</f>
        <v>2026</v>
      </c>
      <c r="Q90">
        <f>MONTH(tblServicios[[#This Row],[Fecha]])</f>
        <v>7</v>
      </c>
      <c r="R90">
        <f>ROUNDUP(MONTH(tblServicios[[#This Row],[Fecha]])/3,0)</f>
        <v>3</v>
      </c>
      <c r="S90" t="s">
        <v>123</v>
      </c>
    </row>
    <row r="91" spans="1:20" x14ac:dyDescent="0.35">
      <c r="A91" t="s">
        <v>160</v>
      </c>
      <c r="B91" s="1">
        <v>46216</v>
      </c>
      <c r="C91" t="s">
        <v>46</v>
      </c>
      <c r="D91" t="s">
        <v>47</v>
      </c>
      <c r="E91" t="s">
        <v>26</v>
      </c>
      <c r="F91" t="s">
        <v>13</v>
      </c>
      <c r="G91" t="s">
        <v>14</v>
      </c>
      <c r="I91" t="s">
        <v>48</v>
      </c>
      <c r="J91" t="s">
        <v>48</v>
      </c>
      <c r="K91">
        <v>58.1</v>
      </c>
      <c r="L91" s="2"/>
      <c r="N9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60</v>
      </c>
      <c r="O91" t="s">
        <v>122</v>
      </c>
      <c r="P91">
        <f>YEAR(tblServicios[[#This Row],[Fecha]])</f>
        <v>2026</v>
      </c>
      <c r="Q91">
        <f>MONTH(tblServicios[[#This Row],[Fecha]])</f>
        <v>7</v>
      </c>
      <c r="R91">
        <f>ROUNDUP(MONTH(tblServicios[[#This Row],[Fecha]])/3,0)</f>
        <v>3</v>
      </c>
      <c r="S91" t="s">
        <v>123</v>
      </c>
      <c r="T91" t="s">
        <v>161</v>
      </c>
    </row>
    <row r="92" spans="1:20" x14ac:dyDescent="0.35">
      <c r="A92" t="s">
        <v>162</v>
      </c>
      <c r="B92" s="1">
        <v>46215</v>
      </c>
      <c r="C92" t="s">
        <v>46</v>
      </c>
      <c r="D92" t="s">
        <v>47</v>
      </c>
      <c r="E92" t="s">
        <v>12</v>
      </c>
      <c r="F92" t="s">
        <v>13</v>
      </c>
      <c r="G92" t="s">
        <v>17</v>
      </c>
      <c r="H92" t="s">
        <v>28</v>
      </c>
      <c r="I92" t="s">
        <v>48</v>
      </c>
      <c r="J92" t="s">
        <v>48</v>
      </c>
      <c r="K92">
        <v>191.9</v>
      </c>
      <c r="L92" s="2"/>
      <c r="N9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92" t="s">
        <v>122</v>
      </c>
      <c r="P92">
        <f>YEAR(tblServicios[[#This Row],[Fecha]])</f>
        <v>2026</v>
      </c>
      <c r="Q92">
        <f>MONTH(tblServicios[[#This Row],[Fecha]])</f>
        <v>7</v>
      </c>
      <c r="R92">
        <f>ROUNDUP(MONTH(tblServicios[[#This Row],[Fecha]])/3,0)</f>
        <v>3</v>
      </c>
      <c r="S92" t="s">
        <v>123</v>
      </c>
    </row>
    <row r="93" spans="1:20" x14ac:dyDescent="0.35">
      <c r="A93" t="s">
        <v>163</v>
      </c>
      <c r="B93" s="1">
        <v>46215</v>
      </c>
      <c r="C93" t="s">
        <v>46</v>
      </c>
      <c r="D93" t="s">
        <v>47</v>
      </c>
      <c r="E93" t="s">
        <v>15</v>
      </c>
      <c r="F93" t="s">
        <v>13</v>
      </c>
      <c r="G93" t="s">
        <v>17</v>
      </c>
      <c r="H93" t="s">
        <v>28</v>
      </c>
      <c r="I93" t="s">
        <v>48</v>
      </c>
      <c r="J93" t="s">
        <v>48</v>
      </c>
      <c r="K93">
        <v>52</v>
      </c>
      <c r="L93" s="2"/>
      <c r="N9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3" t="s">
        <v>122</v>
      </c>
      <c r="P93">
        <f>YEAR(tblServicios[[#This Row],[Fecha]])</f>
        <v>2026</v>
      </c>
      <c r="Q93">
        <f>MONTH(tblServicios[[#This Row],[Fecha]])</f>
        <v>7</v>
      </c>
      <c r="R93">
        <f>ROUNDUP(MONTH(tblServicios[[#This Row],[Fecha]])/3,0)</f>
        <v>3</v>
      </c>
      <c r="S93" t="s">
        <v>123</v>
      </c>
    </row>
    <row r="94" spans="1:20" x14ac:dyDescent="0.35">
      <c r="A94" t="s">
        <v>164</v>
      </c>
      <c r="B94" s="1">
        <v>46214</v>
      </c>
      <c r="C94" t="s">
        <v>46</v>
      </c>
      <c r="D94" t="s">
        <v>47</v>
      </c>
      <c r="E94" t="s">
        <v>12</v>
      </c>
      <c r="F94" t="s">
        <v>13</v>
      </c>
      <c r="G94" t="s">
        <v>17</v>
      </c>
      <c r="H94" t="s">
        <v>28</v>
      </c>
      <c r="I94" t="s">
        <v>48</v>
      </c>
      <c r="J94" t="s">
        <v>48</v>
      </c>
      <c r="K94">
        <v>112.7</v>
      </c>
      <c r="L94" s="2"/>
      <c r="N9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94" t="s">
        <v>122</v>
      </c>
      <c r="P94">
        <f>YEAR(tblServicios[[#This Row],[Fecha]])</f>
        <v>2026</v>
      </c>
      <c r="Q94">
        <f>MONTH(tblServicios[[#This Row],[Fecha]])</f>
        <v>7</v>
      </c>
      <c r="R94">
        <f>ROUNDUP(MONTH(tblServicios[[#This Row],[Fecha]])/3,0)</f>
        <v>3</v>
      </c>
      <c r="S94" t="s">
        <v>123</v>
      </c>
    </row>
    <row r="95" spans="1:20" x14ac:dyDescent="0.35">
      <c r="A95" t="s">
        <v>165</v>
      </c>
      <c r="B95" s="1">
        <v>46214</v>
      </c>
      <c r="C95" t="s">
        <v>46</v>
      </c>
      <c r="D95" t="s">
        <v>47</v>
      </c>
      <c r="E95" t="s">
        <v>15</v>
      </c>
      <c r="F95" t="s">
        <v>13</v>
      </c>
      <c r="G95" t="s">
        <v>17</v>
      </c>
      <c r="I95" t="s">
        <v>48</v>
      </c>
      <c r="J95" t="s">
        <v>48</v>
      </c>
      <c r="K95">
        <v>108.2</v>
      </c>
      <c r="L95" s="2"/>
      <c r="N9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5" t="s">
        <v>122</v>
      </c>
      <c r="P95">
        <f>YEAR(tblServicios[[#This Row],[Fecha]])</f>
        <v>2026</v>
      </c>
      <c r="Q95">
        <f>MONTH(tblServicios[[#This Row],[Fecha]])</f>
        <v>7</v>
      </c>
      <c r="R95">
        <f>ROUNDUP(MONTH(tblServicios[[#This Row],[Fecha]])/3,0)</f>
        <v>3</v>
      </c>
      <c r="S95" t="s">
        <v>123</v>
      </c>
    </row>
    <row r="96" spans="1:20" x14ac:dyDescent="0.35">
      <c r="A96" t="s">
        <v>166</v>
      </c>
      <c r="B96" s="1">
        <v>46213</v>
      </c>
      <c r="C96" t="s">
        <v>46</v>
      </c>
      <c r="D96" t="s">
        <v>47</v>
      </c>
      <c r="E96" t="s">
        <v>12</v>
      </c>
      <c r="F96" t="s">
        <v>13</v>
      </c>
      <c r="G96" t="s">
        <v>14</v>
      </c>
      <c r="I96" t="s">
        <v>48</v>
      </c>
      <c r="J96" t="s">
        <v>48</v>
      </c>
      <c r="K96">
        <v>189.5</v>
      </c>
      <c r="L96" s="2"/>
      <c r="N9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96" t="s">
        <v>122</v>
      </c>
      <c r="P96">
        <f>YEAR(tblServicios[[#This Row],[Fecha]])</f>
        <v>2026</v>
      </c>
      <c r="Q96">
        <f>MONTH(tblServicios[[#This Row],[Fecha]])</f>
        <v>7</v>
      </c>
      <c r="R96">
        <f>ROUNDUP(MONTH(tblServicios[[#This Row],[Fecha]])/3,0)</f>
        <v>3</v>
      </c>
      <c r="S96" t="s">
        <v>123</v>
      </c>
    </row>
    <row r="97" spans="1:20" x14ac:dyDescent="0.35">
      <c r="A97" t="s">
        <v>167</v>
      </c>
      <c r="B97" s="1">
        <v>46213</v>
      </c>
      <c r="C97" t="s">
        <v>46</v>
      </c>
      <c r="D97" t="s">
        <v>47</v>
      </c>
      <c r="E97" t="s">
        <v>15</v>
      </c>
      <c r="F97" t="s">
        <v>13</v>
      </c>
      <c r="G97" t="s">
        <v>14</v>
      </c>
      <c r="I97" t="s">
        <v>48</v>
      </c>
      <c r="J97" t="s">
        <v>48</v>
      </c>
      <c r="K97">
        <v>143.4</v>
      </c>
      <c r="L97" s="2"/>
      <c r="N9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7" t="s">
        <v>122</v>
      </c>
      <c r="P97">
        <f>YEAR(tblServicios[[#This Row],[Fecha]])</f>
        <v>2026</v>
      </c>
      <c r="Q97">
        <f>MONTH(tblServicios[[#This Row],[Fecha]])</f>
        <v>7</v>
      </c>
      <c r="R97">
        <f>ROUNDUP(MONTH(tblServicios[[#This Row],[Fecha]])/3,0)</f>
        <v>3</v>
      </c>
      <c r="S97" t="s">
        <v>123</v>
      </c>
    </row>
    <row r="98" spans="1:20" x14ac:dyDescent="0.35">
      <c r="A98" t="s">
        <v>168</v>
      </c>
      <c r="B98" s="1">
        <v>46212</v>
      </c>
      <c r="C98" t="s">
        <v>46</v>
      </c>
      <c r="D98" t="s">
        <v>47</v>
      </c>
      <c r="E98" t="s">
        <v>12</v>
      </c>
      <c r="F98" t="s">
        <v>13</v>
      </c>
      <c r="G98" t="s">
        <v>14</v>
      </c>
      <c r="I98" t="s">
        <v>48</v>
      </c>
      <c r="J98" t="s">
        <v>48</v>
      </c>
      <c r="K98">
        <v>220</v>
      </c>
      <c r="L98" s="2"/>
      <c r="N9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98" t="s">
        <v>122</v>
      </c>
      <c r="P98">
        <f>YEAR(tblServicios[[#This Row],[Fecha]])</f>
        <v>2026</v>
      </c>
      <c r="Q98">
        <f>MONTH(tblServicios[[#This Row],[Fecha]])</f>
        <v>7</v>
      </c>
      <c r="R98">
        <f>ROUNDUP(MONTH(tblServicios[[#This Row],[Fecha]])/3,0)</f>
        <v>3</v>
      </c>
      <c r="S98" t="s">
        <v>123</v>
      </c>
    </row>
    <row r="99" spans="1:20" x14ac:dyDescent="0.35">
      <c r="A99" t="s">
        <v>169</v>
      </c>
      <c r="B99" s="1">
        <v>46212</v>
      </c>
      <c r="C99" t="s">
        <v>46</v>
      </c>
      <c r="D99" t="s">
        <v>47</v>
      </c>
      <c r="E99" t="s">
        <v>15</v>
      </c>
      <c r="F99" t="s">
        <v>13</v>
      </c>
      <c r="G99" t="s">
        <v>17</v>
      </c>
      <c r="H99" t="s">
        <v>14</v>
      </c>
      <c r="I99" t="s">
        <v>48</v>
      </c>
      <c r="J99" t="s">
        <v>48</v>
      </c>
      <c r="K99">
        <v>77.099999999999994</v>
      </c>
      <c r="L99" s="2"/>
      <c r="N9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9" t="s">
        <v>122</v>
      </c>
      <c r="P99">
        <f>YEAR(tblServicios[[#This Row],[Fecha]])</f>
        <v>2026</v>
      </c>
      <c r="Q99">
        <f>MONTH(tblServicios[[#This Row],[Fecha]])</f>
        <v>7</v>
      </c>
      <c r="R99">
        <f>ROUNDUP(MONTH(tblServicios[[#This Row],[Fecha]])/3,0)</f>
        <v>3</v>
      </c>
      <c r="S99" t="s">
        <v>123</v>
      </c>
    </row>
    <row r="100" spans="1:20" x14ac:dyDescent="0.35">
      <c r="A100" t="s">
        <v>170</v>
      </c>
      <c r="B100" s="1">
        <v>46211</v>
      </c>
      <c r="C100" t="s">
        <v>46</v>
      </c>
      <c r="D100" t="s">
        <v>47</v>
      </c>
      <c r="E100" t="s">
        <v>12</v>
      </c>
      <c r="F100" t="s">
        <v>13</v>
      </c>
      <c r="G100" t="s">
        <v>14</v>
      </c>
      <c r="I100" t="s">
        <v>48</v>
      </c>
      <c r="J100" t="s">
        <v>48</v>
      </c>
      <c r="K100">
        <v>97.9</v>
      </c>
      <c r="L100" s="2"/>
      <c r="N10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0" t="s">
        <v>122</v>
      </c>
      <c r="P100">
        <f>YEAR(tblServicios[[#This Row],[Fecha]])</f>
        <v>2026</v>
      </c>
      <c r="Q100">
        <f>MONTH(tblServicios[[#This Row],[Fecha]])</f>
        <v>7</v>
      </c>
      <c r="R100">
        <f>ROUNDUP(MONTH(tblServicios[[#This Row],[Fecha]])/3,0)</f>
        <v>3</v>
      </c>
      <c r="S100" t="s">
        <v>123</v>
      </c>
    </row>
    <row r="101" spans="1:20" x14ac:dyDescent="0.35">
      <c r="A101" t="s">
        <v>171</v>
      </c>
      <c r="B101" s="1">
        <v>46211</v>
      </c>
      <c r="C101" t="s">
        <v>46</v>
      </c>
      <c r="D101" t="s">
        <v>47</v>
      </c>
      <c r="E101" t="s">
        <v>15</v>
      </c>
      <c r="F101" t="s">
        <v>13</v>
      </c>
      <c r="G101" t="s">
        <v>17</v>
      </c>
      <c r="H101" t="s">
        <v>14</v>
      </c>
      <c r="I101" t="s">
        <v>48</v>
      </c>
      <c r="J101" t="s">
        <v>48</v>
      </c>
      <c r="K101">
        <v>63.8</v>
      </c>
      <c r="L101" s="2"/>
      <c r="N10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01" t="s">
        <v>122</v>
      </c>
      <c r="P101">
        <f>YEAR(tblServicios[[#This Row],[Fecha]])</f>
        <v>2026</v>
      </c>
      <c r="Q101">
        <f>MONTH(tblServicios[[#This Row],[Fecha]])</f>
        <v>7</v>
      </c>
      <c r="R101">
        <f>ROUNDUP(MONTH(tblServicios[[#This Row],[Fecha]])/3,0)</f>
        <v>3</v>
      </c>
      <c r="S101" t="s">
        <v>123</v>
      </c>
    </row>
    <row r="102" spans="1:20" x14ac:dyDescent="0.35">
      <c r="A102" t="s">
        <v>172</v>
      </c>
      <c r="B102" s="1">
        <v>46210</v>
      </c>
      <c r="C102" t="s">
        <v>46</v>
      </c>
      <c r="D102" t="s">
        <v>47</v>
      </c>
      <c r="E102" t="s">
        <v>12</v>
      </c>
      <c r="F102" t="s">
        <v>13</v>
      </c>
      <c r="G102" t="s">
        <v>14</v>
      </c>
      <c r="I102" t="s">
        <v>48</v>
      </c>
      <c r="J102" t="s">
        <v>48</v>
      </c>
      <c r="K102">
        <v>209</v>
      </c>
      <c r="L102" s="2"/>
      <c r="N10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2" t="s">
        <v>122</v>
      </c>
      <c r="P102">
        <f>YEAR(tblServicios[[#This Row],[Fecha]])</f>
        <v>2026</v>
      </c>
      <c r="Q102">
        <f>MONTH(tblServicios[[#This Row],[Fecha]])</f>
        <v>7</v>
      </c>
      <c r="R102">
        <f>ROUNDUP(MONTH(tblServicios[[#This Row],[Fecha]])/3,0)</f>
        <v>3</v>
      </c>
      <c r="S102" t="s">
        <v>123</v>
      </c>
    </row>
    <row r="103" spans="1:20" x14ac:dyDescent="0.35">
      <c r="A103" t="s">
        <v>173</v>
      </c>
      <c r="B103" s="1">
        <v>46210</v>
      </c>
      <c r="C103" t="s">
        <v>46</v>
      </c>
      <c r="D103" t="s">
        <v>47</v>
      </c>
      <c r="E103" t="s">
        <v>15</v>
      </c>
      <c r="F103" t="s">
        <v>13</v>
      </c>
      <c r="G103" t="s">
        <v>17</v>
      </c>
      <c r="H103" t="s">
        <v>14</v>
      </c>
      <c r="I103" t="s">
        <v>48</v>
      </c>
      <c r="J103" t="s">
        <v>48</v>
      </c>
      <c r="K103">
        <v>102.3</v>
      </c>
      <c r="L103" s="2"/>
      <c r="N10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03" t="s">
        <v>122</v>
      </c>
      <c r="P103">
        <f>YEAR(tblServicios[[#This Row],[Fecha]])</f>
        <v>2026</v>
      </c>
      <c r="Q103">
        <f>MONTH(tblServicios[[#This Row],[Fecha]])</f>
        <v>7</v>
      </c>
      <c r="R103">
        <f>ROUNDUP(MONTH(tblServicios[[#This Row],[Fecha]])/3,0)</f>
        <v>3</v>
      </c>
      <c r="S103" t="s">
        <v>123</v>
      </c>
      <c r="T103" t="s">
        <v>174</v>
      </c>
    </row>
    <row r="104" spans="1:20" x14ac:dyDescent="0.35">
      <c r="A104" t="s">
        <v>175</v>
      </c>
      <c r="B104" s="1">
        <v>46209</v>
      </c>
      <c r="C104" t="s">
        <v>46</v>
      </c>
      <c r="D104" t="s">
        <v>47</v>
      </c>
      <c r="E104" t="s">
        <v>12</v>
      </c>
      <c r="F104" t="s">
        <v>13</v>
      </c>
      <c r="G104" t="s">
        <v>14</v>
      </c>
      <c r="I104" t="s">
        <v>48</v>
      </c>
      <c r="J104" t="s">
        <v>48</v>
      </c>
      <c r="K104">
        <v>170.6</v>
      </c>
      <c r="L104" s="2"/>
      <c r="N10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4" t="s">
        <v>122</v>
      </c>
      <c r="P104">
        <f>YEAR(tblServicios[[#This Row],[Fecha]])</f>
        <v>2026</v>
      </c>
      <c r="Q104">
        <f>MONTH(tblServicios[[#This Row],[Fecha]])</f>
        <v>7</v>
      </c>
      <c r="R104">
        <f>ROUNDUP(MONTH(tblServicios[[#This Row],[Fecha]])/3,0)</f>
        <v>3</v>
      </c>
      <c r="S104" t="s">
        <v>123</v>
      </c>
    </row>
    <row r="105" spans="1:20" x14ac:dyDescent="0.35">
      <c r="A105" t="s">
        <v>176</v>
      </c>
      <c r="B105" s="1">
        <v>46209</v>
      </c>
      <c r="C105" t="s">
        <v>46</v>
      </c>
      <c r="D105" t="s">
        <v>47</v>
      </c>
      <c r="E105" t="s">
        <v>15</v>
      </c>
      <c r="F105" t="s">
        <v>13</v>
      </c>
      <c r="G105" t="s">
        <v>17</v>
      </c>
      <c r="H105" t="s">
        <v>14</v>
      </c>
      <c r="I105" t="s">
        <v>48</v>
      </c>
      <c r="J105" t="s">
        <v>48</v>
      </c>
      <c r="K105">
        <v>85.2</v>
      </c>
      <c r="L105" s="2">
        <v>20</v>
      </c>
      <c r="M105" t="s">
        <v>82</v>
      </c>
      <c r="N10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5" t="s">
        <v>122</v>
      </c>
      <c r="P105">
        <f>YEAR(tblServicios[[#This Row],[Fecha]])</f>
        <v>2026</v>
      </c>
      <c r="Q105">
        <f>MONTH(tblServicios[[#This Row],[Fecha]])</f>
        <v>7</v>
      </c>
      <c r="R105">
        <f>ROUNDUP(MONTH(tblServicios[[#This Row],[Fecha]])/3,0)</f>
        <v>3</v>
      </c>
      <c r="S105" t="s">
        <v>123</v>
      </c>
    </row>
    <row r="106" spans="1:20" x14ac:dyDescent="0.35">
      <c r="A106" t="s">
        <v>177</v>
      </c>
      <c r="B106" s="1">
        <v>46208</v>
      </c>
      <c r="C106" t="s">
        <v>46</v>
      </c>
      <c r="D106" t="s">
        <v>47</v>
      </c>
      <c r="E106" t="s">
        <v>12</v>
      </c>
      <c r="F106" t="s">
        <v>13</v>
      </c>
      <c r="G106" t="s">
        <v>14</v>
      </c>
      <c r="I106" t="s">
        <v>48</v>
      </c>
      <c r="J106" t="s">
        <v>48</v>
      </c>
      <c r="K106">
        <v>129</v>
      </c>
      <c r="L106" s="2"/>
      <c r="N10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6" t="s">
        <v>122</v>
      </c>
      <c r="P106">
        <f>YEAR(tblServicios[[#This Row],[Fecha]])</f>
        <v>2026</v>
      </c>
      <c r="Q106">
        <f>MONTH(tblServicios[[#This Row],[Fecha]])</f>
        <v>7</v>
      </c>
      <c r="R106">
        <f>ROUNDUP(MONTH(tblServicios[[#This Row],[Fecha]])/3,0)</f>
        <v>3</v>
      </c>
      <c r="S106" t="s">
        <v>123</v>
      </c>
    </row>
    <row r="107" spans="1:20" x14ac:dyDescent="0.35">
      <c r="A107" t="s">
        <v>178</v>
      </c>
      <c r="B107" s="1">
        <v>46208</v>
      </c>
      <c r="C107" t="s">
        <v>46</v>
      </c>
      <c r="D107" t="s">
        <v>47</v>
      </c>
      <c r="E107" t="s">
        <v>15</v>
      </c>
      <c r="F107" t="s">
        <v>13</v>
      </c>
      <c r="G107" t="s">
        <v>14</v>
      </c>
      <c r="I107" t="s">
        <v>179</v>
      </c>
      <c r="J107" t="s">
        <v>180</v>
      </c>
      <c r="K107">
        <v>79</v>
      </c>
      <c r="L107" s="2"/>
      <c r="N107" s="2">
        <v>160</v>
      </c>
      <c r="O107" t="s">
        <v>122</v>
      </c>
      <c r="P107">
        <f>YEAR(tblServicios[[#This Row],[Fecha]])</f>
        <v>2026</v>
      </c>
      <c r="Q107">
        <f>MONTH(tblServicios[[#This Row],[Fecha]])</f>
        <v>7</v>
      </c>
      <c r="R107">
        <f>ROUNDUP(MONTH(tblServicios[[#This Row],[Fecha]])/3,0)</f>
        <v>3</v>
      </c>
      <c r="S107" t="s">
        <v>123</v>
      </c>
    </row>
    <row r="108" spans="1:20" x14ac:dyDescent="0.35">
      <c r="A108" t="s">
        <v>181</v>
      </c>
      <c r="B108" s="1">
        <v>46207</v>
      </c>
      <c r="C108" t="s">
        <v>46</v>
      </c>
      <c r="D108" t="s">
        <v>47</v>
      </c>
      <c r="E108" t="s">
        <v>12</v>
      </c>
      <c r="F108" t="s">
        <v>13</v>
      </c>
      <c r="G108" t="s">
        <v>14</v>
      </c>
      <c r="I108" t="s">
        <v>48</v>
      </c>
      <c r="J108" t="s">
        <v>48</v>
      </c>
      <c r="K108">
        <v>152.6</v>
      </c>
      <c r="L108" s="2"/>
      <c r="N10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8" t="s">
        <v>122</v>
      </c>
      <c r="P108">
        <f>YEAR(tblServicios[[#This Row],[Fecha]])</f>
        <v>2026</v>
      </c>
      <c r="Q108">
        <f>MONTH(tblServicios[[#This Row],[Fecha]])</f>
        <v>7</v>
      </c>
      <c r="R108">
        <f>ROUNDUP(MONTH(tblServicios[[#This Row],[Fecha]])/3,0)</f>
        <v>3</v>
      </c>
      <c r="S108" t="s">
        <v>123</v>
      </c>
    </row>
    <row r="109" spans="1:20" x14ac:dyDescent="0.35">
      <c r="A109" t="s">
        <v>182</v>
      </c>
      <c r="B109" s="1">
        <v>46206</v>
      </c>
      <c r="C109" t="s">
        <v>46</v>
      </c>
      <c r="D109" t="s">
        <v>47</v>
      </c>
      <c r="E109" t="s">
        <v>12</v>
      </c>
      <c r="F109" t="s">
        <v>13</v>
      </c>
      <c r="G109" t="s">
        <v>14</v>
      </c>
      <c r="I109" t="s">
        <v>48</v>
      </c>
      <c r="J109" t="s">
        <v>48</v>
      </c>
      <c r="K109">
        <v>173.9</v>
      </c>
      <c r="L109" s="2"/>
      <c r="N10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9" t="s">
        <v>122</v>
      </c>
      <c r="P109">
        <f>YEAR(tblServicios[[#This Row],[Fecha]])</f>
        <v>2026</v>
      </c>
      <c r="Q109">
        <f>MONTH(tblServicios[[#This Row],[Fecha]])</f>
        <v>7</v>
      </c>
      <c r="R109">
        <f>ROUNDUP(MONTH(tblServicios[[#This Row],[Fecha]])/3,0)</f>
        <v>3</v>
      </c>
      <c r="S109" t="s">
        <v>123</v>
      </c>
      <c r="T109" t="s">
        <v>183</v>
      </c>
    </row>
    <row r="110" spans="1:20" x14ac:dyDescent="0.35">
      <c r="A110" t="s">
        <v>184</v>
      </c>
      <c r="B110" s="1">
        <v>46205</v>
      </c>
      <c r="C110" t="s">
        <v>46</v>
      </c>
      <c r="D110" t="s">
        <v>47</v>
      </c>
      <c r="E110" t="s">
        <v>12</v>
      </c>
      <c r="F110" t="s">
        <v>13</v>
      </c>
      <c r="G110" t="s">
        <v>14</v>
      </c>
      <c r="I110" t="s">
        <v>48</v>
      </c>
      <c r="J110" t="s">
        <v>48</v>
      </c>
      <c r="K110">
        <v>123.1</v>
      </c>
      <c r="L110" s="2"/>
      <c r="N11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0" t="s">
        <v>122</v>
      </c>
      <c r="P110">
        <f>YEAR(tblServicios[[#This Row],[Fecha]])</f>
        <v>2026</v>
      </c>
      <c r="Q110">
        <f>MONTH(tblServicios[[#This Row],[Fecha]])</f>
        <v>7</v>
      </c>
      <c r="R110">
        <f>ROUNDUP(MONTH(tblServicios[[#This Row],[Fecha]])/3,0)</f>
        <v>3</v>
      </c>
      <c r="S110" t="s">
        <v>123</v>
      </c>
    </row>
    <row r="111" spans="1:20" x14ac:dyDescent="0.35">
      <c r="A111" t="s">
        <v>185</v>
      </c>
      <c r="B111" s="1">
        <v>46205</v>
      </c>
      <c r="C111" t="s">
        <v>46</v>
      </c>
      <c r="D111" t="s">
        <v>47</v>
      </c>
      <c r="E111" t="s">
        <v>15</v>
      </c>
      <c r="F111" t="s">
        <v>13</v>
      </c>
      <c r="G111" t="s">
        <v>17</v>
      </c>
      <c r="H111" t="s">
        <v>14</v>
      </c>
      <c r="I111" t="s">
        <v>48</v>
      </c>
      <c r="J111" t="s">
        <v>48</v>
      </c>
      <c r="K111">
        <v>97.5</v>
      </c>
      <c r="L111" s="2"/>
      <c r="N11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11" t="s">
        <v>122</v>
      </c>
      <c r="P111">
        <f>YEAR(tblServicios[[#This Row],[Fecha]])</f>
        <v>2026</v>
      </c>
      <c r="Q111">
        <f>MONTH(tblServicios[[#This Row],[Fecha]])</f>
        <v>7</v>
      </c>
      <c r="R111">
        <f>ROUNDUP(MONTH(tblServicios[[#This Row],[Fecha]])/3,0)</f>
        <v>3</v>
      </c>
      <c r="S111" t="s">
        <v>123</v>
      </c>
      <c r="T111" t="s">
        <v>174</v>
      </c>
    </row>
    <row r="112" spans="1:20" x14ac:dyDescent="0.35">
      <c r="A112" t="s">
        <v>186</v>
      </c>
      <c r="B112" s="1">
        <v>46204</v>
      </c>
      <c r="C112" t="s">
        <v>46</v>
      </c>
      <c r="D112" t="s">
        <v>47</v>
      </c>
      <c r="E112" t="s">
        <v>12</v>
      </c>
      <c r="F112" t="s">
        <v>13</v>
      </c>
      <c r="G112" t="s">
        <v>14</v>
      </c>
      <c r="I112" t="s">
        <v>48</v>
      </c>
      <c r="J112" t="s">
        <v>48</v>
      </c>
      <c r="K112">
        <v>54.4</v>
      </c>
      <c r="L112" s="2"/>
      <c r="N11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2" t="s">
        <v>122</v>
      </c>
      <c r="P112">
        <f>YEAR(tblServicios[[#This Row],[Fecha]])</f>
        <v>2026</v>
      </c>
      <c r="Q112">
        <f>MONTH(tblServicios[[#This Row],[Fecha]])</f>
        <v>7</v>
      </c>
      <c r="R112">
        <f>ROUNDUP(MONTH(tblServicios[[#This Row],[Fecha]])/3,0)</f>
        <v>3</v>
      </c>
      <c r="S112" t="s">
        <v>123</v>
      </c>
      <c r="T112" t="s">
        <v>187</v>
      </c>
    </row>
    <row r="113" spans="1:20" x14ac:dyDescent="0.35">
      <c r="A113" t="s">
        <v>188</v>
      </c>
      <c r="B113" s="1">
        <v>46204</v>
      </c>
      <c r="C113" t="s">
        <v>46</v>
      </c>
      <c r="D113" t="s">
        <v>47</v>
      </c>
      <c r="E113" t="s">
        <v>15</v>
      </c>
      <c r="F113" t="s">
        <v>13</v>
      </c>
      <c r="G113" t="s">
        <v>17</v>
      </c>
      <c r="H113" t="s">
        <v>14</v>
      </c>
      <c r="I113" t="s">
        <v>48</v>
      </c>
      <c r="J113" t="s">
        <v>48</v>
      </c>
      <c r="K113">
        <v>67</v>
      </c>
      <c r="L113" s="2"/>
      <c r="N11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13" t="s">
        <v>122</v>
      </c>
      <c r="P113">
        <f>YEAR(tblServicios[[#This Row],[Fecha]])</f>
        <v>2026</v>
      </c>
      <c r="Q113">
        <f>MONTH(tblServicios[[#This Row],[Fecha]])</f>
        <v>7</v>
      </c>
      <c r="R113">
        <f>ROUNDUP(MONTH(tblServicios[[#This Row],[Fecha]])/3,0)</f>
        <v>3</v>
      </c>
      <c r="S113" t="s">
        <v>123</v>
      </c>
      <c r="T113" t="s">
        <v>189</v>
      </c>
    </row>
    <row r="114" spans="1:20" x14ac:dyDescent="0.35">
      <c r="A114" t="s">
        <v>190</v>
      </c>
      <c r="B114" s="1">
        <v>46203</v>
      </c>
      <c r="C114" t="s">
        <v>46</v>
      </c>
      <c r="D114" t="s">
        <v>47</v>
      </c>
      <c r="E114" t="s">
        <v>12</v>
      </c>
      <c r="F114" t="s">
        <v>13</v>
      </c>
      <c r="G114" t="s">
        <v>14</v>
      </c>
      <c r="I114" t="s">
        <v>48</v>
      </c>
      <c r="J114" t="s">
        <v>48</v>
      </c>
      <c r="K114">
        <v>158.80000000000001</v>
      </c>
      <c r="L114" s="2"/>
      <c r="N11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4" t="s">
        <v>122</v>
      </c>
      <c r="P114">
        <f>YEAR(tblServicios[[#This Row],[Fecha]])</f>
        <v>2026</v>
      </c>
      <c r="Q114">
        <f>MONTH(tblServicios[[#This Row],[Fecha]])</f>
        <v>6</v>
      </c>
      <c r="R114">
        <f>ROUNDUP(MONTH(tblServicios[[#This Row],[Fecha]])/3,0)</f>
        <v>2</v>
      </c>
      <c r="S114" t="s">
        <v>191</v>
      </c>
    </row>
    <row r="115" spans="1:20" x14ac:dyDescent="0.35">
      <c r="A115" t="s">
        <v>192</v>
      </c>
      <c r="B115" s="1">
        <v>46203</v>
      </c>
      <c r="C115" t="s">
        <v>46</v>
      </c>
      <c r="D115" t="s">
        <v>47</v>
      </c>
      <c r="E115" t="s">
        <v>15</v>
      </c>
      <c r="F115" t="s">
        <v>13</v>
      </c>
      <c r="G115" t="s">
        <v>17</v>
      </c>
      <c r="H115" t="s">
        <v>14</v>
      </c>
      <c r="I115" t="s">
        <v>48</v>
      </c>
      <c r="J115" t="s">
        <v>48</v>
      </c>
      <c r="K115">
        <v>98</v>
      </c>
      <c r="L115" s="2">
        <v>35</v>
      </c>
      <c r="M115" t="s">
        <v>82</v>
      </c>
      <c r="N11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195</v>
      </c>
      <c r="O115" t="s">
        <v>122</v>
      </c>
      <c r="P115">
        <f>YEAR(tblServicios[[#This Row],[Fecha]])</f>
        <v>2026</v>
      </c>
      <c r="Q115">
        <f>MONTH(tblServicios[[#This Row],[Fecha]])</f>
        <v>6</v>
      </c>
      <c r="R115">
        <f>ROUNDUP(MONTH(tblServicios[[#This Row],[Fecha]])/3,0)</f>
        <v>2</v>
      </c>
      <c r="S115" t="s">
        <v>191</v>
      </c>
    </row>
    <row r="116" spans="1:20" x14ac:dyDescent="0.35">
      <c r="A116" t="s">
        <v>193</v>
      </c>
      <c r="B116" s="1">
        <v>46202</v>
      </c>
      <c r="C116" t="s">
        <v>46</v>
      </c>
      <c r="D116" t="s">
        <v>47</v>
      </c>
      <c r="E116" t="s">
        <v>12</v>
      </c>
      <c r="F116" t="s">
        <v>13</v>
      </c>
      <c r="G116" t="s">
        <v>14</v>
      </c>
      <c r="I116" t="s">
        <v>48</v>
      </c>
      <c r="J116" t="s">
        <v>48</v>
      </c>
      <c r="K116">
        <v>202</v>
      </c>
      <c r="L116" s="2">
        <v>25</v>
      </c>
      <c r="M116" t="s">
        <v>146</v>
      </c>
      <c r="N11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205</v>
      </c>
      <c r="O116" t="s">
        <v>122</v>
      </c>
      <c r="P116">
        <f>YEAR(tblServicios[[#This Row],[Fecha]])</f>
        <v>2026</v>
      </c>
      <c r="Q116">
        <f>MONTH(tblServicios[[#This Row],[Fecha]])</f>
        <v>6</v>
      </c>
      <c r="R116">
        <f>ROUNDUP(MONTH(tblServicios[[#This Row],[Fecha]])/3,0)</f>
        <v>2</v>
      </c>
      <c r="S116" t="s">
        <v>191</v>
      </c>
      <c r="T116" t="s">
        <v>194</v>
      </c>
    </row>
    <row r="117" spans="1:20" x14ac:dyDescent="0.35">
      <c r="A117" t="s">
        <v>195</v>
      </c>
      <c r="B117" s="1">
        <v>46202</v>
      </c>
      <c r="C117" t="s">
        <v>46</v>
      </c>
      <c r="D117" t="s">
        <v>47</v>
      </c>
      <c r="E117" t="s">
        <v>15</v>
      </c>
      <c r="F117" t="s">
        <v>13</v>
      </c>
      <c r="G117" t="s">
        <v>17</v>
      </c>
      <c r="H117" t="s">
        <v>14</v>
      </c>
      <c r="I117" t="s">
        <v>48</v>
      </c>
      <c r="J117" t="s">
        <v>48</v>
      </c>
      <c r="K117">
        <v>146.4</v>
      </c>
      <c r="L117" s="2">
        <v>35</v>
      </c>
      <c r="M117" t="s">
        <v>82</v>
      </c>
      <c r="N11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195</v>
      </c>
      <c r="O117" t="s">
        <v>122</v>
      </c>
      <c r="P117">
        <f>YEAR(tblServicios[[#This Row],[Fecha]])</f>
        <v>2026</v>
      </c>
      <c r="Q117">
        <f>MONTH(tblServicios[[#This Row],[Fecha]])</f>
        <v>6</v>
      </c>
      <c r="R117">
        <f>ROUNDUP(MONTH(tblServicios[[#This Row],[Fecha]])/3,0)</f>
        <v>2</v>
      </c>
      <c r="S117" t="s">
        <v>191</v>
      </c>
      <c r="T117" t="s">
        <v>196</v>
      </c>
    </row>
    <row r="118" spans="1:20" x14ac:dyDescent="0.35">
      <c r="A118" t="s">
        <v>197</v>
      </c>
      <c r="B118" s="1">
        <v>46201</v>
      </c>
      <c r="C118" t="s">
        <v>46</v>
      </c>
      <c r="D118" t="s">
        <v>47</v>
      </c>
      <c r="E118" t="s">
        <v>12</v>
      </c>
      <c r="F118" t="s">
        <v>13</v>
      </c>
      <c r="G118" t="s">
        <v>14</v>
      </c>
      <c r="I118" t="s">
        <v>48</v>
      </c>
      <c r="J118" t="s">
        <v>48</v>
      </c>
      <c r="K118">
        <v>100.6</v>
      </c>
      <c r="L118" s="2"/>
      <c r="N11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8" t="s">
        <v>122</v>
      </c>
      <c r="P118">
        <f>YEAR(tblServicios[[#This Row],[Fecha]])</f>
        <v>2026</v>
      </c>
      <c r="Q118">
        <f>MONTH(tblServicios[[#This Row],[Fecha]])</f>
        <v>6</v>
      </c>
      <c r="R118">
        <f>ROUNDUP(MONTH(tblServicios[[#This Row],[Fecha]])/3,0)</f>
        <v>2</v>
      </c>
      <c r="S118" t="s">
        <v>191</v>
      </c>
      <c r="T118" t="s">
        <v>198</v>
      </c>
    </row>
    <row r="119" spans="1:20" x14ac:dyDescent="0.35">
      <c r="A119" t="s">
        <v>199</v>
      </c>
      <c r="B119" s="1">
        <v>46200</v>
      </c>
      <c r="C119" t="s">
        <v>46</v>
      </c>
      <c r="D119" t="s">
        <v>47</v>
      </c>
      <c r="E119" t="s">
        <v>12</v>
      </c>
      <c r="F119" t="s">
        <v>13</v>
      </c>
      <c r="G119" t="s">
        <v>14</v>
      </c>
      <c r="I119" t="s">
        <v>48</v>
      </c>
      <c r="J119" t="s">
        <v>48</v>
      </c>
      <c r="K119">
        <v>245.6</v>
      </c>
      <c r="L119" s="2">
        <v>25</v>
      </c>
      <c r="M119" t="s">
        <v>146</v>
      </c>
      <c r="N11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205</v>
      </c>
      <c r="O119" t="s">
        <v>122</v>
      </c>
      <c r="P119">
        <f>YEAR(tblServicios[[#This Row],[Fecha]])</f>
        <v>2026</v>
      </c>
      <c r="Q119">
        <f>MONTH(tblServicios[[#This Row],[Fecha]])</f>
        <v>6</v>
      </c>
      <c r="R119">
        <f>ROUNDUP(MONTH(tblServicios[[#This Row],[Fecha]])/3,0)</f>
        <v>2</v>
      </c>
      <c r="S119" t="s">
        <v>191</v>
      </c>
      <c r="T119" t="s">
        <v>200</v>
      </c>
    </row>
    <row r="120" spans="1:20" x14ac:dyDescent="0.35">
      <c r="A120" t="s">
        <v>201</v>
      </c>
      <c r="B120" s="1">
        <v>46199</v>
      </c>
      <c r="C120" t="s">
        <v>46</v>
      </c>
      <c r="D120" t="s">
        <v>47</v>
      </c>
      <c r="E120" t="s">
        <v>12</v>
      </c>
      <c r="F120" t="s">
        <v>13</v>
      </c>
      <c r="G120" t="s">
        <v>14</v>
      </c>
      <c r="I120" t="s">
        <v>48</v>
      </c>
      <c r="J120" t="s">
        <v>48</v>
      </c>
      <c r="K120">
        <v>214</v>
      </c>
      <c r="L120" s="2">
        <v>50</v>
      </c>
      <c r="M120" t="s">
        <v>146</v>
      </c>
      <c r="N12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230</v>
      </c>
      <c r="O120" t="s">
        <v>122</v>
      </c>
      <c r="P120">
        <f>YEAR(tblServicios[[#This Row],[Fecha]])</f>
        <v>2026</v>
      </c>
      <c r="Q120">
        <f>MONTH(tblServicios[[#This Row],[Fecha]])</f>
        <v>6</v>
      </c>
      <c r="R120">
        <f>ROUNDUP(MONTH(tblServicios[[#This Row],[Fecha]])/3,0)</f>
        <v>2</v>
      </c>
      <c r="S120" t="s">
        <v>191</v>
      </c>
    </row>
    <row r="121" spans="1:20" x14ac:dyDescent="0.35">
      <c r="A121" t="s">
        <v>202</v>
      </c>
      <c r="B121" s="1">
        <v>46199</v>
      </c>
      <c r="C121" t="s">
        <v>46</v>
      </c>
      <c r="D121" t="s">
        <v>47</v>
      </c>
      <c r="E121" t="s">
        <v>15</v>
      </c>
      <c r="F121" t="s">
        <v>13</v>
      </c>
      <c r="G121" t="s">
        <v>14</v>
      </c>
      <c r="I121" t="s">
        <v>48</v>
      </c>
      <c r="J121" t="s">
        <v>48</v>
      </c>
      <c r="K121">
        <v>136</v>
      </c>
      <c r="L121" s="2"/>
      <c r="N12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21" t="s">
        <v>122</v>
      </c>
      <c r="P121">
        <f>YEAR(tblServicios[[#This Row],[Fecha]])</f>
        <v>2026</v>
      </c>
      <c r="Q121">
        <f>MONTH(tblServicios[[#This Row],[Fecha]])</f>
        <v>6</v>
      </c>
      <c r="R121">
        <f>ROUNDUP(MONTH(tblServicios[[#This Row],[Fecha]])/3,0)</f>
        <v>2</v>
      </c>
      <c r="S121" t="s">
        <v>191</v>
      </c>
      <c r="T121" t="s">
        <v>203</v>
      </c>
    </row>
    <row r="122" spans="1:20" x14ac:dyDescent="0.35">
      <c r="A122" t="s">
        <v>204</v>
      </c>
      <c r="B122" s="1">
        <v>46198</v>
      </c>
      <c r="C122" t="s">
        <v>46</v>
      </c>
      <c r="D122" t="s">
        <v>47</v>
      </c>
      <c r="E122" t="s">
        <v>12</v>
      </c>
      <c r="F122" t="s">
        <v>13</v>
      </c>
      <c r="G122" t="s">
        <v>14</v>
      </c>
      <c r="I122" t="s">
        <v>48</v>
      </c>
      <c r="J122" t="s">
        <v>48</v>
      </c>
      <c r="K122">
        <v>177.6</v>
      </c>
      <c r="L122" s="2">
        <v>25</v>
      </c>
      <c r="M122" t="s">
        <v>146</v>
      </c>
      <c r="N12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205</v>
      </c>
      <c r="O122" t="s">
        <v>122</v>
      </c>
      <c r="P122">
        <f>YEAR(tblServicios[[#This Row],[Fecha]])</f>
        <v>2026</v>
      </c>
      <c r="Q122">
        <f>MONTH(tblServicios[[#This Row],[Fecha]])</f>
        <v>6</v>
      </c>
      <c r="R122">
        <f>ROUNDUP(MONTH(tblServicios[[#This Row],[Fecha]])/3,0)</f>
        <v>2</v>
      </c>
      <c r="S122" t="s">
        <v>191</v>
      </c>
    </row>
    <row r="123" spans="1:20" x14ac:dyDescent="0.35">
      <c r="A123" t="s">
        <v>205</v>
      </c>
      <c r="B123" s="1">
        <v>46197</v>
      </c>
      <c r="C123" t="s">
        <v>46</v>
      </c>
      <c r="D123" t="s">
        <v>47</v>
      </c>
      <c r="E123" t="s">
        <v>12</v>
      </c>
      <c r="F123" t="s">
        <v>13</v>
      </c>
      <c r="G123" t="s">
        <v>14</v>
      </c>
      <c r="I123" t="s">
        <v>48</v>
      </c>
      <c r="J123" t="s">
        <v>48</v>
      </c>
      <c r="K123">
        <v>188.6</v>
      </c>
      <c r="L123" s="2"/>
      <c r="N12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23" t="s">
        <v>122</v>
      </c>
      <c r="P123">
        <f>YEAR(tblServicios[[#This Row],[Fecha]])</f>
        <v>2026</v>
      </c>
      <c r="Q123">
        <f>MONTH(tblServicios[[#This Row],[Fecha]])</f>
        <v>6</v>
      </c>
      <c r="R123">
        <f>ROUNDUP(MONTH(tblServicios[[#This Row],[Fecha]])/3,0)</f>
        <v>2</v>
      </c>
      <c r="S123" t="s">
        <v>191</v>
      </c>
    </row>
    <row r="124" spans="1:20" x14ac:dyDescent="0.35">
      <c r="A124" t="s">
        <v>206</v>
      </c>
      <c r="B124" s="1">
        <v>46196</v>
      </c>
      <c r="C124" t="s">
        <v>46</v>
      </c>
      <c r="D124" t="s">
        <v>47</v>
      </c>
      <c r="E124" t="s">
        <v>12</v>
      </c>
      <c r="F124" t="s">
        <v>13</v>
      </c>
      <c r="G124" t="s">
        <v>14</v>
      </c>
      <c r="I124" t="s">
        <v>48</v>
      </c>
      <c r="J124" t="s">
        <v>48</v>
      </c>
      <c r="K124">
        <f>220-69.4</f>
        <v>150.6</v>
      </c>
      <c r="L124" s="2"/>
      <c r="N12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24" t="s">
        <v>122</v>
      </c>
      <c r="P124">
        <f>YEAR(tblServicios[[#This Row],[Fecha]])</f>
        <v>2026</v>
      </c>
      <c r="Q124">
        <f>MONTH(tblServicios[[#This Row],[Fecha]])</f>
        <v>6</v>
      </c>
      <c r="R124">
        <f>ROUNDUP(MONTH(tblServicios[[#This Row],[Fecha]])/3,0)</f>
        <v>2</v>
      </c>
      <c r="S124" t="s">
        <v>191</v>
      </c>
      <c r="T124" t="s">
        <v>207</v>
      </c>
    </row>
    <row r="125" spans="1:20" x14ac:dyDescent="0.35">
      <c r="A125" t="s">
        <v>208</v>
      </c>
      <c r="B125" s="1">
        <v>46195</v>
      </c>
      <c r="C125" t="s">
        <v>46</v>
      </c>
      <c r="D125" t="s">
        <v>47</v>
      </c>
      <c r="E125" t="s">
        <v>12</v>
      </c>
      <c r="F125" t="s">
        <v>13</v>
      </c>
      <c r="G125" t="s">
        <v>14</v>
      </c>
      <c r="I125" t="s">
        <v>48</v>
      </c>
      <c r="J125" t="s">
        <v>48</v>
      </c>
      <c r="K125">
        <v>210.3</v>
      </c>
      <c r="L125" s="2"/>
      <c r="N12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25" t="s">
        <v>122</v>
      </c>
      <c r="P125">
        <f>YEAR(tblServicios[[#This Row],[Fecha]])</f>
        <v>2026</v>
      </c>
      <c r="Q125">
        <f>MONTH(tblServicios[[#This Row],[Fecha]])</f>
        <v>6</v>
      </c>
      <c r="R125">
        <f>ROUNDUP(MONTH(tblServicios[[#This Row],[Fecha]])/3,0)</f>
        <v>2</v>
      </c>
      <c r="S125" t="s">
        <v>191</v>
      </c>
      <c r="T125" t="s">
        <v>209</v>
      </c>
    </row>
    <row r="126" spans="1:20" x14ac:dyDescent="0.35">
      <c r="A126" t="s">
        <v>210</v>
      </c>
      <c r="B126" s="1">
        <v>46195</v>
      </c>
      <c r="C126" t="s">
        <v>46</v>
      </c>
      <c r="D126" t="s">
        <v>211</v>
      </c>
      <c r="E126" t="s">
        <v>31</v>
      </c>
      <c r="F126" t="s">
        <v>13</v>
      </c>
      <c r="G126" t="s">
        <v>14</v>
      </c>
      <c r="I126" t="s">
        <v>212</v>
      </c>
      <c r="J126" t="s">
        <v>213</v>
      </c>
      <c r="K126">
        <v>22.2</v>
      </c>
      <c r="L126" s="2"/>
      <c r="N12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26" t="s">
        <v>122</v>
      </c>
      <c r="P126">
        <f>YEAR(tblServicios[[#This Row],[Fecha]])</f>
        <v>2026</v>
      </c>
      <c r="Q126">
        <f>MONTH(tblServicios[[#This Row],[Fecha]])</f>
        <v>6</v>
      </c>
      <c r="R126">
        <f>ROUNDUP(MONTH(tblServicios[[#This Row],[Fecha]])/3,0)</f>
        <v>2</v>
      </c>
      <c r="S126" t="s">
        <v>191</v>
      </c>
    </row>
    <row r="127" spans="1:20" x14ac:dyDescent="0.35">
      <c r="A127" t="s">
        <v>214</v>
      </c>
      <c r="B127" s="1">
        <v>46194</v>
      </c>
      <c r="C127" t="s">
        <v>46</v>
      </c>
      <c r="D127" t="s">
        <v>47</v>
      </c>
      <c r="E127" t="s">
        <v>12</v>
      </c>
      <c r="F127" t="s">
        <v>13</v>
      </c>
      <c r="G127" t="s">
        <v>14</v>
      </c>
      <c r="I127" t="s">
        <v>48</v>
      </c>
      <c r="J127" t="s">
        <v>48</v>
      </c>
      <c r="K127">
        <v>117</v>
      </c>
      <c r="L127" s="2">
        <v>50</v>
      </c>
      <c r="M127" t="s">
        <v>146</v>
      </c>
      <c r="N12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230</v>
      </c>
      <c r="O127" t="s">
        <v>122</v>
      </c>
      <c r="P127">
        <f>YEAR(tblServicios[[#This Row],[Fecha]])</f>
        <v>2026</v>
      </c>
      <c r="Q127">
        <f>MONTH(tblServicios[[#This Row],[Fecha]])</f>
        <v>6</v>
      </c>
      <c r="R127">
        <f>ROUNDUP(MONTH(tblServicios[[#This Row],[Fecha]])/3,0)</f>
        <v>2</v>
      </c>
      <c r="S127" t="s">
        <v>191</v>
      </c>
    </row>
    <row r="128" spans="1:20" x14ac:dyDescent="0.35">
      <c r="A128" t="s">
        <v>215</v>
      </c>
      <c r="B128" s="1">
        <v>46193</v>
      </c>
      <c r="C128" t="s">
        <v>46</v>
      </c>
      <c r="D128" t="s">
        <v>47</v>
      </c>
      <c r="E128" t="s">
        <v>12</v>
      </c>
      <c r="F128" t="s">
        <v>13</v>
      </c>
      <c r="G128" t="s">
        <v>14</v>
      </c>
      <c r="I128" t="s">
        <v>48</v>
      </c>
      <c r="J128" t="s">
        <v>48</v>
      </c>
      <c r="K128">
        <f>300-30-30</f>
        <v>240</v>
      </c>
      <c r="L128" s="2"/>
      <c r="N12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28" t="s">
        <v>122</v>
      </c>
      <c r="P128">
        <f>YEAR(tblServicios[[#This Row],[Fecha]])</f>
        <v>2026</v>
      </c>
      <c r="Q128">
        <f>MONTH(tblServicios[[#This Row],[Fecha]])</f>
        <v>6</v>
      </c>
      <c r="R128">
        <f>ROUNDUP(MONTH(tblServicios[[#This Row],[Fecha]])/3,0)</f>
        <v>2</v>
      </c>
      <c r="S128" t="s">
        <v>191</v>
      </c>
    </row>
    <row r="129" spans="1:20" x14ac:dyDescent="0.35">
      <c r="A129" t="s">
        <v>216</v>
      </c>
      <c r="B129" s="1">
        <v>46192</v>
      </c>
      <c r="C129" t="s">
        <v>46</v>
      </c>
      <c r="D129" t="s">
        <v>47</v>
      </c>
      <c r="E129" t="s">
        <v>12</v>
      </c>
      <c r="F129" t="s">
        <v>13</v>
      </c>
      <c r="G129" t="s">
        <v>14</v>
      </c>
      <c r="I129" t="s">
        <v>48</v>
      </c>
      <c r="J129" t="s">
        <v>48</v>
      </c>
      <c r="K129">
        <v>258</v>
      </c>
      <c r="L129" s="2"/>
      <c r="N12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29" t="s">
        <v>122</v>
      </c>
      <c r="P129">
        <f>YEAR(tblServicios[[#This Row],[Fecha]])</f>
        <v>2026</v>
      </c>
      <c r="Q129">
        <f>MONTH(tblServicios[[#This Row],[Fecha]])</f>
        <v>6</v>
      </c>
      <c r="R129">
        <f>ROUNDUP(MONTH(tblServicios[[#This Row],[Fecha]])/3,0)</f>
        <v>2</v>
      </c>
      <c r="S129" t="s">
        <v>191</v>
      </c>
    </row>
    <row r="130" spans="1:20" x14ac:dyDescent="0.35">
      <c r="A130" t="s">
        <v>217</v>
      </c>
      <c r="B130" s="1">
        <v>46192</v>
      </c>
      <c r="C130" t="s">
        <v>46</v>
      </c>
      <c r="D130" t="s">
        <v>218</v>
      </c>
      <c r="E130" t="s">
        <v>31</v>
      </c>
      <c r="F130" t="s">
        <v>13</v>
      </c>
      <c r="G130" t="s">
        <v>14</v>
      </c>
      <c r="I130" t="s">
        <v>219</v>
      </c>
      <c r="J130" t="s">
        <v>218</v>
      </c>
      <c r="K130">
        <v>35</v>
      </c>
      <c r="L130" s="2"/>
      <c r="N13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0" t="s">
        <v>122</v>
      </c>
      <c r="P130">
        <f>YEAR(tblServicios[[#This Row],[Fecha]])</f>
        <v>2026</v>
      </c>
      <c r="Q130">
        <f>MONTH(tblServicios[[#This Row],[Fecha]])</f>
        <v>6</v>
      </c>
      <c r="R130">
        <f>ROUNDUP(MONTH(tblServicios[[#This Row],[Fecha]])/3,0)</f>
        <v>2</v>
      </c>
      <c r="S130" t="s">
        <v>191</v>
      </c>
    </row>
    <row r="131" spans="1:20" x14ac:dyDescent="0.35">
      <c r="A131" t="s">
        <v>220</v>
      </c>
      <c r="B131" s="1">
        <v>46192</v>
      </c>
      <c r="C131" t="s">
        <v>46</v>
      </c>
      <c r="D131" t="s">
        <v>221</v>
      </c>
      <c r="E131" t="s">
        <v>31</v>
      </c>
      <c r="F131" t="s">
        <v>13</v>
      </c>
      <c r="G131" t="s">
        <v>14</v>
      </c>
      <c r="I131" t="s">
        <v>222</v>
      </c>
      <c r="J131" t="s">
        <v>223</v>
      </c>
      <c r="K131">
        <v>41</v>
      </c>
      <c r="L131" s="2"/>
      <c r="N13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1" t="s">
        <v>122</v>
      </c>
      <c r="P131">
        <f>YEAR(tblServicios[[#This Row],[Fecha]])</f>
        <v>2026</v>
      </c>
      <c r="Q131">
        <f>MONTH(tblServicios[[#This Row],[Fecha]])</f>
        <v>6</v>
      </c>
      <c r="R131">
        <f>ROUNDUP(MONTH(tblServicios[[#This Row],[Fecha]])/3,0)</f>
        <v>2</v>
      </c>
      <c r="S131" t="s">
        <v>191</v>
      </c>
    </row>
    <row r="132" spans="1:20" x14ac:dyDescent="0.35">
      <c r="A132" t="s">
        <v>224</v>
      </c>
      <c r="B132" s="1">
        <v>46191</v>
      </c>
      <c r="C132" t="s">
        <v>46</v>
      </c>
      <c r="D132" t="s">
        <v>225</v>
      </c>
      <c r="E132" t="s">
        <v>31</v>
      </c>
      <c r="F132" t="s">
        <v>13</v>
      </c>
      <c r="G132" t="s">
        <v>14</v>
      </c>
      <c r="I132" t="s">
        <v>218</v>
      </c>
      <c r="J132" t="s">
        <v>226</v>
      </c>
      <c r="K132">
        <v>10</v>
      </c>
      <c r="L132" s="2"/>
      <c r="N13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2" t="s">
        <v>122</v>
      </c>
      <c r="P132">
        <f>YEAR(tblServicios[[#This Row],[Fecha]])</f>
        <v>2026</v>
      </c>
      <c r="Q132">
        <f>MONTH(tblServicios[[#This Row],[Fecha]])</f>
        <v>6</v>
      </c>
      <c r="R132">
        <f>ROUNDUP(MONTH(tblServicios[[#This Row],[Fecha]])/3,0)</f>
        <v>2</v>
      </c>
      <c r="S132" t="s">
        <v>191</v>
      </c>
    </row>
    <row r="133" spans="1:20" x14ac:dyDescent="0.35">
      <c r="A133" t="s">
        <v>227</v>
      </c>
      <c r="B133" s="1">
        <v>46191</v>
      </c>
      <c r="C133" t="s">
        <v>46</v>
      </c>
      <c r="D133" t="s">
        <v>228</v>
      </c>
      <c r="E133" t="s">
        <v>31</v>
      </c>
      <c r="F133" t="s">
        <v>13</v>
      </c>
      <c r="G133" t="s">
        <v>14</v>
      </c>
      <c r="I133" t="s">
        <v>229</v>
      </c>
      <c r="J133" t="s">
        <v>230</v>
      </c>
      <c r="K133">
        <v>38.799999999999997</v>
      </c>
      <c r="L133" s="2"/>
      <c r="N13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3" t="s">
        <v>122</v>
      </c>
      <c r="P133">
        <f>YEAR(tblServicios[[#This Row],[Fecha]])</f>
        <v>2026</v>
      </c>
      <c r="Q133">
        <f>MONTH(tblServicios[[#This Row],[Fecha]])</f>
        <v>6</v>
      </c>
      <c r="R133">
        <f>ROUNDUP(MONTH(tblServicios[[#This Row],[Fecha]])/3,0)</f>
        <v>2</v>
      </c>
      <c r="S133" t="s">
        <v>191</v>
      </c>
    </row>
    <row r="134" spans="1:20" x14ac:dyDescent="0.35">
      <c r="A134" t="s">
        <v>231</v>
      </c>
      <c r="B134" s="1">
        <v>46190</v>
      </c>
      <c r="C134" t="s">
        <v>46</v>
      </c>
      <c r="D134" t="s">
        <v>232</v>
      </c>
      <c r="E134" t="s">
        <v>31</v>
      </c>
      <c r="F134" t="s">
        <v>13</v>
      </c>
      <c r="G134" t="s">
        <v>14</v>
      </c>
      <c r="I134" t="s">
        <v>233</v>
      </c>
      <c r="J134" t="s">
        <v>234</v>
      </c>
      <c r="K134">
        <v>53.9</v>
      </c>
      <c r="L134" s="2"/>
      <c r="N134" s="2">
        <v>45</v>
      </c>
      <c r="O134" t="s">
        <v>122</v>
      </c>
      <c r="P134">
        <f>YEAR(tblServicios[[#This Row],[Fecha]])</f>
        <v>2026</v>
      </c>
      <c r="Q134">
        <f>MONTH(tblServicios[[#This Row],[Fecha]])</f>
        <v>6</v>
      </c>
      <c r="R134">
        <f>ROUNDUP(MONTH(tblServicios[[#This Row],[Fecha]])/3,0)</f>
        <v>2</v>
      </c>
      <c r="S134" t="s">
        <v>191</v>
      </c>
      <c r="T134" t="s">
        <v>235</v>
      </c>
    </row>
    <row r="135" spans="1:20" x14ac:dyDescent="0.35">
      <c r="A135" t="s">
        <v>236</v>
      </c>
      <c r="B135" s="1">
        <v>46189</v>
      </c>
      <c r="C135" t="s">
        <v>46</v>
      </c>
      <c r="D135" t="s">
        <v>237</v>
      </c>
      <c r="E135" t="s">
        <v>31</v>
      </c>
      <c r="F135" t="s">
        <v>13</v>
      </c>
      <c r="G135" t="s">
        <v>14</v>
      </c>
      <c r="I135" t="s">
        <v>238</v>
      </c>
      <c r="J135" t="s">
        <v>239</v>
      </c>
      <c r="K135">
        <v>17.399999999999999</v>
      </c>
      <c r="L135" s="2"/>
      <c r="N13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5" t="s">
        <v>122</v>
      </c>
      <c r="P135">
        <f>YEAR(tblServicios[[#This Row],[Fecha]])</f>
        <v>2026</v>
      </c>
      <c r="Q135">
        <f>MONTH(tblServicios[[#This Row],[Fecha]])</f>
        <v>6</v>
      </c>
      <c r="R135">
        <f>ROUNDUP(MONTH(tblServicios[[#This Row],[Fecha]])/3,0)</f>
        <v>2</v>
      </c>
      <c r="S135" t="s">
        <v>191</v>
      </c>
    </row>
    <row r="136" spans="1:20" x14ac:dyDescent="0.35">
      <c r="A136" t="s">
        <v>240</v>
      </c>
      <c r="B136" s="1">
        <v>46188</v>
      </c>
      <c r="C136" t="s">
        <v>46</v>
      </c>
      <c r="D136" t="s">
        <v>47</v>
      </c>
      <c r="E136" t="s">
        <v>12</v>
      </c>
      <c r="F136" t="s">
        <v>13</v>
      </c>
      <c r="G136" t="s">
        <v>14</v>
      </c>
      <c r="I136" t="s">
        <v>241</v>
      </c>
      <c r="J136" t="s">
        <v>241</v>
      </c>
      <c r="K136">
        <v>43.1</v>
      </c>
      <c r="L136" s="2"/>
      <c r="N136" s="2">
        <v>170</v>
      </c>
      <c r="O136" t="s">
        <v>122</v>
      </c>
      <c r="P136">
        <f>YEAR(tblServicios[[#This Row],[Fecha]])</f>
        <v>2026</v>
      </c>
      <c r="Q136">
        <f>MONTH(tblServicios[[#This Row],[Fecha]])</f>
        <v>6</v>
      </c>
      <c r="R136">
        <f>ROUNDUP(MONTH(tblServicios[[#This Row],[Fecha]])/3,0)</f>
        <v>2</v>
      </c>
      <c r="S136" t="s">
        <v>191</v>
      </c>
    </row>
    <row r="137" spans="1:20" x14ac:dyDescent="0.35">
      <c r="A137" t="s">
        <v>242</v>
      </c>
      <c r="B137" s="1">
        <v>46188</v>
      </c>
      <c r="C137" t="s">
        <v>46</v>
      </c>
      <c r="D137" t="s">
        <v>243</v>
      </c>
      <c r="E137" t="s">
        <v>31</v>
      </c>
      <c r="F137" t="s">
        <v>13</v>
      </c>
      <c r="G137" t="s">
        <v>14</v>
      </c>
      <c r="I137" t="s">
        <v>233</v>
      </c>
      <c r="J137" t="s">
        <v>244</v>
      </c>
      <c r="K137">
        <v>26.9</v>
      </c>
      <c r="L137" s="2"/>
      <c r="N13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7" t="s">
        <v>122</v>
      </c>
      <c r="P137">
        <f>YEAR(tblServicios[[#This Row],[Fecha]])</f>
        <v>2026</v>
      </c>
      <c r="Q137">
        <f>MONTH(tblServicios[[#This Row],[Fecha]])</f>
        <v>6</v>
      </c>
      <c r="R137">
        <f>ROUNDUP(MONTH(tblServicios[[#This Row],[Fecha]])/3,0)</f>
        <v>2</v>
      </c>
      <c r="S137" t="s">
        <v>191</v>
      </c>
    </row>
    <row r="138" spans="1:20" x14ac:dyDescent="0.35">
      <c r="A138" t="s">
        <v>245</v>
      </c>
      <c r="B138" s="1">
        <v>46188</v>
      </c>
      <c r="C138" t="s">
        <v>46</v>
      </c>
      <c r="D138" t="s">
        <v>211</v>
      </c>
      <c r="E138" t="s">
        <v>31</v>
      </c>
      <c r="F138" t="s">
        <v>13</v>
      </c>
      <c r="G138" t="s">
        <v>14</v>
      </c>
      <c r="I138" t="s">
        <v>212</v>
      </c>
      <c r="J138" t="s">
        <v>213</v>
      </c>
      <c r="K138">
        <v>22.2</v>
      </c>
      <c r="L138" s="2"/>
      <c r="N13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8" t="s">
        <v>122</v>
      </c>
      <c r="P138">
        <f>YEAR(tblServicios[[#This Row],[Fecha]])</f>
        <v>2026</v>
      </c>
      <c r="Q138">
        <f>MONTH(tblServicios[[#This Row],[Fecha]])</f>
        <v>6</v>
      </c>
      <c r="R138">
        <f>ROUNDUP(MONTH(tblServicios[[#This Row],[Fecha]])/3,0)</f>
        <v>2</v>
      </c>
      <c r="S138" t="s">
        <v>191</v>
      </c>
    </row>
    <row r="143" spans="1:20" x14ac:dyDescent="0.35">
      <c r="K143" s="2"/>
    </row>
  </sheetData>
  <phoneticPr fontId="2" type="noConversion"/>
  <pageMargins left="0.7" right="0.7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NuevoServicio.NuevoServicio">
                <anchor moveWithCells="1" sizeWithCells="1">
                  <from>
                    <xdr:col>20</xdr:col>
                    <xdr:colOff>590550</xdr:colOff>
                    <xdr:row>0</xdr:row>
                    <xdr:rowOff>158750</xdr:rowOff>
                  </from>
                  <to>
                    <xdr:col>24</xdr:col>
                    <xdr:colOff>6350</xdr:colOff>
                    <xdr:row>3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653D03F-DCA8-4410-A76E-5443AC54E6C0}">
          <x14:formula1>
            <xm:f>'99_Listas'!$A$2:$A$5</xm:f>
          </x14:formula1>
          <xm:sqref>P93:R138 O2:O138</xm:sqref>
        </x14:dataValidation>
        <x14:dataValidation type="list" allowBlank="1" showInputMessage="1" showErrorMessage="1" xr:uid="{10F088F1-521C-4749-BF4E-25D1CD1C1B09}">
          <x14:formula1>
            <xm:f>'99_Listas'!$C$6</xm:f>
          </x14:formula1>
          <xm:sqref>F2:F138</xm:sqref>
        </x14:dataValidation>
        <x14:dataValidation type="list" allowBlank="1" showInputMessage="1" showErrorMessage="1" xr:uid="{4274D2D2-D32A-49FF-B186-A79598E72D48}">
          <x14:formula1>
            <xm:f>'99_Listas'!$E$2</xm:f>
          </x14:formula1>
          <xm:sqref>C2:C138</xm:sqref>
        </x14:dataValidation>
        <x14:dataValidation type="list" allowBlank="1" showInputMessage="1" showErrorMessage="1" xr:uid="{1D49DB88-8EA2-4B63-A169-381AE956B4A4}">
          <x14:formula1>
            <xm:f>'99_Listas'!$F$2:$F$10</xm:f>
          </x14:formula1>
          <xm:sqref>D2:D138</xm:sqref>
        </x14:dataValidation>
        <x14:dataValidation type="list" allowBlank="1" showInputMessage="1" showErrorMessage="1" xr:uid="{73401494-5733-4CE3-AFAA-CA9C2CF8611D}">
          <x14:formula1>
            <xm:f>'99_Listas'!$D$2:$D$5</xm:f>
          </x14:formula1>
          <xm:sqref>G2:H138</xm:sqref>
        </x14:dataValidation>
        <x14:dataValidation type="list" allowBlank="1" showInputMessage="1" showErrorMessage="1" xr:uid="{94C3F42D-0765-4090-AEF5-D439B0C2645E}">
          <x14:formula1>
            <xm:f>'99_Listas'!$T$2:$T$8</xm:f>
          </x14:formula1>
          <xm:sqref>M2:M138</xm:sqref>
        </x14:dataValidation>
        <x14:dataValidation type="list" allowBlank="1" showInputMessage="1" showErrorMessage="1" xr:uid="{D7071872-8D89-4E09-AAE4-ACDB0925519D}">
          <x14:formula1>
            <xm:f>'99_Listas'!$B$2:$B$9</xm:f>
          </x14:formula1>
          <xm:sqref>E2:E138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07B9-63C6-46E9-916E-A25C1A80851C}">
  <sheetPr codeName="Hoja7"/>
  <dimension ref="A1:AA30"/>
  <sheetViews>
    <sheetView topLeftCell="A2" zoomScale="82" workbookViewId="0">
      <selection activeCell="D3" sqref="D3"/>
    </sheetView>
  </sheetViews>
  <sheetFormatPr baseColWidth="10" defaultColWidth="11.453125" defaultRowHeight="14.5" x14ac:dyDescent="0.35"/>
  <cols>
    <col min="1" max="1" width="22.81640625" style="2" bestFit="1" customWidth="1"/>
    <col min="2" max="2" width="16.453125" style="2" bestFit="1" customWidth="1"/>
    <col min="3" max="3" width="18.26953125" style="2" bestFit="1" customWidth="1"/>
    <col min="4" max="4" width="18.453125" bestFit="1" customWidth="1"/>
    <col min="5" max="5" width="28.81640625" bestFit="1" customWidth="1"/>
    <col min="6" max="6" width="20.1796875" style="1" bestFit="1" customWidth="1"/>
    <col min="8" max="8" width="12.54296875" bestFit="1" customWidth="1"/>
    <col min="9" max="9" width="22.453125" bestFit="1" customWidth="1"/>
    <col min="10" max="10" width="20.26953125" bestFit="1" customWidth="1"/>
    <col min="11" max="11" width="11.1796875" bestFit="1" customWidth="1"/>
    <col min="12" max="12" width="14.7265625" bestFit="1" customWidth="1"/>
    <col min="13" max="13" width="19" bestFit="1" customWidth="1"/>
  </cols>
  <sheetData>
    <row r="1" spans="1:27" x14ac:dyDescent="0.35">
      <c r="A1" s="2" t="s">
        <v>246</v>
      </c>
      <c r="B1">
        <f>_xlfn.XLOOKUP(D3,tblMeses[MESES],tblMeses[Nº Mes])</f>
        <v>9</v>
      </c>
      <c r="AA1" t="b">
        <f>F3="Todos"</f>
        <v>0</v>
      </c>
    </row>
    <row r="2" spans="1:27" ht="15" thickBot="1" x14ac:dyDescent="0.4"/>
    <row r="3" spans="1:27" x14ac:dyDescent="0.35">
      <c r="A3" s="22" t="s">
        <v>8</v>
      </c>
      <c r="B3">
        <v>2026</v>
      </c>
      <c r="C3" s="22" t="s">
        <v>9</v>
      </c>
      <c r="D3" t="s">
        <v>247</v>
      </c>
      <c r="E3" s="23" t="s">
        <v>248</v>
      </c>
      <c r="F3" s="1" t="s">
        <v>13</v>
      </c>
      <c r="H3" s="59" t="s">
        <v>249</v>
      </c>
      <c r="I3" s="60" t="s">
        <v>250</v>
      </c>
      <c r="J3" s="60" t="s">
        <v>251</v>
      </c>
      <c r="K3" s="61" t="s">
        <v>41</v>
      </c>
    </row>
    <row r="4" spans="1:27" x14ac:dyDescent="0.35">
      <c r="H4" s="54" t="s">
        <v>252</v>
      </c>
      <c r="I4" t="str">
        <f>"Próximo cambio de aceite"</f>
        <v>Próximo cambio de aceite</v>
      </c>
      <c r="J4" t="str">
        <f>'00Análisis'!E14&amp;" km"</f>
        <v>5100 km</v>
      </c>
      <c r="K4" s="55" t="str">
        <f>IF('00Análisis'!E14&lt;700,"URGENTE",IF('00Análisis'!E14&lt;=2500,"PRÓXIMO","OK"))</f>
        <v>OK</v>
      </c>
    </row>
    <row r="5" spans="1:27" x14ac:dyDescent="0.35">
      <c r="A5" s="2" t="s">
        <v>253</v>
      </c>
      <c r="H5" s="54" t="s">
        <v>254</v>
      </c>
      <c r="I5" t="str">
        <f>"Próxima ITV"</f>
        <v>Próxima ITV</v>
      </c>
      <c r="J5" t="str">
        <f ca="1">'00Análisis'!E15&amp;" días"</f>
        <v>20 días</v>
      </c>
      <c r="K5" s="55" t="str">
        <f ca="1">IF('00Análisis'!E15&lt;=7,"URGENTE",IF('00Análisis'!E15&lt;=30,"PRÓXIMO","OK"))</f>
        <v>PRÓXIMO</v>
      </c>
    </row>
    <row r="6" spans="1:27" ht="15" thickBot="1" x14ac:dyDescent="0.4">
      <c r="A6" s="11" t="s">
        <v>255</v>
      </c>
      <c r="B6" s="11" t="s">
        <v>256</v>
      </c>
      <c r="C6" s="11" t="s">
        <v>257</v>
      </c>
      <c r="D6" s="11" t="s">
        <v>258</v>
      </c>
      <c r="F6"/>
      <c r="G6" s="1"/>
      <c r="H6" s="56" t="s">
        <v>259</v>
      </c>
      <c r="I6" s="57" t="str">
        <f>"Próximo vencimiento"</f>
        <v>Próximo vencimiento</v>
      </c>
      <c r="J6" s="57" t="str">
        <f ca="1">'00Análisis'!E16&amp;" días"</f>
        <v>23 días</v>
      </c>
      <c r="K6" s="58" t="str">
        <f ca="1">IF('00Análisis'!E16&lt;=10,"URGENTE",IF('00Análisis'!E16&lt;=30,"PRÓXIMO","OK"))</f>
        <v>PRÓXIMO</v>
      </c>
    </row>
    <row r="7" spans="1:27" x14ac:dyDescent="0.35">
      <c r="A7" s="12" cm="1">
        <f t="array" ref="A7">IF($B$1=0,IF($F$3="Todos",SUMPRODUCT((YEAR(tblServicios[Fecha])=$B$3)*tblServicios[Base imponible (€)]),SUMPRODUCT((YEAR(tblServicios[Fecha])=$B$3)*(tblServicios[Vehículo]=$F$3)*tblServicios[Base imponible (€)])),IF($F$3="Todos",SUMPRODUCT((YEAR(tblServicios[Fecha])=$B$3)*(MONTH(tblServicios[Fecha])=$B$1)*tblServicios[Base imponible (€)]),SUMPRODUCT((YEAR(tblServicios[Fecha])=$B$3)*(MONTH(tblServicios[Fecha])=$B$1)*(tblServicios[Vehículo]=$F$3)*tblServicios[Base imponible (€)])))</f>
        <v>1820</v>
      </c>
      <c r="B7" s="12">
        <f>IF($B$1=0,IF($F$3="Todos",SUMIFS(tblRepostajes[Base imponible (€)],tblRepostajes[Año],$B$3),SUMIFS(tblRepostajes[Base imponible (€)],tblRepostajes[Año],$B$3,tblRepostajes[Vehículo],$F$3)),IF($F$3="Todos",SUMIFS(tblRepostajes[Base imponible (€)],tblRepostajes[Año],$B$3,tblRepostajes[Mes],$B$1),SUMIFS(tblRepostajes[Base imponible (€)],tblRepostajes[Año],$B$3,tblRepostajes[Mes],$B$1,tblRepostajes[Vehículo],$F$3)))</f>
        <v>285.97520661157023</v>
      </c>
      <c r="C7" s="12">
        <f>IF($B$1=0,IF($F$3="Todos",SUMIFS(tblPersonal[Coste total (€)],tblPersonal[Año],$B$3),SUMIFS(tblPersonal[Coste total (€)],tblPersonal[Año],$B$3,tblPersonal[Vehículo],$F$3)),IF($F$3="Todos",SUMIFS(tblPersonal[Coste total (€)],tblPersonal[Año],$B$3,tblPersonal[Mes],$B$1),SUMIFS(tblPersonal[Coste total (€)],tblPersonal[Año],$B$3,tblPersonal[Mes],$B$1,tblPersonal[Vehículo],$F$3)))</f>
        <v>2423.92</v>
      </c>
      <c r="D7" s="2">
        <f>A7-B7-Tabla18[[#This Row],[Coste personal]]</f>
        <v>-889.8952066115703</v>
      </c>
      <c r="F7"/>
      <c r="G7" s="1"/>
    </row>
    <row r="8" spans="1:27" x14ac:dyDescent="0.35">
      <c r="F8" s="2"/>
    </row>
    <row r="10" spans="1:27" x14ac:dyDescent="0.35">
      <c r="A10" s="74" t="s">
        <v>260</v>
      </c>
      <c r="B10" s="75"/>
      <c r="D10" s="2"/>
      <c r="E10" s="72" t="s">
        <v>261</v>
      </c>
      <c r="F10" s="73"/>
      <c r="H10" s="76" t="s">
        <v>262</v>
      </c>
      <c r="I10" s="77"/>
      <c r="J10" s="77"/>
      <c r="K10" s="77"/>
      <c r="L10" s="77"/>
      <c r="M10" s="78"/>
    </row>
    <row r="11" spans="1:27" x14ac:dyDescent="0.35">
      <c r="A11" s="19" t="str" cm="1">
        <f t="array" ref="A11:A25">_xlfn._xlws.FILTER(tblCategorias[CATEGORIAS GASTOS],(tblCategorias[Tipo]="Operación")*(tblCategorias[CATEGORIAS GASTOS]&lt;&gt;"Combustible"))</f>
        <v>Herramientas</v>
      </c>
      <c r="B11" s="15">
        <f>IF($B$1=0,IF($F$3="Todos",SUMIFS(tblFacturasRecibidas[Base imponible (€)],tblFacturasRecibidas[Año],$B$3,tblFacturasRecibidas[Categoría],A11),SUMIFS(tblFacturasRecibidas[Base imponible (€)],tblFacturasRecibidas[Año],$B$3,tblFacturasRecibidas[Categoría],A11,tblFacturasRecibidas[Vehículo],$F$3)),IF($F$3="Todos",SUMIFS(tblFacturasRecibidas[Base imponible (€)],tblFacturasRecibidas[Año],$B$3,tblFacturasRecibidas[Mes],$B$1,tblFacturasRecibidas[Categoría],A11),SUMIFS(tblFacturasRecibidas[Base imponible (€)],tblFacturasRecibidas[Año],$B$3,tblFacturasRecibidas[Mes],$B$1,tblFacturasRecibidas[Categoría],A11,tblFacturasRecibidas[Vehículo],$F$3)))</f>
        <v>0</v>
      </c>
      <c r="E11" s="14" t="str" cm="1">
        <f t="array" ref="E11:E17">tblTipoSuplemento[TIPO SUP.]</f>
        <v>Hora extra</v>
      </c>
      <c r="F11" s="15" cm="1">
        <f t="array" ref="F11">IF($B$1=0,SUMPRODUCT((tblServicios[Tipo suplemento]=E11)*(YEAR(tblServicios[Fecha])=$B$3)*tblServicios[Imp. suplemento (€)]),SUMPRODUCT((tblServicios[Tipo suplemento]=E11)*(MONTH(tblServicios[Fecha])=$B$1)*(YEAR(tblServicios[Fecha])=$B$3)*tblServicios[Imp. suplemento (€)]))</f>
        <v>0</v>
      </c>
      <c r="H11" s="48" t="s">
        <v>6</v>
      </c>
      <c r="I11" s="49" t="s">
        <v>37</v>
      </c>
      <c r="J11" s="49" t="s">
        <v>263</v>
      </c>
      <c r="K11" s="49" t="s">
        <v>264</v>
      </c>
      <c r="L11" s="49" t="s">
        <v>265</v>
      </c>
      <c r="M11" s="50" t="s">
        <v>266</v>
      </c>
    </row>
    <row r="12" spans="1:27" x14ac:dyDescent="0.35">
      <c r="A12" s="19" t="str">
        <v>Mantenimiento</v>
      </c>
      <c r="B12" s="15">
        <f>IF($B$1=0,IF($F$3="Todos",SUMIFS(tblFacturasRecibidas[Base imponible (€)],tblFacturasRecibidas[Año],$B$3,tblFacturasRecibidas[Categoría],A12),SUMIFS(tblFacturasRecibidas[Base imponible (€)],tblFacturasRecibidas[Año],$B$3,tblFacturasRecibidas[Categoría],A12,tblFacturasRecibidas[Vehículo],$F$3)),IF($F$3="Todos",SUMIFS(tblFacturasRecibidas[Base imponible (€)],tblFacturasRecibidas[Año],$B$3,tblFacturasRecibidas[Mes],$B$1,tblFacturasRecibidas[Categoría],A12),SUMIFS(tblFacturasRecibidas[Base imponible (€)],tblFacturasRecibidas[Año],$B$3,tblFacturasRecibidas[Mes],$B$1,tblFacturasRecibidas[Categoría],A12,tblFacturasRecibidas[Vehículo],$F$3)))</f>
        <v>0</v>
      </c>
      <c r="E12" s="14" t="str">
        <v>Km extra</v>
      </c>
      <c r="F12" s="15" cm="1">
        <f t="array" ref="F12">IF($B$1=0,SUMPRODUCT((tblServicios[Tipo suplemento]=E12)*(YEAR(tblServicios[Fecha])=$B$3)*tblServicios[Imp. suplemento (€)]),SUMPRODUCT((tblServicios[Tipo suplemento]=E12)*(MONTH(tblServicios[Fecha])=$B$1)*(YEAR(tblServicios[Fecha])=$B$3)*tblServicios[Imp. suplemento (€)]))</f>
        <v>0</v>
      </c>
      <c r="H12" s="13">
        <f>INDEX(tblUtilizacionVehiculo[Km reales],1)</f>
        <v>2108.3000000000002</v>
      </c>
      <c r="I12" s="42">
        <f>INDEX(tblUtilizacionVehiculo[Km servicio],1)</f>
        <v>1558.3999999999999</v>
      </c>
      <c r="J12" s="42">
        <f>INDEX(tblUtilizacionVehiculo[Km vacío],1)</f>
        <v>549.90000000000032</v>
      </c>
      <c r="K12" s="44">
        <f>INDEX(tblUtilizacionVehiculo[% Km vacío],1)</f>
        <v>0.26082625812265819</v>
      </c>
      <c r="L12" s="44">
        <f>INDEX(tblUtilizacionVehiculo[% Km facturados],1)</f>
        <v>0.73917374187734186</v>
      </c>
      <c r="M12" s="6">
        <f>INDEX(tblUtilizacionVehiculo[Coste comb. Vacío],1)</f>
        <v>97.680645277207432</v>
      </c>
    </row>
    <row r="13" spans="1:27" x14ac:dyDescent="0.35">
      <c r="A13" s="19" t="str">
        <v>Neumáticos</v>
      </c>
      <c r="B13" s="15">
        <f>IF($B$1=0,IF($F$3="Todos",SUMIFS(tblFacturasRecibidas[Base imponible (€)],tblFacturasRecibidas[Año],$B$3,tblFacturasRecibidas[Categoría],A13),SUMIFS(tblFacturasRecibidas[Base imponible (€)],tblFacturasRecibidas[Año],$B$3,tblFacturasRecibidas[Categoría],A13,tblFacturasRecibidas[Vehículo],$F$3)),IF($F$3="Todos",SUMIFS(tblFacturasRecibidas[Base imponible (€)],tblFacturasRecibidas[Año],$B$3,tblFacturasRecibidas[Mes],$B$1,tblFacturasRecibidas[Categoría],A13),SUMIFS(tblFacturasRecibidas[Base imponible (€)],tblFacturasRecibidas[Año],$B$3,tblFacturasRecibidas[Mes],$B$1,tblFacturasRecibidas[Categoría],A13,tblFacturasRecibidas[Vehículo],$F$3)))</f>
        <v>0</v>
      </c>
      <c r="E13" s="14" t="str">
        <v>Punto extra</v>
      </c>
      <c r="F13" s="15" cm="1">
        <f t="array" ref="F13">IF($B$1=0,SUMPRODUCT((tblServicios[Tipo suplemento]=E13)*(YEAR(tblServicios[Fecha])=$B$3)*tblServicios[Imp. suplemento (€)]),SUMPRODUCT((tblServicios[Tipo suplemento]=E13)*(MONTH(tblServicios[Fecha])=$B$1)*(YEAR(tblServicios[Fecha])=$B$3)*tblServicios[Imp. suplemento (€)]))</f>
        <v>0</v>
      </c>
    </row>
    <row r="14" spans="1:27" x14ac:dyDescent="0.35">
      <c r="A14" s="19" t="str">
        <v>Peajes</v>
      </c>
      <c r="B14" s="15">
        <f>IF($B$1=0,IF($F$3="Todos",SUMIFS(tblFacturasRecibidas[Base imponible (€)],tblFacturasRecibidas[Año],$B$3,tblFacturasRecibidas[Categoría],A14),SUMIFS(tblFacturasRecibidas[Base imponible (€)],tblFacturasRecibidas[Año],$B$3,tblFacturasRecibidas[Categoría],A14,tblFacturasRecibidas[Vehículo],$F$3)),IF($F$3="Todos",SUMIFS(tblFacturasRecibidas[Base imponible (€)],tblFacturasRecibidas[Año],$B$3,tblFacturasRecibidas[Mes],$B$1,tblFacturasRecibidas[Categoría],A14),SUMIFS(tblFacturasRecibidas[Base imponible (€)],tblFacturasRecibidas[Año],$B$3,tblFacturasRecibidas[Mes],$B$1,tblFacturasRecibidas[Categoría],A14,tblFacturasRecibidas[Vehículo],$F$3)))</f>
        <v>0</v>
      </c>
      <c r="E14" s="14" t="str">
        <v>Espera</v>
      </c>
      <c r="F14" s="15" cm="1">
        <f t="array" ref="F14">IF($B$1=0,SUMPRODUCT((tblServicios[Tipo suplemento]=E14)*(YEAR(tblServicios[Fecha])=$B$3)*tblServicios[Imp. suplemento (€)]),SUMPRODUCT((tblServicios[Tipo suplemento]=E14)*(MONTH(tblServicios[Fecha])=$B$1)*(YEAR(tblServicios[Fecha])=$B$3)*tblServicios[Imp. suplemento (€)]))</f>
        <v>0</v>
      </c>
    </row>
    <row r="15" spans="1:27" x14ac:dyDescent="0.35">
      <c r="A15" s="19" t="str">
        <v>Seguros</v>
      </c>
      <c r="B15" s="15">
        <f>IF($B$1=0,IF($F$3="Todos",SUMIFS(tblFacturasRecibidas[Base imponible (€)],tblFacturasRecibidas[Año],$B$3,tblFacturasRecibidas[Categoría],A15),SUMIFS(tblFacturasRecibidas[Base imponible (€)],tblFacturasRecibidas[Año],$B$3,tblFacturasRecibidas[Categoría],A15,tblFacturasRecibidas[Vehículo],$F$3)),IF($F$3="Todos",SUMIFS(tblFacturasRecibidas[Base imponible (€)],tblFacturasRecibidas[Año],$B$3,tblFacturasRecibidas[Mes],$B$1,tblFacturasRecibidas[Categoría],A15),SUMIFS(tblFacturasRecibidas[Base imponible (€)],tblFacturasRecibidas[Año],$B$3,tblFacturasRecibidas[Mes],$B$1,tblFacturasRecibidas[Categoría],A15,tblFacturasRecibidas[Vehículo],$F$3)))</f>
        <v>83.33</v>
      </c>
      <c r="E15" s="14" t="str">
        <v>Festivo</v>
      </c>
      <c r="F15" s="15" cm="1">
        <f t="array" ref="F15">IF($B$1=0,SUMPRODUCT((tblServicios[Tipo suplemento]=E15)*(YEAR(tblServicios[Fecha])=$B$3)*tblServicios[Imp. suplemento (€)]),SUMPRODUCT((tblServicios[Tipo suplemento]=E15)*(MONTH(tblServicios[Fecha])=$B$1)*(YEAR(tblServicios[Fecha])=$B$3)*tblServicios[Imp. suplemento (€)]))</f>
        <v>0</v>
      </c>
      <c r="H15" s="79" t="s">
        <v>267</v>
      </c>
      <c r="I15" s="80"/>
      <c r="J15" s="80"/>
      <c r="K15" s="80"/>
      <c r="L15" s="80"/>
      <c r="M15" s="81"/>
    </row>
    <row r="16" spans="1:27" x14ac:dyDescent="0.35">
      <c r="A16" s="19" t="str">
        <v>ITV</v>
      </c>
      <c r="B16" s="15">
        <f>IF($B$1=0,IF($F$3="Todos",SUMIFS(tblFacturasRecibidas[Base imponible (€)],tblFacturasRecibidas[Año],$B$3,tblFacturasRecibidas[Categoría],A16),SUMIFS(tblFacturasRecibidas[Base imponible (€)],tblFacturasRecibidas[Año],$B$3,tblFacturasRecibidas[Categoría],A16,tblFacturasRecibidas[Vehículo],$F$3)),IF($F$3="Todos",SUMIFS(tblFacturasRecibidas[Base imponible (€)],tblFacturasRecibidas[Año],$B$3,tblFacturasRecibidas[Mes],$B$1,tblFacturasRecibidas[Categoría],A16),SUMIFS(tblFacturasRecibidas[Base imponible (€)],tblFacturasRecibidas[Año],$B$3,tblFacturasRecibidas[Mes],$B$1,tblFacturasRecibidas[Categoría],A16,tblFacturasRecibidas[Vehículo],$F$3)))</f>
        <v>0</v>
      </c>
      <c r="E16" s="14" t="str">
        <v>Nocturnidad</v>
      </c>
      <c r="F16" s="15" cm="1">
        <f t="array" ref="F16">IF($B$1=0,SUMPRODUCT((tblServicios[Tipo suplemento]=E16)*(YEAR(tblServicios[Fecha])=$B$3)*tblServicios[Imp. suplemento (€)]),SUMPRODUCT((tblServicios[Tipo suplemento]=E16)*(MONTH(tblServicios[Fecha])=$B$1)*(YEAR(tblServicios[Fecha])=$B$3)*tblServicios[Imp. suplemento (€)]))</f>
        <v>0</v>
      </c>
      <c r="H16" s="48" t="s">
        <v>268</v>
      </c>
      <c r="I16" s="49" t="s">
        <v>269</v>
      </c>
      <c r="J16" s="49" t="s">
        <v>270</v>
      </c>
      <c r="K16" s="49" t="s">
        <v>271</v>
      </c>
      <c r="L16" s="49" t="s">
        <v>272</v>
      </c>
      <c r="M16" s="50"/>
    </row>
    <row r="17" spans="1:13" x14ac:dyDescent="0.35">
      <c r="A17" s="19" t="str">
        <v>Gestoría</v>
      </c>
      <c r="B17" s="15">
        <f>IF($B$1=0,IF($F$3="Todos",SUMIFS(tblFacturasRecibidas[Base imponible (€)],tblFacturasRecibidas[Año],$B$3,tblFacturasRecibidas[Categoría],A17),SUMIFS(tblFacturasRecibidas[Base imponible (€)],tblFacturasRecibidas[Año],$B$3,tblFacturasRecibidas[Categoría],A17,tblFacturasRecibidas[Vehículo],$F$3)),IF($F$3="Todos",SUMIFS(tblFacturasRecibidas[Base imponible (€)],tblFacturasRecibidas[Año],$B$3,tblFacturasRecibidas[Mes],$B$1,tblFacturasRecibidas[Categoría],A17),SUMIFS(tblFacturasRecibidas[Base imponible (€)],tblFacturasRecibidas[Año],$B$3,tblFacturasRecibidas[Mes],$B$1,tblFacturasRecibidas[Categoría],A17,tblFacturasRecibidas[Vehículo],$F$3)))</f>
        <v>0</v>
      </c>
      <c r="E17" s="14" t="str">
        <v>Otro</v>
      </c>
      <c r="F17" s="16"/>
      <c r="H17" s="13">
        <f>IF($F$3="Todos",IF($B$1=0,SUMIFS(tblRepostajes[Litros repostados],tblRepostajes[Año],$B$3),SUMIFS(tblRepostajes[Litros repostados],tblRepostajes[Año],$B$3,tblRepostajes[Mes],$B$1)),IF($B$1=0,SUMIFS(tblRepostajes[Litros repostados],tblRepostajes[Año],$B$3,tblRepostajes[Vehículo],$F$3),SUMIFS(tblRepostajes[Litros repostados],tblRepostajes[Año],$B$3,tblRepostajes[Mes],$B$1,tblRepostajes[Vehículo],$F$3)))</f>
        <v>202.81</v>
      </c>
      <c r="I17" s="46">
        <f>IF($F$3="Todos",SUMIFS(tblPrecioMedioGas[Precio medio (€/L)],tblPrecioMedioGas[Año],$B$3,tblPrecioMedioGas[Mes],$B$1),SUMIFS(tblPrecioMedioGas[Precio medio (€/L)],tblPrecioMedioGas[Año],$B$3,tblPrecioMedioGas[Mes],$B$1,tblPrecioMedioGas[Vehículo],$F$3))</f>
        <v>1.7061781963414031</v>
      </c>
      <c r="J17" s="47">
        <f>IF($F$3="Todos",SUMIFS(tblConsumoMedio[Consumo medio (L/100km)],tblConsumoMedio[Año],$B$3,tblConsumoMedio[Mes],$B$1),SUMIFS(tblConsumoMedio[Consumo medio (L/100km)],tblConsumoMedio[Año],$B$3,tblConsumoMedio[Mes],$B$1,tblConsumoMedio[Vehículo],$F$3))</f>
        <v>10.411190965092402</v>
      </c>
      <c r="K17" s="51" cm="1">
        <f t="array" ref="K17">Tabla18[Combustible]</f>
        <v>285.97520661157023</v>
      </c>
      <c r="L17" s="51" cm="1">
        <f t="array" ref="L17">IFERROR(Tabla18[Combustible]/H12,0)</f>
        <v>0.13564255874949968</v>
      </c>
      <c r="M17" s="43"/>
    </row>
    <row r="18" spans="1:13" x14ac:dyDescent="0.35">
      <c r="A18" s="19" t="str">
        <v>Telefonía</v>
      </c>
      <c r="B18" s="15">
        <f>IF($B$1=0,IF($F$3="Todos",SUMIFS(tblFacturasRecibidas[Base imponible (€)],tblFacturasRecibidas[Año],$B$3,tblFacturasRecibidas[Categoría],A18),SUMIFS(tblFacturasRecibidas[Base imponible (€)],tblFacturasRecibidas[Año],$B$3,tblFacturasRecibidas[Categoría],A18,tblFacturasRecibidas[Vehículo],$F$3)),IF($F$3="Todos",SUMIFS(tblFacturasRecibidas[Base imponible (€)],tblFacturasRecibidas[Año],$B$3,tblFacturasRecibidas[Mes],$B$1,tblFacturasRecibidas[Categoría],A18),SUMIFS(tblFacturasRecibidas[Base imponible (€)],tblFacturasRecibidas[Año],$B$3,tblFacturasRecibidas[Mes],$B$1,tblFacturasRecibidas[Categoría],A18,tblFacturasRecibidas[Vehículo],$F$3)))</f>
        <v>0</v>
      </c>
      <c r="E18" s="14"/>
      <c r="F18" s="17"/>
    </row>
    <row r="19" spans="1:13" x14ac:dyDescent="0.35">
      <c r="A19" s="19" t="str">
        <v>Software</v>
      </c>
      <c r="B19" s="15">
        <f>IF($B$1=0,IF($F$3="Todos",SUMIFS(tblFacturasRecibidas[Base imponible (€)],tblFacturasRecibidas[Año],$B$3,tblFacturasRecibidas[Categoría],A19),SUMIFS(tblFacturasRecibidas[Base imponible (€)],tblFacturasRecibidas[Año],$B$3,tblFacturasRecibidas[Categoría],A19,tblFacturasRecibidas[Vehículo],$F$3)),IF($F$3="Todos",SUMIFS(tblFacturasRecibidas[Base imponible (€)],tblFacturasRecibidas[Año],$B$3,tblFacturasRecibidas[Mes],$B$1,tblFacturasRecibidas[Categoría],A19),SUMIFS(tblFacturasRecibidas[Base imponible (€)],tblFacturasRecibidas[Año],$B$3,tblFacturasRecibidas[Mes],$B$1,tblFacturasRecibidas[Categoría],A19,tblFacturasRecibidas[Vehículo],$F$3)))</f>
        <v>0</v>
      </c>
      <c r="E19" s="14"/>
      <c r="F19" s="17"/>
    </row>
    <row r="20" spans="1:13" x14ac:dyDescent="0.35">
      <c r="A20" s="19" t="str">
        <v>Publicidad</v>
      </c>
      <c r="B20" s="15">
        <f>IF($B$1=0,IF($F$3="Todos",SUMIFS(tblFacturasRecibidas[Base imponible (€)],tblFacturasRecibidas[Año],$B$3,tblFacturasRecibidas[Categoría],A20),SUMIFS(tblFacturasRecibidas[Base imponible (€)],tblFacturasRecibidas[Año],$B$3,tblFacturasRecibidas[Categoría],A20,tblFacturasRecibidas[Vehículo],$F$3)),IF($F$3="Todos",SUMIFS(tblFacturasRecibidas[Base imponible (€)],tblFacturasRecibidas[Año],$B$3,tblFacturasRecibidas[Mes],$B$1,tblFacturasRecibidas[Categoría],A20),SUMIFS(tblFacturasRecibidas[Base imponible (€)],tblFacturasRecibidas[Año],$B$3,tblFacturasRecibidas[Mes],$B$1,tblFacturasRecibidas[Categoría],A20,tblFacturasRecibidas[Vehículo],$F$3)))</f>
        <v>0</v>
      </c>
      <c r="E20" s="18" t="s">
        <v>273</v>
      </c>
      <c r="F20" s="15">
        <f>SUM(F11:F16)</f>
        <v>0</v>
      </c>
    </row>
    <row r="21" spans="1:13" x14ac:dyDescent="0.35">
      <c r="A21" s="19" t="str">
        <v>Formación</v>
      </c>
      <c r="B21" s="15">
        <f>IF($B$1=0,IF($F$3="Todos",SUMIFS(tblFacturasRecibidas[Base imponible (€)],tblFacturasRecibidas[Año],$B$3,tblFacturasRecibidas[Categoría],A21),SUMIFS(tblFacturasRecibidas[Base imponible (€)],tblFacturasRecibidas[Año],$B$3,tblFacturasRecibidas[Categoría],A21,tblFacturasRecibidas[Vehículo],$F$3)),IF($F$3="Todos",SUMIFS(tblFacturasRecibidas[Base imponible (€)],tblFacturasRecibidas[Año],$B$3,tblFacturasRecibidas[Mes],$B$1,tblFacturasRecibidas[Categoría],A21),SUMIFS(tblFacturasRecibidas[Base imponible (€)],tblFacturasRecibidas[Año],$B$3,tblFacturasRecibidas[Mes],$B$1,tblFacturasRecibidas[Categoría],A21,tblFacturasRecibidas[Vehículo],$F$3)))</f>
        <v>0</v>
      </c>
      <c r="E21" s="14" t="s">
        <v>274</v>
      </c>
      <c r="F21" s="15">
        <f>F22-F20</f>
        <v>1820</v>
      </c>
    </row>
    <row r="22" spans="1:13" x14ac:dyDescent="0.35">
      <c r="A22" s="19" t="str">
        <v>Dietas</v>
      </c>
      <c r="B22" s="15">
        <f>IF($B$1=0,IF($F$3="Todos",SUMIFS(tblFacturasRecibidas[Base imponible (€)],tblFacturasRecibidas[Año],$B$3,tblFacturasRecibidas[Categoría],A22),SUMIFS(tblFacturasRecibidas[Base imponible (€)],tblFacturasRecibidas[Año],$B$3,tblFacturasRecibidas[Categoría],A22,tblFacturasRecibidas[Vehículo],$F$3)),IF($F$3="Todos",SUMIFS(tblFacturasRecibidas[Base imponible (€)],tblFacturasRecibidas[Año],$B$3,tblFacturasRecibidas[Mes],$B$1,tblFacturasRecibidas[Categoría],A22),SUMIFS(tblFacturasRecibidas[Base imponible (€)],tblFacturasRecibidas[Año],$B$3,tblFacturasRecibidas[Mes],$B$1,tblFacturasRecibidas[Categoría],A22,tblFacturasRecibidas[Vehículo],$F$3)))</f>
        <v>0</v>
      </c>
      <c r="E22" s="13" t="s">
        <v>275</v>
      </c>
      <c r="F22" s="6" cm="1">
        <f t="array" ref="F22">Tabla18[Facturación]</f>
        <v>1820</v>
      </c>
    </row>
    <row r="23" spans="1:13" x14ac:dyDescent="0.35">
      <c r="A23" s="19" t="str">
        <v>Parking</v>
      </c>
      <c r="B23" s="15">
        <f>IF($B$1=0,IF($F$3="Todos",SUMIFS(tblFacturasRecibidas[Base imponible (€)],tblFacturasRecibidas[Año],$B$3,tblFacturasRecibidas[Categoría],A23),SUMIFS(tblFacturasRecibidas[Base imponible (€)],tblFacturasRecibidas[Año],$B$3,tblFacturasRecibidas[Categoría],A23,tblFacturasRecibidas[Vehículo],$F$3)),IF($F$3="Todos",SUMIFS(tblFacturasRecibidas[Base imponible (€)],tblFacturasRecibidas[Año],$B$3,tblFacturasRecibidas[Mes],$B$1,tblFacturasRecibidas[Categoría],A23),SUMIFS(tblFacturasRecibidas[Base imponible (€)],tblFacturasRecibidas[Año],$B$3,tblFacturasRecibidas[Mes],$B$1,tblFacturasRecibidas[Categoría],A23,tblFacturasRecibidas[Vehículo],$F$3)))</f>
        <v>0</v>
      </c>
      <c r="E23" t="s">
        <v>276</v>
      </c>
      <c r="F23" s="3">
        <f>F20/F22</f>
        <v>0</v>
      </c>
    </row>
    <row r="24" spans="1:13" x14ac:dyDescent="0.35">
      <c r="A24" s="19" t="str">
        <v>Lavados</v>
      </c>
      <c r="B24" s="15">
        <f>IF($B$1=0,IF($F$3="Todos",SUMIFS(tblFacturasRecibidas[Base imponible (€)],tblFacturasRecibidas[Año],$B$3,tblFacturasRecibidas[Categoría],A24),SUMIFS(tblFacturasRecibidas[Base imponible (€)],tblFacturasRecibidas[Año],$B$3,tblFacturasRecibidas[Categoría],A24,tblFacturasRecibidas[Vehículo],$F$3)),IF($F$3="Todos",SUMIFS(tblFacturasRecibidas[Base imponible (€)],tblFacturasRecibidas[Año],$B$3,tblFacturasRecibidas[Mes],$B$1,tblFacturasRecibidas[Categoría],A24),SUMIFS(tblFacturasRecibidas[Base imponible (€)],tblFacturasRecibidas[Año],$B$3,tblFacturasRecibidas[Mes],$B$1,tblFacturasRecibidas[Categoría],A24,tblFacturasRecibidas[Vehículo],$F$3)))</f>
        <v>0</v>
      </c>
    </row>
    <row r="25" spans="1:13" x14ac:dyDescent="0.35">
      <c r="A25" s="19" t="str">
        <v>Otros</v>
      </c>
      <c r="B25" s="15">
        <f>IF($B$1=0,IF($F$3="Todos",SUMIFS(tblFacturasRecibidas[Base imponible (€)],tblFacturasRecibidas[Año],$B$3,tblFacturasRecibidas[Categoría],A25),SUMIFS(tblFacturasRecibidas[Base imponible (€)],tblFacturasRecibidas[Año],$B$3,tblFacturasRecibidas[Categoría],A25,tblFacturasRecibidas[Vehículo],$F$3)),IF($F$3="Todos",SUMIFS(tblFacturasRecibidas[Base imponible (€)],tblFacturasRecibidas[Año],$B$3,tblFacturasRecibidas[Mes],$B$1,tblFacturasRecibidas[Categoría],A25),SUMIFS(tblFacturasRecibidas[Base imponible (€)],tblFacturasRecibidas[Año],$B$3,tblFacturasRecibidas[Mes],$B$1,tblFacturasRecibidas[Categoría],A25,tblFacturasRecibidas[Vehículo],$F$3)))</f>
        <v>0</v>
      </c>
    </row>
    <row r="26" spans="1:13" x14ac:dyDescent="0.35">
      <c r="A26" s="19"/>
      <c r="B26" s="15"/>
    </row>
    <row r="27" spans="1:13" x14ac:dyDescent="0.35">
      <c r="A27" s="19"/>
      <c r="B27" s="15"/>
    </row>
    <row r="28" spans="1:13" x14ac:dyDescent="0.35">
      <c r="A28" s="19"/>
      <c r="B28" s="15"/>
    </row>
    <row r="29" spans="1:13" x14ac:dyDescent="0.35">
      <c r="A29" s="19" t="s">
        <v>277</v>
      </c>
      <c r="B29" s="15">
        <f>SUM(B11:B25)</f>
        <v>83.33</v>
      </c>
    </row>
    <row r="30" spans="1:13" x14ac:dyDescent="0.35">
      <c r="A30" s="20" t="s">
        <v>278</v>
      </c>
      <c r="B30" s="21">
        <f>D7-B29</f>
        <v>-973.22520661157034</v>
      </c>
    </row>
  </sheetData>
  <mergeCells count="4">
    <mergeCell ref="E10:F10"/>
    <mergeCell ref="A10:B10"/>
    <mergeCell ref="H10:M10"/>
    <mergeCell ref="H15:M15"/>
  </mergeCells>
  <conditionalFormatting sqref="D7">
    <cfRule type="expression" dxfId="8" priority="4">
      <formula>D7&lt;0</formula>
    </cfRule>
    <cfRule type="expression" dxfId="7" priority="5">
      <formula>D7&gt;0</formula>
    </cfRule>
  </conditionalFormatting>
  <conditionalFormatting sqref="K4:K6">
    <cfRule type="cellIs" dxfId="6" priority="1" operator="equal">
      <formula>"URGENTE"</formula>
    </cfRule>
    <cfRule type="cellIs" dxfId="5" priority="2" operator="equal">
      <formula>"PRÓXIMO"</formula>
    </cfRule>
    <cfRule type="cellIs" dxfId="4" priority="3" operator="equal">
      <formula>"OK"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CC33D9-343D-425B-BB45-3950CD940D46}">
          <x14:formula1>
            <xm:f>'99_Listas'!$Q$2:$Q$6</xm:f>
          </x14:formula1>
          <xm:sqref>B3</xm:sqref>
        </x14:dataValidation>
        <x14:dataValidation type="list" allowBlank="1" showInputMessage="1" showErrorMessage="1" xr:uid="{74F03073-5187-4D8F-869C-17AAA8B5590C}">
          <x14:formula1>
            <xm:f>'99_Listas'!$R$2:$R$14</xm:f>
          </x14:formula1>
          <xm:sqref>D3</xm:sqref>
        </x14:dataValidation>
        <x14:dataValidation type="list" allowBlank="1" showInputMessage="1" showErrorMessage="1" xr:uid="{5DEA2A0F-3EB2-4115-B212-06D19989C3F0}">
          <x14:formula1>
            <xm:f>'99_Listas'!$C$2:$C$6</xm:f>
          </x14:formula1>
          <xm:sqref>F3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FB1D7-B2D5-40D2-85A0-54129B7CD486}">
  <sheetPr codeName="Hoja8"/>
  <dimension ref="A1:AX17"/>
  <sheetViews>
    <sheetView zoomScale="95" zoomScaleNormal="100" workbookViewId="0">
      <selection activeCell="AD12" sqref="AD12"/>
    </sheetView>
  </sheetViews>
  <sheetFormatPr baseColWidth="10" defaultColWidth="11.453125" defaultRowHeight="14.5" x14ac:dyDescent="0.35"/>
  <cols>
    <col min="1" max="1" width="24.81640625" bestFit="1" customWidth="1"/>
    <col min="2" max="2" width="20" bestFit="1" customWidth="1"/>
    <col min="3" max="3" width="19.7265625" bestFit="1" customWidth="1"/>
    <col min="4" max="4" width="21.1796875" bestFit="1" customWidth="1"/>
    <col min="5" max="5" width="15" bestFit="1" customWidth="1"/>
    <col min="6" max="6" width="13.453125" bestFit="1" customWidth="1"/>
    <col min="7" max="7" width="21.26953125" bestFit="1" customWidth="1"/>
    <col min="8" max="8" width="30.453125" bestFit="1" customWidth="1"/>
    <col min="9" max="9" width="3.54296875" customWidth="1"/>
    <col min="10" max="10" width="10.81640625" style="1" bestFit="1" customWidth="1"/>
    <col min="11" max="11" width="11.453125" style="2"/>
    <col min="13" max="13" width="16.1796875" style="2" bestFit="1" customWidth="1"/>
    <col min="14" max="14" width="19.453125" style="2" bestFit="1" customWidth="1"/>
    <col min="15" max="15" width="4.7265625" style="2" customWidth="1"/>
    <col min="16" max="16" width="8.1796875" style="2" bestFit="1" customWidth="1"/>
    <col min="17" max="17" width="10.81640625" style="1" bestFit="1" customWidth="1"/>
    <col min="18" max="18" width="10.7265625" style="2" bestFit="1" customWidth="1"/>
    <col min="19" max="19" width="8.81640625" bestFit="1" customWidth="1"/>
    <col min="20" max="20" width="16.1796875" style="2" bestFit="1" customWidth="1"/>
    <col min="21" max="21" width="17" style="2" bestFit="1" customWidth="1"/>
    <col min="22" max="22" width="3.1796875" customWidth="1"/>
    <col min="23" max="23" width="10.54296875" bestFit="1" customWidth="1"/>
    <col min="24" max="24" width="8.453125" bestFit="1" customWidth="1"/>
    <col min="25" max="25" width="19.81640625" bestFit="1" customWidth="1"/>
    <col min="26" max="26" width="18.453125" customWidth="1"/>
    <col min="27" max="27" width="15.54296875" bestFit="1" customWidth="1"/>
    <col min="28" max="28" width="9.7265625" bestFit="1" customWidth="1"/>
    <col min="29" max="29" width="16.1796875" bestFit="1" customWidth="1"/>
    <col min="30" max="30" width="19.7265625" bestFit="1" customWidth="1"/>
    <col min="31" max="31" width="18" bestFit="1" customWidth="1"/>
    <col min="32" max="32" width="15.1796875" bestFit="1" customWidth="1"/>
    <col min="33" max="33" width="26.453125" bestFit="1" customWidth="1"/>
    <col min="34" max="34" width="12.81640625" bestFit="1" customWidth="1"/>
    <col min="35" max="37" width="12.81640625" customWidth="1"/>
    <col min="38" max="38" width="22.453125" bestFit="1" customWidth="1"/>
    <col min="39" max="40" width="22.453125" customWidth="1"/>
    <col min="41" max="41" width="12.81640625" customWidth="1"/>
    <col min="42" max="42" width="18.81640625" bestFit="1" customWidth="1"/>
    <col min="43" max="43" width="7.26953125" bestFit="1" customWidth="1"/>
    <col min="44" max="44" width="19.7265625" bestFit="1" customWidth="1"/>
    <col min="45" max="45" width="11.81640625" bestFit="1" customWidth="1"/>
    <col min="46" max="46" width="13.1796875" bestFit="1" customWidth="1"/>
    <col min="47" max="47" width="11" bestFit="1" customWidth="1"/>
    <col min="48" max="48" width="12.81640625" bestFit="1" customWidth="1"/>
    <col min="49" max="49" width="17.453125" bestFit="1" customWidth="1"/>
    <col min="50" max="50" width="18.81640625" bestFit="1" customWidth="1"/>
  </cols>
  <sheetData>
    <row r="1" spans="1:50" x14ac:dyDescent="0.35">
      <c r="A1" s="82" t="s">
        <v>279</v>
      </c>
      <c r="B1" s="82"/>
      <c r="C1" s="82"/>
      <c r="D1" s="82"/>
      <c r="E1" s="82"/>
      <c r="F1" s="82"/>
      <c r="G1" s="82"/>
      <c r="H1" s="82"/>
      <c r="J1" s="1" t="s">
        <v>1</v>
      </c>
      <c r="K1" s="1" t="s">
        <v>280</v>
      </c>
      <c r="L1" s="1" t="s">
        <v>6</v>
      </c>
      <c r="M1" s="1" t="s">
        <v>281</v>
      </c>
      <c r="N1" s="1" t="s">
        <v>282</v>
      </c>
      <c r="O1" s="1"/>
      <c r="P1" s="1" t="s">
        <v>283</v>
      </c>
      <c r="Q1" s="1" t="s">
        <v>1</v>
      </c>
      <c r="R1" s="1" t="s">
        <v>255</v>
      </c>
      <c r="S1" t="s">
        <v>6</v>
      </c>
      <c r="T1" s="1" t="s">
        <v>281</v>
      </c>
      <c r="U1" s="1" t="s">
        <v>284</v>
      </c>
      <c r="W1" s="83" t="s">
        <v>285</v>
      </c>
      <c r="X1" s="83"/>
      <c r="Y1" s="83"/>
      <c r="Z1" s="83"/>
      <c r="AA1" s="83"/>
      <c r="AB1" s="83"/>
      <c r="AC1" s="83"/>
      <c r="AD1" s="83"/>
      <c r="AE1" s="83"/>
      <c r="AF1" s="83"/>
      <c r="AG1" s="83"/>
      <c r="AI1" t="s">
        <v>9</v>
      </c>
      <c r="AJ1" t="s">
        <v>255</v>
      </c>
      <c r="AK1" t="s">
        <v>286</v>
      </c>
      <c r="AL1" t="s">
        <v>287</v>
      </c>
      <c r="AM1" t="s">
        <v>288</v>
      </c>
      <c r="AN1" t="s">
        <v>289</v>
      </c>
    </row>
    <row r="2" spans="1:50" x14ac:dyDescent="0.35">
      <c r="A2" s="69" t="s">
        <v>2</v>
      </c>
      <c r="B2" s="69" t="s">
        <v>280</v>
      </c>
      <c r="C2" s="69" t="s">
        <v>37</v>
      </c>
      <c r="D2" s="69" t="s">
        <v>290</v>
      </c>
      <c r="E2" s="69" t="s">
        <v>6</v>
      </c>
      <c r="F2" s="69" t="s">
        <v>291</v>
      </c>
      <c r="G2" s="69" t="s">
        <v>281</v>
      </c>
      <c r="H2" s="69" t="s">
        <v>292</v>
      </c>
      <c r="J2" s="1" cm="1">
        <f t="array" ref="J2:J8">IF('00Dashboard'!$B$1=0,
_xlfn._xlws.SORT(_xlfn.UNIQUE(_xlfn._xlws.FILTER(tblServicios[Fecha],YEAR(tblServicios[Fecha])='00Dashboard'!$B$3)),1,-1),
_xlfn._xlws.SORT(_xlfn.UNIQUE(_xlfn._xlws.FILTER(tblServicios[Fecha],(MONTH(tblServicios[Fecha])='00Dashboard'!$B$1)*(YEAR(tblServicios[Fecha])='00Dashboard'!$B$3))),1,-1))</f>
        <v>46272</v>
      </c>
      <c r="K2" s="2" cm="1">
        <f t="array" ref="K2:K8">SUMIFS(tblServicios[Base imponible (€)],tblServicios[Fecha],_xlfn.ANCHORARRAY(J2))</f>
        <v>300</v>
      </c>
      <c r="L2" cm="1">
        <f t="array" ref="L2:L8">SUMIFS(tblKmReales[Km reales],tblKmReales[Fecha],_xlfn.ANCHORARRAY(J2))</f>
        <v>319.10000000000002</v>
      </c>
      <c r="M2" s="2">
        <f>L2*('99_Config'!$B$12/100)*SUMIFS(tblPrecioMedioGas[Precio medio (€/L)],tblPrecioMedioGas[Año],'00Dashboard'!$B$3,tblPrecioMedioGas[Mes],'00Dashboard'!$B$1,tblPrecioMedioGas[Vehículo],'00Dashboard'!$F$3)</f>
        <v>59.888560869779603</v>
      </c>
      <c r="N2" s="2" cm="1">
        <f t="array" ref="N2:N8">_xlfn.ANCHORARRAY(K2)-M2:INDEX(M:M,ROW(M2)+ROWS(_xlfn.ANCHORARRAY(K2))-1)</f>
        <v>240.11143913022039</v>
      </c>
      <c r="P2" s="2" t="str" cm="1">
        <f t="array" ref="P2:P13">_xlfn._xlws.SORT(_xlfn._xlws.FILTER(tblServicios[ID Servicio],(YEAR(tblServicios[Fecha])='00Dashboard'!$B$3)*IF('00Dashboard'!$B$1=0,1,MONTH(tblServicios[Fecha])='00Dashboard'!$B$1)),1,-1)</f>
        <v>S000140</v>
      </c>
      <c r="Q2" s="1" cm="1">
        <f t="array" ref="Q2:Q13">_xlfn.XLOOKUP(_xlfn.ANCHORARRAY(P2),tblServicios[ID Servicio],tblServicios[Fecha])</f>
        <v>46272</v>
      </c>
      <c r="R2" s="2" cm="1">
        <f t="array" ref="R2:R13">_xlfn.XLOOKUP(_xlfn.ANCHORARRAY(P2),tblServicios[ID Servicio],tblServicios[Base imponible (€)])</f>
        <v>180</v>
      </c>
      <c r="S2" cm="1">
        <f t="array" ref="S2:S13">SUMIFS(tblKmReales[Km reales],tblKmReales[Fecha],_xlfn.ANCHORARRAY(Q2),tblKmReales[Contrato],_xlfn.XLOOKUP(_xlfn.ANCHORARRAY(P2),tblServicios[ID Servicio],tblServicios[Contrato]))</f>
        <v>222.2</v>
      </c>
      <c r="T2" s="2" cm="1">
        <f t="array" ref="T2:T13">_xlfn.ANCHORARRAY(S2)*(_xlfn.XLOOKUP(1,(tblConsumoMedio[Año]='00Dashboard'!$B$3)*(tblConsumoMedio[Mes]='00Dashboard'!$B$1)*(tblConsumoMedio[Vehículo]='00Dashboard'!$F$3),tblConsumoMedio[Consumo medio (L/100km)])/100)*_xlfn.XLOOKUP(1,(tblPrecioMedioGas[Año]='00Dashboard'!$B$3)*(tblPrecioMedioGas[Mes]='00Dashboard'!$B$1)*(tblPrecioMedioGas[Vehículo]='00Dashboard'!$F$3),tblPrecioMedioGas[Precio medio (€/L)])</f>
        <v>39.470157084188905</v>
      </c>
      <c r="U2" s="2" cm="1">
        <f t="array" ref="U2:U13">_xlfn.ANCHORARRAY(R2)-_xlfn.ANCHORARRAY(T2)</f>
        <v>140.52984291581109</v>
      </c>
      <c r="W2" s="2" t="s">
        <v>255</v>
      </c>
      <c r="X2" t="s">
        <v>263</v>
      </c>
      <c r="Y2" t="s">
        <v>293</v>
      </c>
      <c r="Z2" t="s">
        <v>37</v>
      </c>
      <c r="AA2" t="s">
        <v>294</v>
      </c>
      <c r="AB2" t="s">
        <v>295</v>
      </c>
      <c r="AC2" t="s">
        <v>296</v>
      </c>
      <c r="AD2" s="2" t="s">
        <v>290</v>
      </c>
      <c r="AE2" s="2" t="s">
        <v>297</v>
      </c>
      <c r="AF2" t="s">
        <v>298</v>
      </c>
      <c r="AG2" t="s">
        <v>299</v>
      </c>
      <c r="AI2" cm="1">
        <f t="array" ref="AI2:AI13">_xlfn.SEQUENCE(12)</f>
        <v>1</v>
      </c>
      <c r="AJ2" s="2" cm="1">
        <f t="array" ref="AJ2">SUMPRODUCT((YEAR(tblServicios[Fecha])='00Dashboard'!$B$3)*(MONTH(tblServicios[Fecha])=AI2)*tblServicios[Base imponible (€)])</f>
        <v>0</v>
      </c>
      <c r="AK2" t="str">
        <f>TEXT(DATE(2000,AI2,1),"mmmm")</f>
        <v>enero</v>
      </c>
      <c r="AL2" s="52" cm="1">
        <f t="array" ref="AL2">IFERROR(_xlfn.XLOOKUP(1,(tblPrecioMedioGas[Año]='00Dashboard'!$B$3)*(tblPrecioMedioGas[Mes]=AI2)*(tblPrecioMedioGas[Vehículo]='00Dashboard'!$F$3),tblPrecioMedioGas[Precio medio (€/L)]),0)</f>
        <v>0</v>
      </c>
      <c r="AM2" s="38" cm="1">
        <f t="array" ref="AM2">SUMPRODUCT((tblRepostajes[Año]='00Dashboard'!$B$3)*(tblRepostajes[Mes]=AI2)*(tblRepostajes[Vehículo]='00Dashboard'!$F$3)*tblRepostajes[Litros repostados])</f>
        <v>0</v>
      </c>
      <c r="AN2" s="41" cm="1">
        <f t="array" ref="AN2">SUMPRODUCT((tblRepostajes[Año]='00Dashboard'!$B$3)*(tblRepostajes[Mes]=AI2)*(tblRepostajes[Vehículo]='00Dashboard'!$F$3)*tblRepostajes[Base imponible (€)])</f>
        <v>0</v>
      </c>
    </row>
    <row r="3" spans="1:50" x14ac:dyDescent="0.35">
      <c r="A3" t="str">
        <f>'90_Modelo'!T7</f>
        <v>Operativa puntuales Madrid</v>
      </c>
      <c r="B3" s="2" cm="1">
        <f t="array" ref="B3">IF('00Dashboard'!$B$1=0,SUMPRODUCT((tblServicios[Contrato]=A3)*(YEAR(tblServicios[Fecha])='00Dashboard'!$B$3)*tblServicios[Base imponible (€)]),SUMPRODUCT((tblServicios[Contrato]=A3)*(MONTH(tblServicios[Fecha])='00Dashboard'!$B$1)*(YEAR(tblServicios[Fecha])='00Dashboard'!$B$3)*tblServicios[Base imponible (€)]))</f>
        <v>0</v>
      </c>
      <c r="C3" cm="1">
        <f t="array" ref="C3">IF('00Dashboard'!$B$1=0,SUMPRODUCT((tblServicios[Contrato]=A3)*(YEAR(tblServicios[Fecha])='00Dashboard'!$B$3)*tblServicios[Km servicio]),SUMPRODUCT((tblServicios[Contrato]=A3)*(MONTH(tblServicios[Fecha])='00Dashboard'!$B$1)*(YEAR(tblServicios[Fecha])='00Dashboard'!$B$3)*tblServicios[Km servicio]))</f>
        <v>0</v>
      </c>
      <c r="D3" s="2" t="e">
        <f>Tabla811[[#This Row],[Facturacion]]/Tabla811[[#This Row],[Km servicio]]</f>
        <v>#DIV/0!</v>
      </c>
      <c r="E3" cm="1">
        <f t="array" ref="E3">IF('00Dashboard'!$B$1=0,SUMPRODUCT((tblKmReales[Contrato]=A3)*(YEAR(tblKmReales[Fecha])='00Dashboard'!$B$3)*tblKmReales[Km reales]),SUMPRODUCT((tblKmReales[Contrato]=A3)*(MONTH(tblKmReales[Fecha])='00Dashboard'!$B$1)*(YEAR(tblKmReales[Fecha])='00Dashboard'!$B$3)*tblKmReales[Km reales]))</f>
        <v>0</v>
      </c>
      <c r="F3" s="3" t="e">
        <f>Tabla811[[#This Row],[Km servicio]]/Tabla811[[#This Row],[Km reales]]</f>
        <v>#DIV/0!</v>
      </c>
      <c r="G3" s="2">
        <f>E3*('99_Config'!$B$12/100)*SUMIFS(tblPrecioMedioGas[Precio medio (€/L)],tblPrecioMedioGas[Año],'00Dashboard'!$B$3,tblPrecioMedioGas[Mes],'00Dashboard'!$B$1,tblPrecioMedioGas[Vehículo],'00Dashboard'!$F$3)</f>
        <v>0</v>
      </c>
      <c r="H3" s="2">
        <f>Tabla811[[#This Row],[Facturacion]]-Tabla811[[#This Row],[Coste combustible]]</f>
        <v>0</v>
      </c>
      <c r="J3" s="1">
        <v>46271</v>
      </c>
      <c r="K3" s="2">
        <v>180</v>
      </c>
      <c r="L3">
        <v>166</v>
      </c>
      <c r="M3" s="2">
        <f>L3*('99_Config'!$B$12/100)*SUMIFS(tblPrecioMedioGas[Precio medio (€/L)],tblPrecioMedioGas[Año],'00Dashboard'!$B$3,tblPrecioMedioGas[Mes],'00Dashboard'!$B$1,tblPrecioMedioGas[Vehículo],'00Dashboard'!$F$3)</f>
        <v>31.154813865194022</v>
      </c>
      <c r="N3" s="2">
        <v>148.84518613480597</v>
      </c>
      <c r="P3" s="2" t="str">
        <v>S000139</v>
      </c>
      <c r="Q3" s="1">
        <v>46272</v>
      </c>
      <c r="R3" s="2">
        <v>120</v>
      </c>
      <c r="S3">
        <v>96.9</v>
      </c>
      <c r="T3" s="2">
        <v>17.212683264887062</v>
      </c>
      <c r="U3" s="2">
        <v>102.78731673511294</v>
      </c>
      <c r="W3" s="2">
        <v>450</v>
      </c>
      <c r="X3">
        <v>1350</v>
      </c>
      <c r="Y3" s="2">
        <f>X3*('99_Config'!$B$12/100)*SUMIFS(tblPrecioMedioGas[Precio medio (€/L)],tblPrecioMedioGas[Año],'00Dashboard'!$B$3,tblPrecioMedioGas[Mes],'00Dashboard'!$B$1,tblPrecioMedioGas[Vehículo],'00Dashboard'!$F$3)</f>
        <v>253.36746215669837</v>
      </c>
      <c r="Z3">
        <v>0</v>
      </c>
      <c r="AA3" s="2">
        <f>Z3*('99_Config'!$B$12/100)*SUMIFS(tblPrecioMedioGas[Precio medio (€/L)],tblPrecioMedioGas[Año],'00Dashboard'!$B$3,tblPrecioMedioGas[Mes],'00Dashboard'!$B$1,tblPrecioMedioGas[Vehículo],'00Dashboard'!$F$3)</f>
        <v>0</v>
      </c>
      <c r="AB3">
        <f>Tabla25[[#This Row],[Km vacío]]+Tabla25[[#This Row],[Km servicio]]</f>
        <v>1350</v>
      </c>
      <c r="AC3" s="2">
        <f>AB3*('99_Config'!$B$12/100)*SUMIFS(tblPrecioMedioGas[Precio medio (€/L)],tblPrecioMedioGas[Año],'00Dashboard'!$B$3,tblPrecioMedioGas[Mes],'00Dashboard'!$B$1,tblPrecioMedioGas[Vehículo],'00Dashboard'!$F$3)</f>
        <v>253.36746215669837</v>
      </c>
      <c r="AD3" s="2">
        <f>Tabla25[[#This Row],[Facturación]]/Tabla25[[#This Row],[Km totales]]</f>
        <v>0.33333333333333331</v>
      </c>
      <c r="AE3" s="3">
        <f>Tabla25[[#This Row],[Km vacío]]/Tabla25[[#This Row],[Km totales]]</f>
        <v>1</v>
      </c>
      <c r="AF3" s="2">
        <v>30</v>
      </c>
      <c r="AG3" s="2">
        <f>Tabla25[[#This Row],[Facturación]]-Tabla25[[#This Row],[Coste comb. Total]]-Tabla25[[#This Row],[Coste conductor]]</f>
        <v>166.63253784330163</v>
      </c>
      <c r="AI3">
        <v>2</v>
      </c>
      <c r="AJ3" s="2" cm="1">
        <f t="array" ref="AJ3">SUMPRODUCT((YEAR(tblServicios[Fecha])='00Dashboard'!$B$3)*(MONTH(tblServicios[Fecha])=AI3)*tblServicios[Base imponible (€)])</f>
        <v>0</v>
      </c>
      <c r="AK3" t="str">
        <f t="shared" ref="AK3:AK13" si="0">TEXT(DATE(2000,AI3,1),"mmmm")</f>
        <v>febrero</v>
      </c>
      <c r="AL3" s="52" cm="1">
        <f t="array" ref="AL3">IFERROR(_xlfn.XLOOKUP(1,(tblPrecioMedioGas[Año]='00Dashboard'!$B$3)*(tblPrecioMedioGas[Mes]=AI3)*(tblPrecioMedioGas[Vehículo]='00Dashboard'!$F$3),tblPrecioMedioGas[Precio medio (€/L)]),0)</f>
        <v>0</v>
      </c>
      <c r="AM3" s="38" cm="1">
        <f t="array" ref="AM3">SUMPRODUCT((tblRepostajes[Año]='00Dashboard'!$B$3)*(tblRepostajes[Mes]=AI3)*(tblRepostajes[Vehículo]='00Dashboard'!$F$3)*tblRepostajes[Litros repostados])</f>
        <v>0</v>
      </c>
      <c r="AN3" s="41" cm="1">
        <f t="array" ref="AN3">SUMPRODUCT((tblRepostajes[Año]='00Dashboard'!$B$3)*(tblRepostajes[Mes]=AI3)*(tblRepostajes[Vehículo]='00Dashboard'!$F$3)*tblRepostajes[Base imponible (€)])</f>
        <v>0</v>
      </c>
    </row>
    <row r="4" spans="1:50" x14ac:dyDescent="0.35">
      <c r="A4" t="str">
        <f>'90_Modelo'!T8</f>
        <v>Ruta fija Ilunion tarde</v>
      </c>
      <c r="B4" s="2" cm="1">
        <f t="array" ref="B4">IF('00Dashboard'!$B$1=0,SUMPRODUCT((tblServicios[Contrato]=A4)*(YEAR(tblServicios[Fecha])='00Dashboard'!$B$3)*tblServicios[Base imponible (€)]),SUMPRODUCT((tblServicios[Contrato]=A4)*(MONTH(tblServicios[Fecha])='00Dashboard'!$B$1)*(YEAR(tblServicios[Fecha])='00Dashboard'!$B$3)*tblServicios[Base imponible (€)]))</f>
        <v>1260</v>
      </c>
      <c r="C4" cm="1">
        <f t="array" ref="C4">IF('00Dashboard'!$B$1=0,SUMPRODUCT((tblServicios[Contrato]=A4)*(YEAR(tblServicios[Fecha])='00Dashboard'!$B$3)*tblServicios[Km servicio]),SUMPRODUCT((tblServicios[Contrato]=A4)*(MONTH(tblServicios[Fecha])='00Dashboard'!$B$1)*(YEAR(tblServicios[Fecha])='00Dashboard'!$B$3)*tblServicios[Km servicio]))</f>
        <v>1163.5999999999999</v>
      </c>
      <c r="D4" s="2">
        <f>Tabla811[[#This Row],[Facturacion]]/Tabla811[[#This Row],[Km servicio]]</f>
        <v>1.0828463389480922</v>
      </c>
      <c r="E4" cm="1">
        <f t="array" ref="E4">IF('00Dashboard'!$B$1=0,SUMPRODUCT((tblKmReales[Contrato]=A4)*(YEAR(tblKmReales[Fecha])='00Dashboard'!$B$3)*tblKmReales[Km reales]),SUMPRODUCT((tblKmReales[Contrato]=A4)*(MONTH(tblKmReales[Fecha])='00Dashboard'!$B$1)*(YEAR(tblKmReales[Fecha])='00Dashboard'!$B$3)*tblKmReales[Km reales]))</f>
        <v>1575.2</v>
      </c>
      <c r="F4" s="3">
        <f>Tabla811[[#This Row],[Km servicio]]/Tabla811[[#This Row],[Km reales]]</f>
        <v>0.73869984763839502</v>
      </c>
      <c r="G4" s="2">
        <f>E4*('99_Config'!$B$12/100)*SUMIFS(tblPrecioMedioGas[Precio medio (€/L)],tblPrecioMedioGas[Año],'00Dashboard'!$B$3,tblPrecioMedioGas[Mes],'00Dashboard'!$B$1,tblPrecioMedioGas[Vehículo],'00Dashboard'!$F$3)</f>
        <v>295.63290843646763</v>
      </c>
      <c r="H4" s="2">
        <f>Tabla811[[#This Row],[Facturacion]]-Tabla811[[#This Row],[Coste combustible]]</f>
        <v>964.36709156353231</v>
      </c>
      <c r="J4" s="1">
        <v>46270</v>
      </c>
      <c r="K4" s="2">
        <v>180</v>
      </c>
      <c r="L4">
        <v>278</v>
      </c>
      <c r="M4" s="2">
        <f>L4*('99_Config'!$B$12/100)*SUMIFS(tblPrecioMedioGas[Precio medio (€/L)],tblPrecioMedioGas[Año],'00Dashboard'!$B$3,tblPrecioMedioGas[Mes],'00Dashboard'!$B$1,tblPrecioMedioGas[Vehículo],'00Dashboard'!$F$3)</f>
        <v>52.174929244120108</v>
      </c>
      <c r="N4" s="2">
        <v>127.82507075587989</v>
      </c>
      <c r="P4" s="2" t="str">
        <v>S000138</v>
      </c>
      <c r="Q4" s="1">
        <v>46271</v>
      </c>
      <c r="R4" s="2">
        <v>180</v>
      </c>
      <c r="S4">
        <v>166</v>
      </c>
      <c r="T4" s="2">
        <v>29.487156057494861</v>
      </c>
      <c r="U4" s="2">
        <v>150.51284394250513</v>
      </c>
      <c r="AI4">
        <v>3</v>
      </c>
      <c r="AJ4" s="2" cm="1">
        <f t="array" ref="AJ4">SUMPRODUCT((YEAR(tblServicios[Fecha])='00Dashboard'!$B$3)*(MONTH(tblServicios[Fecha])=AI4)*tblServicios[Base imponible (€)])</f>
        <v>0</v>
      </c>
      <c r="AK4" t="str">
        <f t="shared" si="0"/>
        <v>marzo</v>
      </c>
      <c r="AL4" s="52" cm="1">
        <f t="array" ref="AL4">IFERROR(_xlfn.XLOOKUP(1,(tblPrecioMedioGas[Año]='00Dashboard'!$B$3)*(tblPrecioMedioGas[Mes]=AI4)*(tblPrecioMedioGas[Vehículo]='00Dashboard'!$F$3),tblPrecioMedioGas[Precio medio (€/L)]),0)</f>
        <v>0</v>
      </c>
      <c r="AM4" s="38" cm="1">
        <f t="array" ref="AM4">SUMPRODUCT((tblRepostajes[Año]='00Dashboard'!$B$3)*(tblRepostajes[Mes]=AI4)*(tblRepostajes[Vehículo]='00Dashboard'!$F$3)*tblRepostajes[Litros repostados])</f>
        <v>0</v>
      </c>
      <c r="AN4" s="41" cm="1">
        <f t="array" ref="AN4">SUMPRODUCT((tblRepostajes[Año]='00Dashboard'!$B$3)*(tblRepostajes[Mes]=AI4)*(tblRepostajes[Vehículo]='00Dashboard'!$F$3)*tblRepostajes[Base imponible (€)])</f>
        <v>0</v>
      </c>
    </row>
    <row r="5" spans="1:50" x14ac:dyDescent="0.35">
      <c r="A5" t="str">
        <f>'90_Modelo'!T9</f>
        <v>Ruta extras mañana</v>
      </c>
      <c r="B5" s="2" cm="1">
        <f t="array" ref="B5">IF('00Dashboard'!$B$1=0,SUMPRODUCT((tblServicios[Contrato]=A5)*(YEAR(tblServicios[Fecha])='00Dashboard'!$B$3)*tblServicios[Base imponible (€)]),SUMPRODUCT((tblServicios[Contrato]=A5)*(MONTH(tblServicios[Fecha])='00Dashboard'!$B$1)*(YEAR(tblServicios[Fecha])='00Dashboard'!$B$3)*tblServicios[Base imponible (€)]))</f>
        <v>400</v>
      </c>
      <c r="C5" cm="1">
        <f t="array" ref="C5">IF('00Dashboard'!$B$1=0,SUMPRODUCT((tblServicios[Contrato]=A5)*(YEAR(tblServicios[Fecha])='00Dashboard'!$B$3)*tblServicios[Km servicio]),SUMPRODUCT((tblServicios[Contrato]=A5)*(MONTH(tblServicios[Fecha])='00Dashboard'!$B$1)*(YEAR(tblServicios[Fecha])='00Dashboard'!$B$3)*tblServicios[Km servicio]))</f>
        <v>228.3</v>
      </c>
      <c r="D5" s="2">
        <f>Tabla811[[#This Row],[Facturacion]]/Tabla811[[#This Row],[Km servicio]]</f>
        <v>1.7520805957074024</v>
      </c>
      <c r="E5" cm="1">
        <f t="array" ref="E5">IF('00Dashboard'!$B$1=0,SUMPRODUCT((tblKmReales[Contrato]=A5)*(YEAR(tblKmReales[Fecha])='00Dashboard'!$B$3)*tblKmReales[Km reales]),SUMPRODUCT((tblKmReales[Contrato]=A5)*(MONTH(tblKmReales[Fecha])='00Dashboard'!$B$1)*(YEAR(tblKmReales[Fecha])='00Dashboard'!$B$3)*tblKmReales[Km reales]))</f>
        <v>317.60000000000002</v>
      </c>
      <c r="F5" s="3">
        <f>Tabla811[[#This Row],[Km servicio]]/Tabla811[[#This Row],[Km reales]]</f>
        <v>0.71882871536523929</v>
      </c>
      <c r="G5" s="2">
        <f>E5*('99_Config'!$B$12/100)*SUMIFS(tblPrecioMedioGas[Precio medio (€/L)],tblPrecioMedioGas[Año],'00Dashboard'!$B$3,tblPrecioMedioGas[Mes],'00Dashboard'!$B$1,tblPrecioMedioGas[Vehículo],'00Dashboard'!$F$3)</f>
        <v>59.607041467383262</v>
      </c>
      <c r="H5" s="2">
        <f>Tabla811[[#This Row],[Facturacion]]-Tabla811[[#This Row],[Coste combustible]]</f>
        <v>340.39295853261672</v>
      </c>
      <c r="J5" s="1">
        <v>46269</v>
      </c>
      <c r="K5" s="2">
        <v>180</v>
      </c>
      <c r="L5">
        <v>306</v>
      </c>
      <c r="M5" s="2">
        <f>L5*('99_Config'!$B$12/100)*SUMIFS(tblPrecioMedioGas[Precio medio (€/L)],tblPrecioMedioGas[Año],'00Dashboard'!$B$3,tblPrecioMedioGas[Mes],'00Dashboard'!$B$1,tblPrecioMedioGas[Vehículo],'00Dashboard'!$F$3)</f>
        <v>57.429958088851635</v>
      </c>
      <c r="N5" s="2">
        <v>122.57004191114837</v>
      </c>
      <c r="P5" s="2" t="str">
        <v>S000137</v>
      </c>
      <c r="Q5" s="1">
        <v>46270</v>
      </c>
      <c r="R5" s="2">
        <v>180</v>
      </c>
      <c r="S5">
        <v>269</v>
      </c>
      <c r="T5" s="2">
        <v>47.783403490759753</v>
      </c>
      <c r="U5" s="2">
        <v>132.21659650924025</v>
      </c>
      <c r="W5" s="84" t="s">
        <v>300</v>
      </c>
      <c r="X5" s="84"/>
      <c r="Y5" s="84"/>
      <c r="Z5" s="84"/>
      <c r="AA5" s="26"/>
      <c r="AB5" s="84" t="s">
        <v>301</v>
      </c>
      <c r="AC5" s="84"/>
      <c r="AD5" s="84"/>
      <c r="AE5" s="84"/>
      <c r="AF5" s="84"/>
      <c r="AG5" s="84"/>
      <c r="AI5">
        <v>4</v>
      </c>
      <c r="AJ5" s="2" cm="1">
        <f t="array" ref="AJ5">SUMPRODUCT((YEAR(tblServicios[Fecha])='00Dashboard'!$B$3)*(MONTH(tblServicios[Fecha])=AI5)*tblServicios[Base imponible (€)])</f>
        <v>0</v>
      </c>
      <c r="AK5" t="str">
        <f t="shared" si="0"/>
        <v>abril</v>
      </c>
      <c r="AL5" s="52" cm="1">
        <f t="array" ref="AL5">IFERROR(_xlfn.XLOOKUP(1,(tblPrecioMedioGas[Año]='00Dashboard'!$B$3)*(tblPrecioMedioGas[Mes]=AI5)*(tblPrecioMedioGas[Vehículo]='00Dashboard'!$F$3),tblPrecioMedioGas[Precio medio (€/L)]),0)</f>
        <v>0</v>
      </c>
      <c r="AM5" s="38" cm="1">
        <f t="array" ref="AM5">SUMPRODUCT((tblRepostajes[Año]='00Dashboard'!$B$3)*(tblRepostajes[Mes]=AI5)*(tblRepostajes[Vehículo]='00Dashboard'!$F$3)*tblRepostajes[Litros repostados])</f>
        <v>0</v>
      </c>
      <c r="AN5" s="41" cm="1">
        <f t="array" ref="AN5">SUMPRODUCT((tblRepostajes[Año]='00Dashboard'!$B$3)*(tblRepostajes[Mes]=AI5)*(tblRepostajes[Vehículo]='00Dashboard'!$F$3)*tblRepostajes[Base imponible (€)])</f>
        <v>0</v>
      </c>
      <c r="AP5" s="84" t="s">
        <v>262</v>
      </c>
      <c r="AQ5" s="84"/>
      <c r="AR5" s="84"/>
      <c r="AS5" s="84"/>
      <c r="AT5" s="84"/>
      <c r="AU5" s="84"/>
      <c r="AV5" s="84"/>
      <c r="AW5" s="84"/>
      <c r="AX5" s="84"/>
    </row>
    <row r="6" spans="1:50" x14ac:dyDescent="0.35">
      <c r="A6" t="s">
        <v>26</v>
      </c>
      <c r="B6" s="2" cm="1">
        <f t="array" ref="B6">IF('00Dashboard'!$B$1=0,SUMPRODUCT((tblServicios[Contrato]=A6)*(YEAR(tblServicios[Fecha])='00Dashboard'!$B$3)*tblServicios[Base imponible (€)]),SUMPRODUCT((tblServicios[Contrato]=A6)*(MONTH(tblServicios[Fecha])='00Dashboard'!$B$1)*(YEAR(tblServicios[Fecha])='00Dashboard'!$B$3)*tblServicios[Base imponible (€)]))</f>
        <v>0</v>
      </c>
      <c r="C6" cm="1">
        <f t="array" ref="C6">IF('00Dashboard'!$B$1=0,SUMPRODUCT((tblServicios[Contrato]=A6)*(YEAR(tblServicios[Fecha])='00Dashboard'!$B$3)*tblServicios[Km servicio]),SUMPRODUCT((tblServicios[Contrato]=A6)*(MONTH(tblServicios[Fecha])='00Dashboard'!$B$1)*(YEAR(tblServicios[Fecha])='00Dashboard'!$B$3)*tblServicios[Km servicio]))</f>
        <v>0</v>
      </c>
      <c r="D6" s="2" t="e">
        <f>Tabla811[[#This Row],[Facturacion]]/Tabla811[[#This Row],[Km servicio]]</f>
        <v>#DIV/0!</v>
      </c>
      <c r="E6" cm="1">
        <f t="array" ref="E6">IF('00Dashboard'!$B$1=0,SUMPRODUCT((tblKmReales[Contrato]=A6)*(YEAR(tblKmReales[Fecha])='00Dashboard'!$B$3)*tblKmReales[Km reales]),SUMPRODUCT((tblKmReales[Contrato]=A6)*(MONTH(tblKmReales[Fecha])='00Dashboard'!$B$1)*(YEAR(tblKmReales[Fecha])='00Dashboard'!$B$3)*tblKmReales[Km reales]))</f>
        <v>0</v>
      </c>
      <c r="F6" s="3" t="e">
        <f>Tabla811[[#This Row],[Km servicio]]/Tabla811[[#This Row],[Km reales]]</f>
        <v>#DIV/0!</v>
      </c>
      <c r="G6" s="2">
        <f>E6*('99_Config'!$B$12/100)*SUMIFS(tblPrecioMedioGas[Precio medio (€/L)],tblPrecioMedioGas[Año],'00Dashboard'!$B$3,tblPrecioMedioGas[Mes],'00Dashboard'!$B$1,tblPrecioMedioGas[Vehículo],'00Dashboard'!$F$3)</f>
        <v>0</v>
      </c>
      <c r="H6" s="2">
        <f>Tabla811[[#This Row],[Facturacion]]-Tabla811[[#This Row],[Coste combustible]]</f>
        <v>0</v>
      </c>
      <c r="J6" s="1">
        <v>46268</v>
      </c>
      <c r="K6" s="2">
        <v>180</v>
      </c>
      <c r="L6">
        <v>214</v>
      </c>
      <c r="M6" s="2">
        <f>L6*('99_Config'!$B$12/100)*SUMIFS(tblPrecioMedioGas[Precio medio (€/L)],tblPrecioMedioGas[Año],'00Dashboard'!$B$3,tblPrecioMedioGas[Mes],'00Dashboard'!$B$1,tblPrecioMedioGas[Vehículo],'00Dashboard'!$F$3)</f>
        <v>40.163434741876628</v>
      </c>
      <c r="N6" s="2">
        <v>139.83656525812336</v>
      </c>
      <c r="P6" s="2" t="str">
        <v>S000136</v>
      </c>
      <c r="Q6" s="1">
        <v>46269</v>
      </c>
      <c r="R6" s="2">
        <v>180</v>
      </c>
      <c r="S6">
        <v>306</v>
      </c>
      <c r="T6" s="2">
        <v>54.355841889117038</v>
      </c>
      <c r="U6" s="2">
        <v>125.64415811088296</v>
      </c>
      <c r="W6" t="s">
        <v>8</v>
      </c>
      <c r="X6" t="s">
        <v>9</v>
      </c>
      <c r="Y6" t="s">
        <v>3</v>
      </c>
      <c r="Z6" t="s">
        <v>269</v>
      </c>
      <c r="AB6" t="s">
        <v>8</v>
      </c>
      <c r="AC6" t="s">
        <v>9</v>
      </c>
      <c r="AD6" t="s">
        <v>3</v>
      </c>
      <c r="AE6" t="s">
        <v>288</v>
      </c>
      <c r="AF6" t="s">
        <v>302</v>
      </c>
      <c r="AG6" t="s">
        <v>303</v>
      </c>
      <c r="AI6">
        <v>5</v>
      </c>
      <c r="AJ6" s="2" cm="1">
        <f t="array" ref="AJ6">SUMPRODUCT((YEAR(tblServicios[Fecha])='00Dashboard'!$B$3)*(MONTH(tblServicios[Fecha])=AI6)*tblServicios[Base imponible (€)])</f>
        <v>0</v>
      </c>
      <c r="AK6" t="str">
        <f t="shared" si="0"/>
        <v>mayo</v>
      </c>
      <c r="AL6" s="52" cm="1">
        <f t="array" ref="AL6">IFERROR(_xlfn.XLOOKUP(1,(tblPrecioMedioGas[Año]='00Dashboard'!$B$3)*(tblPrecioMedioGas[Mes]=AI6)*(tblPrecioMedioGas[Vehículo]='00Dashboard'!$F$3),tblPrecioMedioGas[Precio medio (€/L)]),0)</f>
        <v>0</v>
      </c>
      <c r="AM6" s="38" cm="1">
        <f t="array" ref="AM6">SUMPRODUCT((tblRepostajes[Año]='00Dashboard'!$B$3)*(tblRepostajes[Mes]=AI6)*(tblRepostajes[Vehículo]='00Dashboard'!$F$3)*tblRepostajes[Litros repostados])</f>
        <v>0</v>
      </c>
      <c r="AN6" s="41" cm="1">
        <f t="array" ref="AN6">SUMPRODUCT((tblRepostajes[Año]='00Dashboard'!$B$3)*(tblRepostajes[Mes]=AI6)*(tblRepostajes[Vehículo]='00Dashboard'!$F$3)*tblRepostajes[Base imponible (€)])</f>
        <v>0</v>
      </c>
      <c r="AP6" s="38" t="s">
        <v>8</v>
      </c>
      <c r="AQ6" s="38" t="s">
        <v>9</v>
      </c>
      <c r="AR6" s="38" t="s">
        <v>3</v>
      </c>
      <c r="AS6" s="38" t="s">
        <v>6</v>
      </c>
      <c r="AT6" s="38" t="s">
        <v>37</v>
      </c>
      <c r="AU6" s="38" t="s">
        <v>263</v>
      </c>
      <c r="AV6" s="38" t="s">
        <v>264</v>
      </c>
      <c r="AW6" s="38" t="s">
        <v>265</v>
      </c>
      <c r="AX6" s="38" t="s">
        <v>293</v>
      </c>
    </row>
    <row r="7" spans="1:50" x14ac:dyDescent="0.35">
      <c r="A7" t="s">
        <v>16</v>
      </c>
      <c r="B7" s="2" cm="1">
        <f t="array" ref="B7">IF('00Dashboard'!$B$1=0,SUMPRODUCT((tblServicios[Contrato]=A7)*(YEAR(tblServicios[Fecha])='00Dashboard'!$B$3)*tblServicios[Base imponible (€)]),SUMPRODUCT((tblServicios[Contrato]=A7)*(MONTH(tblServicios[Fecha])='00Dashboard'!$B$1)*(YEAR(tblServicios[Fecha])='00Dashboard'!$B$3)*tblServicios[Base imponible (€)]))</f>
        <v>160</v>
      </c>
      <c r="C7" cm="1">
        <f t="array" ref="C7">IF('00Dashboard'!$B$1=0,SUMPRODUCT((tblServicios[Contrato]=A7)*(YEAR(tblServicios[Fecha])='00Dashboard'!$B$3)*tblServicios[Km servicio]),SUMPRODUCT((tblServicios[Contrato]=A7)*(MONTH(tblServicios[Fecha])='00Dashboard'!$B$1)*(YEAR(tblServicios[Fecha])='00Dashboard'!$B$3)*tblServicios[Km servicio]))</f>
        <v>166.5</v>
      </c>
      <c r="D7" s="2">
        <f>Tabla811[[#This Row],[Facturacion]]/Tabla811[[#This Row],[Km servicio]]</f>
        <v>0.96096096096096095</v>
      </c>
      <c r="E7" cm="1">
        <f t="array" ref="E7">IF('00Dashboard'!$B$1=0,SUMPRODUCT((tblKmReales[Contrato]=A7)*(YEAR(tblKmReales[Fecha])='00Dashboard'!$B$3)*tblKmReales[Km reales]),SUMPRODUCT((tblKmReales[Contrato]=A7)*(MONTH(tblKmReales[Fecha])='00Dashboard'!$B$1)*(YEAR(tblKmReales[Fecha])='00Dashboard'!$B$3)*tblKmReales[Km reales]))</f>
        <v>206.5</v>
      </c>
      <c r="F7" s="3">
        <f>Tabla811[[#This Row],[Km servicio]]/Tabla811[[#This Row],[Km reales]]</f>
        <v>0.80629539951573848</v>
      </c>
      <c r="G7" s="2">
        <f>E7*('99_Config'!$B$12/100)*SUMIFS(tblPrecioMedioGas[Precio medio (€/L)],tblPrecioMedioGas[Año],'00Dashboard'!$B$3,tblPrecioMedioGas[Mes],'00Dashboard'!$B$1,tblPrecioMedioGas[Vehículo],'00Dashboard'!$F$3)</f>
        <v>38.755837729894971</v>
      </c>
      <c r="H7" s="2">
        <f>Tabla811[[#This Row],[Facturacion]]-Tabla811[[#This Row],[Coste combustible]]</f>
        <v>121.24416227010502</v>
      </c>
      <c r="J7" s="1">
        <v>46267</v>
      </c>
      <c r="K7" s="2">
        <v>420</v>
      </c>
      <c r="L7">
        <v>440.5</v>
      </c>
      <c r="M7" s="2">
        <f>L7*('99_Config'!$B$12/100)*SUMIFS(tblPrecioMedioGas[Precio medio (€/L)],tblPrecioMedioGas[Año],'00Dashboard'!$B$3,tblPrecioMedioGas[Mes],'00Dashboard'!$B$1,tblPrecioMedioGas[Vehículo],'00Dashboard'!$F$3)</f>
        <v>82.672864503722678</v>
      </c>
      <c r="N7" s="2">
        <v>337.32713549627732</v>
      </c>
      <c r="P7" s="2" t="str">
        <v>S000135</v>
      </c>
      <c r="Q7" s="1">
        <v>46268</v>
      </c>
      <c r="R7" s="2">
        <v>180</v>
      </c>
      <c r="S7">
        <v>214</v>
      </c>
      <c r="T7" s="2">
        <v>38.01356262833675</v>
      </c>
      <c r="U7" s="2">
        <v>141.98643737166324</v>
      </c>
      <c r="W7">
        <v>2026</v>
      </c>
      <c r="X7">
        <v>0</v>
      </c>
      <c r="Y7" t="s">
        <v>13</v>
      </c>
      <c r="Z7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1.636095736205881</v>
      </c>
      <c r="AB7">
        <v>2026</v>
      </c>
      <c r="AC7">
        <v>0</v>
      </c>
      <c r="AD7" t="s">
        <v>13</v>
      </c>
      <c r="AE7">
        <f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f>
        <v>2598.3900000000003</v>
      </c>
      <c r="AF7">
        <f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f>
        <v>22582</v>
      </c>
      <c r="AG7" s="36">
        <f>IFERROR((tblConsumoMedio[[#This Row],[Litros repostados]]/tblConsumoMedio[[#This Row],[Km recorridos]])*100,"")</f>
        <v>11.506465326366133</v>
      </c>
      <c r="AI7">
        <v>6</v>
      </c>
      <c r="AJ7" s="2" cm="1">
        <f t="array" ref="AJ7">SUMPRODUCT((YEAR(tblServicios[Fecha])='00Dashboard'!$B$3)*(MONTH(tblServicios[Fecha])=AI7)*tblServicios[Base imponible (€)])</f>
        <v>3420</v>
      </c>
      <c r="AK7" t="str">
        <f t="shared" si="0"/>
        <v>junio</v>
      </c>
      <c r="AL7" s="52" cm="1">
        <f t="array" ref="AL7">IFERROR(_xlfn.XLOOKUP(1,(tblPrecioMedioGas[Año]='00Dashboard'!$B$3)*(tblPrecioMedioGas[Mes]=AI7)*(tblPrecioMedioGas[Vehículo]='00Dashboard'!$F$3),tblPrecioMedioGas[Precio medio (€/L)]),0)</f>
        <v>1.4763327153288013</v>
      </c>
      <c r="AM7" s="38" cm="1">
        <f t="array" ref="AM7">SUMPRODUCT((tblRepostajes[Año]='00Dashboard'!$B$3)*(tblRepostajes[Mes]=AI7)*(tblRepostajes[Vehículo]='00Dashboard'!$F$3)*tblRepostajes[Litros repostados])</f>
        <v>436.89</v>
      </c>
      <c r="AN7" s="41" cm="1">
        <f t="array" ref="AN7">SUMPRODUCT((tblRepostajes[Año]='00Dashboard'!$B$3)*(tblRepostajes[Mes]=AI7)*(tblRepostajes[Vehículo]='00Dashboard'!$F$3)*tblRepostajes[Base imponible (€)])</f>
        <v>586.36000000000013</v>
      </c>
      <c r="AP7" s="38">
        <f>'00Dashboard'!$B$3</f>
        <v>2026</v>
      </c>
      <c r="AQ7" s="38">
        <f>'00Dashboard'!$B$1</f>
        <v>9</v>
      </c>
      <c r="AR7" s="39" t="str">
        <f>'00Dashboard'!$F$3</f>
        <v>Vehículo 01</v>
      </c>
      <c r="AS7" s="38">
        <f>IF(tblUtilizacionVehiculo[[#This Row],[Mes]]=0,SUMIFS(tblKmReales[Km reales],tblKmReales[Año],tblUtilizacionVehiculo[[#This Row],[Año]],tblKmReales[Vehículo],tblUtilizacionVehiculo[[#This Row],[Vehículo]]),SUMIFS(tblKmReales[Km reales],tblKmReales[Año],tblUtilizacionVehiculo[[#This Row],[Año]],tblKmReales[Mes],tblUtilizacionVehiculo[[#This Row],[Mes]],tblKmReales[Vehículo],tblUtilizacionVehiculo[[#This Row],[Vehículo]]))</f>
        <v>2108.3000000000002</v>
      </c>
      <c r="AT7" s="38">
        <f>IF(tblUtilizacionVehiculo[[#This Row],[Mes]]=0,SUMIFS(tblServicios[Km servicio],tblServicios[Año],tblUtilizacionVehiculo[[#This Row],[Año]],tblServicios[Vehículo],tblUtilizacionVehiculo[[#This Row],[Vehículo]]),SUMIFS(tblServicios[Km servicio],tblServicios[Año],tblUtilizacionVehiculo[[#This Row],[Año]],tblServicios[Mes],tblUtilizacionVehiculo[[#This Row],[Mes]],tblServicios[Vehículo],tblUtilizacionVehiculo[[#This Row],[Vehículo]]))</f>
        <v>1558.3999999999999</v>
      </c>
      <c r="AU7" s="38">
        <f>tblUtilizacionVehiculo[[#This Row],[Km reales]]-tblUtilizacionVehiculo[[#This Row],[Km servicio]]</f>
        <v>549.90000000000032</v>
      </c>
      <c r="AV7" s="40">
        <f>IF(tblUtilizacionVehiculo[[#This Row],[Km reales]]=0,0,tblUtilizacionVehiculo[[#This Row],[Km vacío]]/tblUtilizacionVehiculo[[#This Row],[Km reales]])</f>
        <v>0.26082625812265819</v>
      </c>
      <c r="AW7" s="40">
        <f>tblUtilizacionVehiculo[[#This Row],[Km servicio]]/tblUtilizacionVehiculo[[#This Row],[Km reales]]</f>
        <v>0.73917374187734186</v>
      </c>
      <c r="AX7" s="41" cm="1">
        <f t="array" ref="AX7">IFERROR(tblUtilizacionVehiculo[[#This Row],[Km vacío]]*(_xlfn.XLOOKUP(1,(tblConsumoMedio[Año]=tblUtilizacionVehiculo[[#This Row],[Año]])*(tblConsumoMedio[Mes]=tblUtilizacionVehiculo[[#This Row],[Mes]])*(tblConsumoMedio[Vehículo]=tblUtilizacionVehiculo[[#This Row],[Vehículo]]),tblConsumoMedio[Consumo medio (L/100km)])/100)*_xlfn.XLOOKUP(1,(tblPrecioMedioGas[Año]=tblUtilizacionVehiculo[[#This Row],[Año]])*(tblPrecioMedioGas[Mes]=tblUtilizacionVehiculo[[#This Row],[Mes]])*(tblPrecioMedioGas[Vehículo]=tblUtilizacionVehiculo[[#This Row],[Vehículo]]),tblPrecioMedioGas[Precio medio (€/L)]),0)</f>
        <v>97.680645277207432</v>
      </c>
    </row>
    <row r="8" spans="1:50" x14ac:dyDescent="0.35">
      <c r="J8" s="1">
        <v>46266</v>
      </c>
      <c r="K8" s="2">
        <v>380</v>
      </c>
      <c r="L8">
        <v>384.7</v>
      </c>
      <c r="M8" s="2">
        <f>L8*('99_Config'!$B$12/100)*SUMIFS(tblPrecioMedioGas[Precio medio (€/L)],tblPrecioMedioGas[Año],'00Dashboard'!$B$3,tblPrecioMedioGas[Mes],'00Dashboard'!$B$1,tblPrecioMedioGas[Vehículo],'00Dashboard'!$F$3)</f>
        <v>72.200342734579152</v>
      </c>
      <c r="N8" s="2">
        <v>307.79965726542082</v>
      </c>
      <c r="P8" s="2" t="str">
        <v>S000134</v>
      </c>
      <c r="Q8" s="1">
        <v>46267</v>
      </c>
      <c r="R8" s="2">
        <v>180</v>
      </c>
      <c r="S8">
        <v>198</v>
      </c>
      <c r="T8" s="2">
        <v>35.171427104722788</v>
      </c>
      <c r="U8" s="2">
        <v>144.8285728952772</v>
      </c>
      <c r="W8">
        <v>2026</v>
      </c>
      <c r="X8">
        <v>6</v>
      </c>
      <c r="Y8" t="s">
        <v>13</v>
      </c>
      <c r="Z8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1.4763327153288013</v>
      </c>
      <c r="AB8">
        <v>2026</v>
      </c>
      <c r="AC8">
        <v>7</v>
      </c>
      <c r="AD8" t="s">
        <v>13</v>
      </c>
      <c r="AE8">
        <f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f>
        <v>986.48</v>
      </c>
      <c r="AF8">
        <f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f>
        <v>9443</v>
      </c>
      <c r="AG8" s="36">
        <f>IFERROR((tblConsumoMedio[[#This Row],[Litros repostados]]/tblConsumoMedio[[#This Row],[Km recorridos]])*100,"")</f>
        <v>10.446680080482897</v>
      </c>
      <c r="AI8">
        <v>7</v>
      </c>
      <c r="AJ8" s="2" cm="1">
        <f t="array" ref="AJ8">SUMPRODUCT((YEAR(tblServicios[Fecha])='00Dashboard'!$B$3)*(MONTH(tblServicios[Fecha])=AI8)*tblServicios[Base imponible (€)])</f>
        <v>9132.5</v>
      </c>
      <c r="AK8" t="str">
        <f t="shared" si="0"/>
        <v>julio</v>
      </c>
      <c r="AL8" s="52" cm="1">
        <f t="array" ref="AL8">IFERROR(_xlfn.XLOOKUP(1,(tblPrecioMedioGas[Año]='00Dashboard'!$B$3)*(tblPrecioMedioGas[Mes]=AI8)*(tblPrecioMedioGas[Vehículo]='00Dashboard'!$F$3),tblPrecioMedioGas[Precio medio (€/L)]),0)</f>
        <v>1.5471066823453086</v>
      </c>
      <c r="AM8" s="38" cm="1">
        <f t="array" ref="AM8">SUMPRODUCT((tblRepostajes[Año]='00Dashboard'!$B$3)*(tblRepostajes[Mes]=AI8)*(tblRepostajes[Vehículo]='00Dashboard'!$F$3)*tblRepostajes[Litros repostados])</f>
        <v>986.48</v>
      </c>
      <c r="AN8" s="41" cm="1">
        <f t="array" ref="AN8">SUMPRODUCT((tblRepostajes[Año]='00Dashboard'!$B$3)*(tblRepostajes[Mes]=AI8)*(tblRepostajes[Vehículo]='00Dashboard'!$F$3)*tblRepostajes[Base imponible (€)])</f>
        <v>1261.3100000000002</v>
      </c>
    </row>
    <row r="9" spans="1:50" x14ac:dyDescent="0.35">
      <c r="M9" s="2">
        <f>L9*('99_Config'!$B$12/100)*SUMIFS(tblPrecioMedioGas[Precio medio (€/L)],tblPrecioMedioGas[Año],'00Dashboard'!$B$3,tblPrecioMedioGas[Mes],'00Dashboard'!$B$1,tblPrecioMedioGas[Vehículo],'00Dashboard'!$F$3)</f>
        <v>0</v>
      </c>
      <c r="P9" s="2" t="str">
        <v>S000133</v>
      </c>
      <c r="Q9" s="1">
        <v>46267</v>
      </c>
      <c r="R9" s="2">
        <v>160</v>
      </c>
      <c r="S9">
        <v>135</v>
      </c>
      <c r="T9" s="2">
        <v>23.980518480492812</v>
      </c>
      <c r="U9" s="2">
        <v>136.0194815195072</v>
      </c>
      <c r="W9">
        <v>2026</v>
      </c>
      <c r="X9">
        <v>7</v>
      </c>
      <c r="Y9" t="s">
        <v>13</v>
      </c>
      <c r="Z9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1.5471066823453086</v>
      </c>
      <c r="AB9">
        <v>2026</v>
      </c>
      <c r="AC9">
        <v>8</v>
      </c>
      <c r="AD9" t="s">
        <v>13</v>
      </c>
      <c r="AE9">
        <f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f>
        <v>972.21000000000015</v>
      </c>
      <c r="AF9">
        <f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f>
        <v>9369</v>
      </c>
      <c r="AG9" s="36">
        <f>IFERROR((tblConsumoMedio[[#This Row],[Litros repostados]]/tblConsumoMedio[[#This Row],[Km recorridos]])*100,"")</f>
        <v>10.376881203970543</v>
      </c>
      <c r="AI9">
        <v>8</v>
      </c>
      <c r="AJ9" s="2" cm="1">
        <f t="array" ref="AJ9">SUMPRODUCT((YEAR(tblServicios[Fecha])='00Dashboard'!$B$3)*(MONTH(tblServicios[Fecha])=AI9)*tblServicios[Base imponible (€)])</f>
        <v>7100</v>
      </c>
      <c r="AK9" t="str">
        <f t="shared" si="0"/>
        <v>agosto</v>
      </c>
      <c r="AL9" s="52" cm="1">
        <f t="array" ref="AL9">IFERROR(_xlfn.XLOOKUP(1,(tblPrecioMedioGas[Año]='00Dashboard'!$B$3)*(tblPrecioMedioGas[Mes]=AI9)*(tblPrecioMedioGas[Vehículo]='00Dashboard'!$F$3),tblPrecioMedioGas[Precio medio (€/L)]),0)</f>
        <v>1.7835652791063656</v>
      </c>
      <c r="AM9" s="38" cm="1">
        <f t="array" ref="AM9">SUMPRODUCT((tblRepostajes[Año]='00Dashboard'!$B$3)*(tblRepostajes[Mes]=AI9)*(tblRepostajes[Vehículo]='00Dashboard'!$F$3)*tblRepostajes[Litros repostados])</f>
        <v>972.21000000000015</v>
      </c>
      <c r="AN9" s="41" cm="1">
        <f t="array" ref="AN9">SUMPRODUCT((tblRepostajes[Año]='00Dashboard'!$B$3)*(tblRepostajes[Mes]=AI9)*(tblRepostajes[Vehículo]='00Dashboard'!$F$3)*tblRepostajes[Base imponible (€)])</f>
        <v>1433.0533057851242</v>
      </c>
    </row>
    <row r="10" spans="1:50" x14ac:dyDescent="0.35">
      <c r="A10" s="45"/>
      <c r="B10" s="38"/>
      <c r="C10" s="38"/>
      <c r="D10" s="38"/>
      <c r="E10" s="38"/>
      <c r="F10" s="26"/>
      <c r="M10" s="2">
        <f>L10*('99_Config'!$B$12/100)*SUMIFS(tblPrecioMedioGas[Precio medio (€/L)],tblPrecioMedioGas[Año],'00Dashboard'!$B$3,tblPrecioMedioGas[Mes],'00Dashboard'!$B$1,tblPrecioMedioGas[Vehículo],'00Dashboard'!$F$3)</f>
        <v>0</v>
      </c>
      <c r="P10" s="2" t="str">
        <v>S000132</v>
      </c>
      <c r="Q10" s="1">
        <v>46267</v>
      </c>
      <c r="R10" s="2">
        <v>80</v>
      </c>
      <c r="S10">
        <v>107.5</v>
      </c>
      <c r="T10" s="2">
        <v>19.095598049281314</v>
      </c>
      <c r="U10" s="2">
        <v>60.904401950718686</v>
      </c>
      <c r="W10">
        <v>2026</v>
      </c>
      <c r="X10">
        <v>8</v>
      </c>
      <c r="Y10" t="s">
        <v>13</v>
      </c>
      <c r="Z10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1.7835652791063656</v>
      </c>
      <c r="AB10" s="38">
        <v>2026</v>
      </c>
      <c r="AC10" s="38">
        <v>9</v>
      </c>
      <c r="AD10" s="38" t="s">
        <v>13</v>
      </c>
      <c r="AE10" s="38">
        <f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f>
        <v>202.81</v>
      </c>
      <c r="AF10" s="38">
        <f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f>
        <v>1948</v>
      </c>
      <c r="AG10" s="68">
        <f>IFERROR((tblConsumoMedio[[#This Row],[Litros repostados]]/tblConsumoMedio[[#This Row],[Km recorridos]])*100,"")</f>
        <v>10.411190965092402</v>
      </c>
      <c r="AH10" s="26"/>
      <c r="AI10" s="38">
        <v>9</v>
      </c>
      <c r="AJ10" s="2" cm="1">
        <f t="array" ref="AJ10">SUMPRODUCT((YEAR(tblServicios[Fecha])='00Dashboard'!$B$3)*(MONTH(tblServicios[Fecha])=AI10)*tblServicios[Base imponible (€)])</f>
        <v>1820</v>
      </c>
      <c r="AK10" t="str">
        <f t="shared" si="0"/>
        <v>septiembre</v>
      </c>
      <c r="AL10" s="52" cm="1">
        <f t="array" ref="AL10">IFERROR(_xlfn.XLOOKUP(1,(tblPrecioMedioGas[Año]='00Dashboard'!$B$3)*(tblPrecioMedioGas[Mes]=AI10)*(tblPrecioMedioGas[Vehículo]='00Dashboard'!$F$3),tblPrecioMedioGas[Precio medio (€/L)]),0)</f>
        <v>1.7061781963414031</v>
      </c>
      <c r="AM10" s="38" cm="1">
        <f t="array" ref="AM10">SUMPRODUCT((tblRepostajes[Año]='00Dashboard'!$B$3)*(tblRepostajes[Mes]=AI10)*(tblRepostajes[Vehículo]='00Dashboard'!$F$3)*tblRepostajes[Litros repostados])</f>
        <v>202.81</v>
      </c>
      <c r="AN10" s="41" cm="1">
        <f t="array" ref="AN10">SUMPRODUCT((tblRepostajes[Año]='00Dashboard'!$B$3)*(tblRepostajes[Mes]=AI10)*(tblRepostajes[Vehículo]='00Dashboard'!$F$3)*tblRepostajes[Base imponible (€)])</f>
        <v>285.97520661157023</v>
      </c>
      <c r="AO10" s="26"/>
      <c r="AP10" s="26"/>
    </row>
    <row r="11" spans="1:50" x14ac:dyDescent="0.35">
      <c r="M11" s="2">
        <f>L11*('99_Config'!$B$12/100)*SUMIFS(tblPrecioMedioGas[Precio medio (€/L)],tblPrecioMedioGas[Año],'00Dashboard'!$B$3,tblPrecioMedioGas[Mes],'00Dashboard'!$B$1,tblPrecioMedioGas[Vehículo],'00Dashboard'!$F$3)</f>
        <v>0</v>
      </c>
      <c r="P11" s="2" t="str">
        <v>S000131</v>
      </c>
      <c r="Q11" s="1">
        <v>46266</v>
      </c>
      <c r="R11" s="2">
        <v>180</v>
      </c>
      <c r="S11">
        <v>200</v>
      </c>
      <c r="T11" s="2">
        <v>35.52669404517453</v>
      </c>
      <c r="U11" s="2">
        <v>144.47330595482546</v>
      </c>
      <c r="W11">
        <v>2026</v>
      </c>
      <c r="X11">
        <v>9</v>
      </c>
      <c r="Y11" t="s">
        <v>13</v>
      </c>
      <c r="Z11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1.7061781963414031</v>
      </c>
      <c r="AI11">
        <v>10</v>
      </c>
      <c r="AJ11" s="2" cm="1">
        <f t="array" ref="AJ11">SUMPRODUCT((YEAR(tblServicios[Fecha])='00Dashboard'!$B$3)*(MONTH(tblServicios[Fecha])=AI11)*tblServicios[Base imponible (€)])</f>
        <v>0</v>
      </c>
      <c r="AK11" t="str">
        <f t="shared" si="0"/>
        <v>octubre</v>
      </c>
      <c r="AL11" s="52" cm="1">
        <f t="array" ref="AL11">IFERROR(_xlfn.XLOOKUP(1,(tblPrecioMedioGas[Año]='00Dashboard'!$B$3)*(tblPrecioMedioGas[Mes]=AI11)*(tblPrecioMedioGas[Vehículo]='00Dashboard'!$F$3),tblPrecioMedioGas[Precio medio (€/L)]),0)</f>
        <v>0</v>
      </c>
      <c r="AM11" s="38" cm="1">
        <f t="array" ref="AM11">SUMPRODUCT((tblRepostajes[Año]='00Dashboard'!$B$3)*(tblRepostajes[Mes]=AI11)*(tblRepostajes[Vehículo]='00Dashboard'!$F$3)*tblRepostajes[Litros repostados])</f>
        <v>0</v>
      </c>
      <c r="AN11" s="41" cm="1">
        <f t="array" ref="AN11">SUMPRODUCT((tblRepostajes[Año]='00Dashboard'!$B$3)*(tblRepostajes[Mes]=AI11)*(tblRepostajes[Vehículo]='00Dashboard'!$F$3)*tblRepostajes[Base imponible (€)])</f>
        <v>0</v>
      </c>
    </row>
    <row r="12" spans="1:50" x14ac:dyDescent="0.35">
      <c r="M12" s="2">
        <f>L12*('99_Config'!$B$12/100)*SUMIFS(tblPrecioMedioGas[Precio medio (€/L)],tblPrecioMedioGas[Año],'00Dashboard'!$B$3,tblPrecioMedioGas[Mes],'00Dashboard'!$B$1,tblPrecioMedioGas[Vehículo],'00Dashboard'!$F$3)</f>
        <v>0</v>
      </c>
      <c r="P12" s="2" t="str">
        <v>S000130</v>
      </c>
      <c r="Q12" s="1">
        <v>46266</v>
      </c>
      <c r="R12" s="2">
        <v>120</v>
      </c>
      <c r="S12">
        <v>85.7</v>
      </c>
      <c r="T12" s="2">
        <v>15.223188398357289</v>
      </c>
      <c r="U12" s="2">
        <v>104.77681160164271</v>
      </c>
      <c r="AI12">
        <v>11</v>
      </c>
      <c r="AJ12" s="2" cm="1">
        <f t="array" ref="AJ12">SUMPRODUCT((YEAR(tblServicios[Fecha])='00Dashboard'!$B$3)*(MONTH(tblServicios[Fecha])=AI12)*tblServicios[Base imponible (€)])</f>
        <v>0</v>
      </c>
      <c r="AK12" t="str">
        <f t="shared" si="0"/>
        <v>noviembre</v>
      </c>
      <c r="AL12" s="52" cm="1">
        <f t="array" ref="AL12">IFERROR(_xlfn.XLOOKUP(1,(tblPrecioMedioGas[Año]='00Dashboard'!$B$3)*(tblPrecioMedioGas[Mes]=AI12)*(tblPrecioMedioGas[Vehículo]='00Dashboard'!$F$3),tblPrecioMedioGas[Precio medio (€/L)]),0)</f>
        <v>0</v>
      </c>
      <c r="AM12" s="38" cm="1">
        <f t="array" ref="AM12">SUMPRODUCT((tblRepostajes[Año]='00Dashboard'!$B$3)*(tblRepostajes[Mes]=AI12)*(tblRepostajes[Vehículo]='00Dashboard'!$F$3)*tblRepostajes[Litros repostados])</f>
        <v>0</v>
      </c>
      <c r="AN12" s="41" cm="1">
        <f t="array" ref="AN12">SUMPRODUCT((tblRepostajes[Año]='00Dashboard'!$B$3)*(tblRepostajes[Mes]=AI12)*(tblRepostajes[Vehículo]='00Dashboard'!$F$3)*tblRepostajes[Base imponible (€)])</f>
        <v>0</v>
      </c>
    </row>
    <row r="13" spans="1:50" x14ac:dyDescent="0.35">
      <c r="A13" t="s">
        <v>249</v>
      </c>
      <c r="B13" t="s">
        <v>3</v>
      </c>
      <c r="C13" t="s">
        <v>304</v>
      </c>
      <c r="D13" t="s">
        <v>305</v>
      </c>
      <c r="E13" t="s">
        <v>306</v>
      </c>
      <c r="F13" t="s">
        <v>41</v>
      </c>
      <c r="M13" s="2">
        <f>L13*('99_Config'!$B$12/100)*SUMIFS(tblPrecioMedioGas[Precio medio (€/L)],tblPrecioMedioGas[Año],'00Dashboard'!$B$3,tblPrecioMedioGas[Mes],'00Dashboard'!$B$1,tblPrecioMedioGas[Vehículo],'00Dashboard'!$F$3)</f>
        <v>0</v>
      </c>
      <c r="P13" s="2" t="str">
        <v>S000129</v>
      </c>
      <c r="Q13" s="1">
        <v>46266</v>
      </c>
      <c r="R13" s="2">
        <v>80</v>
      </c>
      <c r="S13">
        <v>99</v>
      </c>
      <c r="T13" s="2">
        <v>17.585713552361394</v>
      </c>
      <c r="U13" s="2">
        <v>62.414286447638602</v>
      </c>
      <c r="AI13">
        <v>12</v>
      </c>
      <c r="AJ13" s="2" cm="1">
        <f t="array" ref="AJ13">SUMPRODUCT((YEAR(tblServicios[Fecha])='00Dashboard'!$B$3)*(MONTH(tblServicios[Fecha])=AI13)*tblServicios[Base imponible (€)])</f>
        <v>0</v>
      </c>
      <c r="AK13" t="str">
        <f t="shared" si="0"/>
        <v>diciembre</v>
      </c>
      <c r="AL13" s="52" cm="1">
        <f t="array" ref="AL13">IFERROR(_xlfn.XLOOKUP(1,(tblPrecioMedioGas[Año]='00Dashboard'!$B$3)*(tblPrecioMedioGas[Mes]=AI13)*(tblPrecioMedioGas[Vehículo]='00Dashboard'!$F$3),tblPrecioMedioGas[Precio medio (€/L)]),0)</f>
        <v>0</v>
      </c>
      <c r="AM13" s="38" cm="1">
        <f t="array" ref="AM13">SUMPRODUCT((tblRepostajes[Año]='00Dashboard'!$B$3)*(tblRepostajes[Mes]=AI13)*(tblRepostajes[Vehículo]='00Dashboard'!$F$3)*tblRepostajes[Litros repostados])</f>
        <v>0</v>
      </c>
      <c r="AN13" s="41" cm="1">
        <f t="array" ref="AN13">SUMPRODUCT((tblRepostajes[Año]='00Dashboard'!$B$3)*(tblRepostajes[Mes]=AI13)*(tblRepostajes[Vehículo]='00Dashboard'!$F$3)*tblRepostajes[Base imponible (€)])</f>
        <v>0</v>
      </c>
    </row>
    <row r="14" spans="1:50" x14ac:dyDescent="0.35">
      <c r="A14" t="s">
        <v>307</v>
      </c>
      <c r="B14" s="1" t="str">
        <f>'00Dashboard'!$F$3</f>
        <v>Vehículo 01</v>
      </c>
      <c r="C14" cm="1">
        <f t="array" ref="C14">IFERROR(_xlfn.XLOOKUP(1,(tblMantenimientos[Vehículo]='00Dashboard'!$F$3)*(tblMantenimientos[Tipo]="Cambio de aceite"),tblMantenimientos[Km realizacion],"",0,1),"")</f>
        <v>627481</v>
      </c>
      <c r="D14" cm="1">
        <f t="array" ref="D14">IFERROR(_xlfn.XLOOKUP(1,(tblMantenimientos[Vehículo]='00Dashboard'!$F$3)*(tblMantenimientos[Tipo]="Cambio de aceite"),tblMantenimientos[Próximo km]),"")</f>
        <v>642481</v>
      </c>
      <c r="E14">
        <f>IFERROR(D14-_xlfn.MAXIFS(tblRepostajes[Km Odómetro],tblRepostajes[Vehículo],'00Dashboard'!$F$3),"")</f>
        <v>5100</v>
      </c>
      <c r="M14" s="2">
        <f>L14*('99_Config'!$B$12/100)*SUMIFS(tblPrecioMedioGas[Precio medio (€/L)],tblPrecioMedioGas[Año],'00Dashboard'!$B$3,tblPrecioMedioGas[Mes],'00Dashboard'!$B$1,tblPrecioMedioGas[Vehículo],'00Dashboard'!$F$3)</f>
        <v>0</v>
      </c>
      <c r="AC14" s="1"/>
    </row>
    <row r="15" spans="1:50" x14ac:dyDescent="0.35">
      <c r="A15" t="s">
        <v>254</v>
      </c>
      <c r="B15" s="39" t="str">
        <f>'00Dashboard'!$F$3</f>
        <v>Vehículo 01</v>
      </c>
      <c r="C15" s="1" cm="1">
        <f t="array" ref="C15">IFERROR(_xlfn.XLOOKUP(1,(tblMantenimientos[Vehículo]='00Dashboard'!$F$3)*(tblMantenimientos[Tipo]="ITV"),tblMantenimientos[Fecha realización]),"")</f>
        <v>46109</v>
      </c>
      <c r="D15" s="1" cm="1">
        <f t="array" ref="D15">IFERROR(_xlfn.XLOOKUP(1,(tblMantenimientos[Vehículo]='00Dashboard'!$F$3)*(tblMantenimientos[Tipo]="ITV"),tblMantenimientos[Próxima fecha]),"")</f>
        <v>46293</v>
      </c>
      <c r="E15">
        <f ca="1">IF(D15="","",D15-TODAY())</f>
        <v>20</v>
      </c>
      <c r="M15" s="2">
        <f>L15*('99_Config'!$B$12/100)*SUMIFS(tblPrecioMedioGas[Precio medio (€/L)],tblPrecioMedioGas[Año],'00Dashboard'!$B$3,tblPrecioMedioGas[Mes],'00Dashboard'!$B$1,tblPrecioMedioGas[Vehículo],'00Dashboard'!$F$3)</f>
        <v>0</v>
      </c>
    </row>
    <row r="16" spans="1:50" x14ac:dyDescent="0.35">
      <c r="A16" t="s">
        <v>259</v>
      </c>
      <c r="B16" s="39" t="str">
        <f>'00Dashboard'!$F$3</f>
        <v>Vehículo 01</v>
      </c>
      <c r="C16" s="1" cm="1">
        <f t="array" ref="C16">IFERROR(_xlfn.XLOOKUP(1,(tblMantenimientos[Vehículo]='00Dashboard'!$F$3)*(tblMantenimientos[Tipo]="Seguro"),tblMantenimientos[Fecha realización]),"")</f>
        <v>46188</v>
      </c>
      <c r="D16" s="1" cm="1">
        <f t="array" ref="D16">IFERROR(_xlfn.XLOOKUP(1,(tblMantenimientos[Vehículo]='00Dashboard'!$F$3)*(tblMantenimientos[Tipo]="Seguro"),tblMantenimientos[Próxima fecha]),"")</f>
        <v>46296</v>
      </c>
      <c r="E16">
        <f ca="1">IF(D16="","",D16-TODAY())</f>
        <v>23</v>
      </c>
      <c r="M16" s="2">
        <f>L16*('99_Config'!$B$12/100)*SUMIFS(tblPrecioMedioGas[Precio medio (€/L)],tblPrecioMedioGas[Año],'00Dashboard'!$B$3,tblPrecioMedioGas[Mes],'00Dashboard'!$B$1,tblPrecioMedioGas[Vehículo],'00Dashboard'!$F$3)</f>
        <v>0</v>
      </c>
    </row>
    <row r="17" spans="1:13" x14ac:dyDescent="0.35">
      <c r="A17" t="s">
        <v>308</v>
      </c>
      <c r="B17" s="39" t="str">
        <f>'00Dashboard'!$F$3</f>
        <v>Vehículo 01</v>
      </c>
      <c r="M17" s="2">
        <f>L17*('99_Config'!$B$12/100)*SUMIFS(tblPrecioMedioGas[Precio medio (€/L)],tblPrecioMedioGas[Año],'00Dashboard'!$B$3,tblPrecioMedioGas[Mes],'00Dashboard'!$B$1,tblPrecioMedioGas[Vehículo],'00Dashboard'!$F$3)</f>
        <v>0</v>
      </c>
    </row>
  </sheetData>
  <mergeCells count="5">
    <mergeCell ref="A1:H1"/>
    <mergeCell ref="W1:AG1"/>
    <mergeCell ref="W5:Z5"/>
    <mergeCell ref="AB5:AG5"/>
    <mergeCell ref="AP5:AX5"/>
  </mergeCells>
  <phoneticPr fontId="2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DC92EE5-B503-46DE-89D1-F045B6EE81CD}">
          <x14:formula1>
            <xm:f>'99_Listas'!$Q$2:$Q$6</xm:f>
          </x14:formula1>
          <xm:sqref>W7:W11 AB7:AB10</xm:sqref>
        </x14:dataValidation>
        <x14:dataValidation type="list" allowBlank="1" showInputMessage="1" showErrorMessage="1" xr:uid="{FBC24AF0-890F-423E-9178-9E018BBCF5B0}">
          <x14:formula1>
            <xm:f>'99_Listas'!$S$2:$S$14</xm:f>
          </x14:formula1>
          <xm:sqref>X7:X11 AC7:AC10</xm:sqref>
        </x14:dataValidation>
        <x14:dataValidation type="list" allowBlank="1" showInputMessage="1" showErrorMessage="1" xr:uid="{7DFD271C-06B8-4642-A222-78AC486B68E2}">
          <x14:formula1>
            <xm:f>'99_Listas'!$C$2:$C$6</xm:f>
          </x14:formula1>
          <xm:sqref>Y7:Y11 AD7:AD10</xm:sqref>
        </x14:dataValidation>
        <x14:dataValidation type="list" allowBlank="1" showInputMessage="1" showErrorMessage="1" xr:uid="{89517CC9-F486-49EC-B7DB-8E30C692AB18}">
          <x14:formula1>
            <xm:f>'99_Listas'!$B$2:$B$9</xm:f>
          </x14:formula1>
          <xm:sqref>A3:A7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1575-1DB8-485E-8F7E-7C8CB88B1990}">
  <sheetPr codeName="Hoja2"/>
  <dimension ref="A1:AF47"/>
  <sheetViews>
    <sheetView tabSelected="1" zoomScale="84" workbookViewId="0">
      <selection activeCell="E13" sqref="E13"/>
    </sheetView>
  </sheetViews>
  <sheetFormatPr baseColWidth="10" defaultColWidth="8.7265625" defaultRowHeight="14.5" x14ac:dyDescent="0.35"/>
  <cols>
    <col min="1" max="1" width="14.1796875" bestFit="1" customWidth="1"/>
    <col min="2" max="2" width="11.1796875" bestFit="1" customWidth="1"/>
    <col min="3" max="3" width="20.1796875" bestFit="1" customWidth="1"/>
    <col min="4" max="4" width="25.26953125" bestFit="1" customWidth="1"/>
    <col min="5" max="5" width="12.54296875" bestFit="1" customWidth="1"/>
    <col min="6" max="6" width="20.81640625" bestFit="1" customWidth="1"/>
    <col min="7" max="7" width="18.54296875" bestFit="1" customWidth="1"/>
    <col min="8" max="8" width="15.54296875" bestFit="1" customWidth="1"/>
    <col min="9" max="9" width="19.26953125" bestFit="1" customWidth="1"/>
    <col min="10" max="10" width="8.453125" bestFit="1" customWidth="1"/>
    <col min="11" max="11" width="9.1796875" style="2" bestFit="1" customWidth="1"/>
    <col min="12" max="12" width="17.81640625" bestFit="1" customWidth="1"/>
    <col min="13" max="13" width="15.7265625" bestFit="1" customWidth="1"/>
    <col min="14" max="14" width="15.1796875" customWidth="1"/>
    <col min="15" max="15" width="7.1796875" hidden="1" customWidth="1"/>
    <col min="16" max="16" width="7.453125" hidden="1" customWidth="1"/>
    <col min="17" max="17" width="12.1796875" hidden="1" customWidth="1"/>
    <col min="18" max="18" width="8.81640625" hidden="1" customWidth="1"/>
    <col min="19" max="19" width="24.54296875" bestFit="1" customWidth="1"/>
    <col min="20" max="20" width="21.453125" bestFit="1" customWidth="1"/>
    <col min="21" max="21" width="16.453125" bestFit="1" customWidth="1"/>
    <col min="27" max="27" width="19.54296875" bestFit="1" customWidth="1"/>
  </cols>
  <sheetData>
    <row r="1" spans="1:32" x14ac:dyDescent="0.35">
      <c r="A1" t="s">
        <v>309</v>
      </c>
      <c r="B1" t="s">
        <v>1</v>
      </c>
      <c r="C1" t="s">
        <v>3</v>
      </c>
      <c r="D1" t="s">
        <v>4</v>
      </c>
      <c r="E1" t="s">
        <v>310</v>
      </c>
      <c r="F1" t="s">
        <v>311</v>
      </c>
      <c r="G1" t="s">
        <v>288</v>
      </c>
      <c r="H1" t="s">
        <v>312</v>
      </c>
      <c r="I1" t="s">
        <v>40</v>
      </c>
      <c r="J1" t="s">
        <v>313</v>
      </c>
      <c r="K1" s="2" t="s">
        <v>314</v>
      </c>
      <c r="L1" t="s">
        <v>315</v>
      </c>
      <c r="M1" t="s">
        <v>316</v>
      </c>
      <c r="N1" t="s">
        <v>317</v>
      </c>
      <c r="O1" t="s">
        <v>8</v>
      </c>
      <c r="P1" t="s">
        <v>9</v>
      </c>
      <c r="Q1" t="s">
        <v>42</v>
      </c>
      <c r="R1" t="s">
        <v>318</v>
      </c>
      <c r="S1" t="s">
        <v>319</v>
      </c>
      <c r="T1" t="s">
        <v>320</v>
      </c>
      <c r="U1" t="s">
        <v>44</v>
      </c>
    </row>
    <row r="2" spans="1:32" x14ac:dyDescent="0.35">
      <c r="A2" t="s">
        <v>795</v>
      </c>
      <c r="B2" s="1">
        <v>46271</v>
      </c>
      <c r="C2" t="s">
        <v>13</v>
      </c>
      <c r="D2" t="s">
        <v>14</v>
      </c>
      <c r="E2" t="s">
        <v>322</v>
      </c>
      <c r="F2" t="s">
        <v>323</v>
      </c>
      <c r="G2">
        <v>58.24</v>
      </c>
      <c r="H2" s="25">
        <f>tblRepostajes[[#This Row],[Importe total (€)]]/tblRepostajes[[#This Row],[Litros repostados]]</f>
        <v>1.7170329670329669</v>
      </c>
      <c r="I2" s="2">
        <f>100/1.21</f>
        <v>82.644628099173559</v>
      </c>
      <c r="J2" s="3">
        <v>0.21</v>
      </c>
      <c r="K2" s="2">
        <f>tblRepostajes[[#This Row],[Base imponible (€)]]*tblRepostajes[[#This Row],[% IVA]]</f>
        <v>17.355371900826448</v>
      </c>
      <c r="L2" s="2">
        <v>100</v>
      </c>
      <c r="M2">
        <v>637381</v>
      </c>
      <c r="N2" t="s">
        <v>324</v>
      </c>
      <c r="O2">
        <f>YEAR(tblRepostajes[[#This Row],[Fecha]])</f>
        <v>2026</v>
      </c>
      <c r="P2">
        <f>MONTH(tblRepostajes[[#This Row],[Fecha]])</f>
        <v>9</v>
      </c>
      <c r="Q2">
        <f>ROUNDUP(MONTH(tblRepostajes[[#This Row],[Fecha]])/3,0)</f>
        <v>3</v>
      </c>
      <c r="R2">
        <f>VALUE(RIGHT(tblRepostajes[[#This Row],[ID Repostaje]],6))</f>
        <v>46</v>
      </c>
      <c r="S2" cm="1">
        <f t="array" ref="S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585</v>
      </c>
      <c r="T2" s="36">
        <f>IF(OR(tblRepostajes[[#This Row],[Km desde ult. Repostaje]]="",tblRepostajes[[#This Row],[Km desde ult. Repostaje]]=0),"",(tblRepostajes[[#This Row],[Litros repostados]]/tblRepostajes[[#This Row],[Km desde ult. Repostaje]])*100)</f>
        <v>9.9555555555555557</v>
      </c>
      <c r="U2" t="s">
        <v>325</v>
      </c>
      <c r="AF2" s="25"/>
    </row>
    <row r="3" spans="1:32" x14ac:dyDescent="0.35">
      <c r="A3" t="s">
        <v>794</v>
      </c>
      <c r="B3" s="1">
        <v>46269</v>
      </c>
      <c r="C3" t="s">
        <v>13</v>
      </c>
      <c r="D3" t="s">
        <v>14</v>
      </c>
      <c r="E3" t="s">
        <v>322</v>
      </c>
      <c r="F3" t="s">
        <v>323</v>
      </c>
      <c r="G3">
        <v>71.069999999999993</v>
      </c>
      <c r="H3" s="25">
        <f>tblRepostajes[[#This Row],[Importe total (€)]]/tblRepostajes[[#This Row],[Litros repostados]]</f>
        <v>1.7170395384831858</v>
      </c>
      <c r="I3" s="2">
        <f>122.03/1.21</f>
        <v>100.85123966942149</v>
      </c>
      <c r="J3" s="3">
        <v>0.21</v>
      </c>
      <c r="K3" s="2">
        <f>tblRepostajes[[#This Row],[Base imponible (€)]]*tblRepostajes[[#This Row],[% IVA]]</f>
        <v>21.178760330578513</v>
      </c>
      <c r="L3" s="2">
        <f>122.03</f>
        <v>122.03</v>
      </c>
      <c r="M3">
        <v>636796</v>
      </c>
      <c r="N3" t="s">
        <v>324</v>
      </c>
      <c r="O3">
        <f>YEAR(tblRepostajes[[#This Row],[Fecha]])</f>
        <v>2026</v>
      </c>
      <c r="P3">
        <f>MONTH(tblRepostajes[[#This Row],[Fecha]])</f>
        <v>9</v>
      </c>
      <c r="Q3">
        <f>ROUNDUP(MONTH(tblRepostajes[[#This Row],[Fecha]])/3,0)</f>
        <v>3</v>
      </c>
      <c r="R3">
        <f>VALUE(RIGHT(tblRepostajes[[#This Row],[ID Repostaje]],6))</f>
        <v>45</v>
      </c>
      <c r="S3" cm="1">
        <f t="array" ref="S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681</v>
      </c>
      <c r="T3" s="36">
        <f>IF(OR(tblRepostajes[[#This Row],[Km desde ult. Repostaje]]="",tblRepostajes[[#This Row],[Km desde ult. Repostaje]]=0),"",(tblRepostajes[[#This Row],[Litros repostados]]/tblRepostajes[[#This Row],[Km desde ult. Repostaje]])*100)</f>
        <v>10.43612334801762</v>
      </c>
      <c r="U3" t="s">
        <v>325</v>
      </c>
    </row>
    <row r="4" spans="1:32" x14ac:dyDescent="0.35">
      <c r="A4" t="s">
        <v>321</v>
      </c>
      <c r="B4" s="1">
        <v>46267</v>
      </c>
      <c r="C4" t="s">
        <v>13</v>
      </c>
      <c r="D4" t="s">
        <v>14</v>
      </c>
      <c r="E4" t="s">
        <v>322</v>
      </c>
      <c r="F4" t="s">
        <v>323</v>
      </c>
      <c r="G4">
        <v>73.5</v>
      </c>
      <c r="H4" s="25">
        <f>tblRepostajes[[#This Row],[Importe total (€)]]/tblRepostajes[[#This Row],[Litros repostados]]</f>
        <v>1.6870748299319729</v>
      </c>
      <c r="I4" s="2">
        <f>124/1.21</f>
        <v>102.47933884297521</v>
      </c>
      <c r="J4" s="3">
        <v>0.21</v>
      </c>
      <c r="K4" s="2">
        <f>tblRepostajes[[#This Row],[Base imponible (€)]]*tblRepostajes[[#This Row],[% IVA]]</f>
        <v>21.520661157024794</v>
      </c>
      <c r="L4" s="2">
        <v>124</v>
      </c>
      <c r="M4">
        <v>636115</v>
      </c>
      <c r="N4" t="s">
        <v>324</v>
      </c>
      <c r="O4">
        <f>YEAR(tblRepostajes[[#This Row],[Fecha]])</f>
        <v>2026</v>
      </c>
      <c r="P4">
        <f>MONTH(tblRepostajes[[#This Row],[Fecha]])</f>
        <v>9</v>
      </c>
      <c r="Q4">
        <f>ROUNDUP(MONTH(tblRepostajes[[#This Row],[Fecha]])/3,0)</f>
        <v>3</v>
      </c>
      <c r="R4">
        <f>VALUE(RIGHT(tblRepostajes[[#This Row],[ID Repostaje]],6))</f>
        <v>44</v>
      </c>
      <c r="S4" cm="1">
        <f t="array" ref="S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682</v>
      </c>
      <c r="T4" s="36">
        <f>IF(OR(tblRepostajes[[#This Row],[Km desde ult. Repostaje]]="",tblRepostajes[[#This Row],[Km desde ult. Repostaje]]=0),"",(tblRepostajes[[#This Row],[Litros repostados]]/tblRepostajes[[#This Row],[Km desde ult. Repostaje]])*100)</f>
        <v>10.777126099706745</v>
      </c>
      <c r="U4" t="s">
        <v>325</v>
      </c>
      <c r="AD4" s="24"/>
    </row>
    <row r="5" spans="1:32" x14ac:dyDescent="0.35">
      <c r="A5" t="s">
        <v>326</v>
      </c>
      <c r="B5" s="1">
        <v>46265</v>
      </c>
      <c r="C5" t="s">
        <v>13</v>
      </c>
      <c r="D5" t="s">
        <v>17</v>
      </c>
      <c r="E5" t="s">
        <v>327</v>
      </c>
      <c r="F5" t="s">
        <v>323</v>
      </c>
      <c r="G5">
        <v>71.88</v>
      </c>
      <c r="H5" s="25">
        <f>tblRepostajes[[#This Row],[Importe total (€)]]/tblRepostajes[[#This Row],[Litros repostados]]</f>
        <v>1.7390094602114636</v>
      </c>
      <c r="I5" s="2">
        <v>103.31</v>
      </c>
      <c r="J5" s="3">
        <v>0.21</v>
      </c>
      <c r="K5" s="2">
        <v>21.69</v>
      </c>
      <c r="L5" s="2">
        <v>125</v>
      </c>
      <c r="M5">
        <v>635433</v>
      </c>
      <c r="N5" t="s">
        <v>328</v>
      </c>
      <c r="O5">
        <f>YEAR(tblRepostajes[[#This Row],[Fecha]])</f>
        <v>2026</v>
      </c>
      <c r="P5">
        <f>MONTH(tblRepostajes[[#This Row],[Fecha]])</f>
        <v>8</v>
      </c>
      <c r="Q5">
        <f>ROUNDUP(MONTH(tblRepostajes[[#This Row],[Fecha]])/3,0)</f>
        <v>3</v>
      </c>
      <c r="R5">
        <f>VALUE(RIGHT(tblRepostajes[[#This Row],[ID Repostaje]],6))</f>
        <v>43</v>
      </c>
      <c r="S5" cm="1">
        <f t="array" ref="S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649</v>
      </c>
      <c r="T5" s="36">
        <f>IF(OR(tblRepostajes[[#This Row],[Km desde ult. Repostaje]]="",tblRepostajes[[#This Row],[Km desde ult. Repostaje]]=0),"",(tblRepostajes[[#This Row],[Litros repostados]]/tblRepostajes[[#This Row],[Km desde ult. Repostaje]])*100)</f>
        <v>11.075500770416022</v>
      </c>
      <c r="U5" t="s">
        <v>325</v>
      </c>
    </row>
    <row r="6" spans="1:32" x14ac:dyDescent="0.35">
      <c r="A6" t="s">
        <v>329</v>
      </c>
      <c r="B6" s="1">
        <v>46262</v>
      </c>
      <c r="C6" t="s">
        <v>13</v>
      </c>
      <c r="D6" t="s">
        <v>14</v>
      </c>
      <c r="E6" t="s">
        <v>322</v>
      </c>
      <c r="F6" t="s">
        <v>323</v>
      </c>
      <c r="G6">
        <v>66.7</v>
      </c>
      <c r="H6" s="25">
        <f>tblRepostajes[[#This Row],[Importe total (€)]]/tblRepostajes[[#This Row],[Litros repostados]]</f>
        <v>1.8590704647676162</v>
      </c>
      <c r="I6" s="2">
        <f>tblRepostajes[[#This Row],[Importe total (€)]]/1.21</f>
        <v>102.47933884297521</v>
      </c>
      <c r="J6" s="3">
        <v>0.21</v>
      </c>
      <c r="K6" s="2">
        <f>tblRepostajes[[#This Row],[Base imponible (€)]]*tblRepostajes[[#This Row],[% IVA]]</f>
        <v>21.520661157024794</v>
      </c>
      <c r="L6" s="2">
        <v>124</v>
      </c>
      <c r="M6">
        <v>634784</v>
      </c>
      <c r="N6" t="s">
        <v>324</v>
      </c>
      <c r="O6">
        <f>YEAR(tblRepostajes[[#This Row],[Fecha]])</f>
        <v>2026</v>
      </c>
      <c r="P6">
        <f>MONTH(tblRepostajes[[#This Row],[Fecha]])</f>
        <v>8</v>
      </c>
      <c r="Q6">
        <f>ROUNDUP(MONTH(tblRepostajes[[#This Row],[Fecha]])/3,0)</f>
        <v>3</v>
      </c>
      <c r="R6">
        <f>VALUE(RIGHT(tblRepostajes[[#This Row],[ID Repostaje]],6))</f>
        <v>42</v>
      </c>
      <c r="S6" cm="1">
        <f t="array" ref="S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801</v>
      </c>
      <c r="T6" s="36">
        <f>IF(OR(tblRepostajes[[#This Row],[Km desde ult. Repostaje]]="",tblRepostajes[[#This Row],[Km desde ult. Repostaje]]=0),"",(tblRepostajes[[#This Row],[Litros repostados]]/tblRepostajes[[#This Row],[Km desde ult. Repostaje]])*100)</f>
        <v>8.3270911360799005</v>
      </c>
      <c r="U6" t="s">
        <v>325</v>
      </c>
    </row>
    <row r="7" spans="1:32" x14ac:dyDescent="0.35">
      <c r="A7" t="s">
        <v>330</v>
      </c>
      <c r="B7" s="1">
        <v>46261</v>
      </c>
      <c r="C7" t="s">
        <v>13</v>
      </c>
      <c r="D7" t="s">
        <v>14</v>
      </c>
      <c r="E7" t="s">
        <v>322</v>
      </c>
      <c r="F7" t="s">
        <v>323</v>
      </c>
      <c r="G7">
        <v>66.7</v>
      </c>
      <c r="H7" s="25">
        <f>tblRepostajes[[#This Row],[Importe total (€)]]/tblRepostajes[[#This Row],[Litros repostados]]</f>
        <v>1.8590704647676162</v>
      </c>
      <c r="I7" s="2">
        <f>tblRepostajes[[#This Row],[Importe total (€)]]/1.21</f>
        <v>102.47933884297521</v>
      </c>
      <c r="J7" s="3">
        <v>0.21</v>
      </c>
      <c r="K7" s="2">
        <f>tblRepostajes[[#This Row],[Base imponible (€)]]*tblRepostajes[[#This Row],[% IVA]]</f>
        <v>21.520661157024794</v>
      </c>
      <c r="L7" s="2">
        <v>124</v>
      </c>
      <c r="M7">
        <v>633983</v>
      </c>
      <c r="N7" t="s">
        <v>324</v>
      </c>
      <c r="O7">
        <f>YEAR(tblRepostajes[[#This Row],[Fecha]])</f>
        <v>2026</v>
      </c>
      <c r="P7">
        <f>MONTH(tblRepostajes[[#This Row],[Fecha]])</f>
        <v>8</v>
      </c>
      <c r="Q7">
        <f>ROUNDUP(MONTH(tblRepostajes[[#This Row],[Fecha]])/3,0)</f>
        <v>3</v>
      </c>
      <c r="R7">
        <f>VALUE(RIGHT(tblRepostajes[[#This Row],[ID Repostaje]],6))</f>
        <v>41</v>
      </c>
      <c r="S7" cm="1">
        <f t="array" ref="S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632</v>
      </c>
      <c r="T7" s="36">
        <f>IF(OR(tblRepostajes[[#This Row],[Km desde ult. Repostaje]]="",tblRepostajes[[#This Row],[Km desde ult. Repostaje]]=0),"",(tblRepostajes[[#This Row],[Litros repostados]]/tblRepostajes[[#This Row],[Km desde ult. Repostaje]])*100)</f>
        <v>10.553797468354432</v>
      </c>
      <c r="U7" t="s">
        <v>325</v>
      </c>
    </row>
    <row r="8" spans="1:32" x14ac:dyDescent="0.35">
      <c r="A8" t="s">
        <v>331</v>
      </c>
      <c r="B8" s="1">
        <v>46259</v>
      </c>
      <c r="C8" t="s">
        <v>13</v>
      </c>
      <c r="D8" t="s">
        <v>14</v>
      </c>
      <c r="E8" t="s">
        <v>322</v>
      </c>
      <c r="F8" t="s">
        <v>323</v>
      </c>
      <c r="G8">
        <v>69.31</v>
      </c>
      <c r="H8" s="25">
        <f>tblRepostajes[[#This Row],[Importe total (€)]]/tblRepostajes[[#This Row],[Litros repostados]]</f>
        <v>1.7890636271822247</v>
      </c>
      <c r="I8" s="2">
        <f>tblRepostajes[[#This Row],[Importe total (€)]]/1.21</f>
        <v>102.47933884297521</v>
      </c>
      <c r="J8" s="3">
        <v>0.21</v>
      </c>
      <c r="K8" s="2">
        <f>tblRepostajes[[#This Row],[Base imponible (€)]]*tblRepostajes[[#This Row],[% IVA]]</f>
        <v>21.520661157024794</v>
      </c>
      <c r="L8" s="2">
        <v>124</v>
      </c>
      <c r="M8">
        <v>633351</v>
      </c>
      <c r="N8" t="s">
        <v>324</v>
      </c>
      <c r="O8">
        <f>YEAR(tblRepostajes[[#This Row],[Fecha]])</f>
        <v>2026</v>
      </c>
      <c r="P8">
        <f>MONTH(tblRepostajes[[#This Row],[Fecha]])</f>
        <v>8</v>
      </c>
      <c r="Q8">
        <f>ROUNDUP(MONTH(tblRepostajes[[#This Row],[Fecha]])/3,0)</f>
        <v>3</v>
      </c>
      <c r="R8">
        <f>VALUE(RIGHT(tblRepostajes[[#This Row],[ID Repostaje]],6))</f>
        <v>40</v>
      </c>
      <c r="S8" cm="1">
        <f t="array" ref="S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689</v>
      </c>
      <c r="T8" s="36">
        <f>IF(OR(tblRepostajes[[#This Row],[Km desde ult. Repostaje]]="",tblRepostajes[[#This Row],[Km desde ult. Repostaje]]=0),"",(tblRepostajes[[#This Row],[Litros repostados]]/tblRepostajes[[#This Row],[Km desde ult. Repostaje]])*100)</f>
        <v>10.059506531204644</v>
      </c>
      <c r="U8" t="s">
        <v>325</v>
      </c>
    </row>
    <row r="9" spans="1:32" x14ac:dyDescent="0.35">
      <c r="A9" t="s">
        <v>332</v>
      </c>
      <c r="B9" s="1">
        <v>46258</v>
      </c>
      <c r="C9" t="s">
        <v>13</v>
      </c>
      <c r="D9" t="s">
        <v>14</v>
      </c>
      <c r="E9" t="s">
        <v>322</v>
      </c>
      <c r="F9" t="s">
        <v>323</v>
      </c>
      <c r="G9">
        <v>69.31</v>
      </c>
      <c r="H9" s="25">
        <f>tblRepostajes[[#This Row],[Importe total (€)]]/tblRepostajes[[#This Row],[Litros repostados]]</f>
        <v>1.7890636271822247</v>
      </c>
      <c r="I9" s="2">
        <f>tblRepostajes[[#This Row],[Importe total (€)]]/1.21</f>
        <v>102.47933884297521</v>
      </c>
      <c r="J9" s="3">
        <v>0.21</v>
      </c>
      <c r="K9" s="2">
        <f>tblRepostajes[[#This Row],[Base imponible (€)]]*tblRepostajes[[#This Row],[% IVA]]</f>
        <v>21.520661157024794</v>
      </c>
      <c r="L9" s="2">
        <v>124</v>
      </c>
      <c r="M9">
        <v>632662</v>
      </c>
      <c r="N9" t="s">
        <v>324</v>
      </c>
      <c r="O9">
        <f>YEAR(tblRepostajes[[#This Row],[Fecha]])</f>
        <v>2026</v>
      </c>
      <c r="P9">
        <f>MONTH(tblRepostajes[[#This Row],[Fecha]])</f>
        <v>8</v>
      </c>
      <c r="Q9">
        <f>ROUNDUP(MONTH(tblRepostajes[[#This Row],[Fecha]])/3,0)</f>
        <v>3</v>
      </c>
      <c r="R9">
        <f>VALUE(RIGHT(tblRepostajes[[#This Row],[ID Repostaje]],6))</f>
        <v>39</v>
      </c>
      <c r="S9" s="38" cm="1">
        <f t="array" ref="S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657</v>
      </c>
      <c r="T9" s="36">
        <f>IF(OR(tblRepostajes[[#This Row],[Km desde ult. Repostaje]]="",tblRepostajes[[#This Row],[Km desde ult. Repostaje]]=0),"",(tblRepostajes[[#This Row],[Litros repostados]]/tblRepostajes[[#This Row],[Km desde ult. Repostaje]])*100)</f>
        <v>10.549467275494672</v>
      </c>
      <c r="U9" t="s">
        <v>325</v>
      </c>
    </row>
    <row r="10" spans="1:32" x14ac:dyDescent="0.35">
      <c r="A10" t="s">
        <v>333</v>
      </c>
      <c r="B10" s="1">
        <v>46258</v>
      </c>
      <c r="C10" t="s">
        <v>334</v>
      </c>
      <c r="D10" t="s">
        <v>14</v>
      </c>
      <c r="E10" t="s">
        <v>322</v>
      </c>
      <c r="F10" t="s">
        <v>323</v>
      </c>
      <c r="G10">
        <v>16.77</v>
      </c>
      <c r="H10" s="25">
        <f>tblRepostajes[[#This Row],[Importe total (€)]]/tblRepostajes[[#This Row],[Litros repostados]]</f>
        <v>1.7889087656529516</v>
      </c>
      <c r="I10" s="2">
        <f>tblRepostajes[[#This Row],[Importe total (€)]]/1.21</f>
        <v>24.793388429752067</v>
      </c>
      <c r="J10" s="3">
        <v>0.21</v>
      </c>
      <c r="K10" s="2">
        <f>tblRepostajes[[#This Row],[Base imponible (€)]]*tblRepostajes[[#This Row],[% IVA]]</f>
        <v>5.2066115702479339</v>
      </c>
      <c r="L10" s="2">
        <v>30</v>
      </c>
      <c r="N10" t="s">
        <v>328</v>
      </c>
      <c r="O10">
        <f>YEAR(tblRepostajes[[#This Row],[Fecha]])</f>
        <v>2026</v>
      </c>
      <c r="P10">
        <f>MONTH(tblRepostajes[[#This Row],[Fecha]])</f>
        <v>8</v>
      </c>
      <c r="Q10">
        <f>ROUNDUP(MONTH(tblRepostajes[[#This Row],[Fecha]])/3,0)</f>
        <v>3</v>
      </c>
      <c r="R10">
        <f>VALUE(RIGHT(tblRepostajes[[#This Row],[ID Repostaje]],6))</f>
        <v>38</v>
      </c>
      <c r="S10" s="38" t="str" cm="1">
        <f t="array" ref="S1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/>
      </c>
      <c r="T10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10" t="s">
        <v>335</v>
      </c>
    </row>
    <row r="11" spans="1:32" x14ac:dyDescent="0.35">
      <c r="A11" t="s">
        <v>336</v>
      </c>
      <c r="B11" s="1">
        <v>46256</v>
      </c>
      <c r="C11" t="s">
        <v>13</v>
      </c>
      <c r="D11" t="s">
        <v>14</v>
      </c>
      <c r="E11" t="s">
        <v>322</v>
      </c>
      <c r="F11" t="s">
        <v>323</v>
      </c>
      <c r="G11">
        <v>70.09</v>
      </c>
      <c r="H11" s="25">
        <f>tblRepostajes[[#This Row],[Importe total (€)]]/tblRepostajes[[#This Row],[Litros repostados]]</f>
        <v>1.7691539449279496</v>
      </c>
      <c r="I11" s="2">
        <f>124/1.21</f>
        <v>102.47933884297521</v>
      </c>
      <c r="J11" s="3">
        <v>0.21</v>
      </c>
      <c r="K11" s="2">
        <f>tblRepostajes[[#This Row],[Base imponible (€)]]*tblRepostajes[[#This Row],[% IVA]]</f>
        <v>21.520661157024794</v>
      </c>
      <c r="L11" s="2">
        <v>124</v>
      </c>
      <c r="M11">
        <v>632005</v>
      </c>
      <c r="N11" t="s">
        <v>324</v>
      </c>
      <c r="O11">
        <f>YEAR(tblRepostajes[[#This Row],[Fecha]])</f>
        <v>2026</v>
      </c>
      <c r="P11">
        <f>MONTH(tblRepostajes[[#This Row],[Fecha]])</f>
        <v>8</v>
      </c>
      <c r="Q11">
        <f>ROUNDUP(MONTH(tblRepostajes[[#This Row],[Fecha]])/3,0)</f>
        <v>3</v>
      </c>
      <c r="R11">
        <f>VALUE(RIGHT(tblRepostajes[[#This Row],[ID Repostaje]],6))</f>
        <v>37</v>
      </c>
      <c r="S11" s="38" cm="1">
        <f t="array" ref="S1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711</v>
      </c>
      <c r="T11" s="36">
        <f>IF(OR(tblRepostajes[[#This Row],[Km desde ult. Repostaje]]="",tblRepostajes[[#This Row],[Km desde ult. Repostaje]]=0),"",(tblRepostajes[[#This Row],[Litros repostados]]/tblRepostajes[[#This Row],[Km desde ult. Repostaje]])*100)</f>
        <v>9.8579465541490858</v>
      </c>
      <c r="U11" t="s">
        <v>325</v>
      </c>
    </row>
    <row r="12" spans="1:32" x14ac:dyDescent="0.35">
      <c r="A12" t="s">
        <v>337</v>
      </c>
      <c r="B12" s="1">
        <v>46254</v>
      </c>
      <c r="C12" t="s">
        <v>13</v>
      </c>
      <c r="D12" t="s">
        <v>14</v>
      </c>
      <c r="E12" t="s">
        <v>322</v>
      </c>
      <c r="F12" t="s">
        <v>323</v>
      </c>
      <c r="G12">
        <v>65.989999999999995</v>
      </c>
      <c r="H12" s="25">
        <f>tblRepostajes[[#This Row],[Importe total (€)]]/tblRepostajes[[#This Row],[Litros repostados]]</f>
        <v>1.8790725867555691</v>
      </c>
      <c r="I12" s="2">
        <f>tblRepostajes[[#This Row],[Importe total (€)]]/1.21</f>
        <v>102.47933884297521</v>
      </c>
      <c r="J12" s="3">
        <v>0.21</v>
      </c>
      <c r="K12" s="2">
        <f>tblRepostajes[[#This Row],[Base imponible (€)]]*tblRepostajes[[#This Row],[% IVA]]</f>
        <v>21.520661157024794</v>
      </c>
      <c r="L12" s="2">
        <v>124</v>
      </c>
      <c r="M12">
        <v>631294</v>
      </c>
      <c r="N12" t="s">
        <v>324</v>
      </c>
      <c r="O12">
        <f>YEAR(tblRepostajes[[#This Row],[Fecha]])</f>
        <v>2026</v>
      </c>
      <c r="P12">
        <f>MONTH(tblRepostajes[[#This Row],[Fecha]])</f>
        <v>8</v>
      </c>
      <c r="Q12">
        <f>ROUNDUP(MONTH(tblRepostajes[[#This Row],[Fecha]])/3,0)</f>
        <v>3</v>
      </c>
      <c r="R12">
        <f>VALUE(RIGHT(tblRepostajes[[#This Row],[ID Repostaje]],6))</f>
        <v>36</v>
      </c>
      <c r="S12" s="38" cm="1">
        <f t="array" ref="S1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447</v>
      </c>
      <c r="T12" s="36">
        <f>IF(OR(tblRepostajes[[#This Row],[Km desde ult. Repostaje]]="",tblRepostajes[[#This Row],[Km desde ult. Repostaje]]=0),"",(tblRepostajes[[#This Row],[Litros repostados]]/tblRepostajes[[#This Row],[Km desde ult. Repostaje]])*100)</f>
        <v>14.762863534675613</v>
      </c>
      <c r="U12" t="s">
        <v>325</v>
      </c>
    </row>
    <row r="13" spans="1:32" x14ac:dyDescent="0.35">
      <c r="A13" t="s">
        <v>338</v>
      </c>
      <c r="B13" s="1">
        <v>46253</v>
      </c>
      <c r="C13" t="s">
        <v>13</v>
      </c>
      <c r="D13" t="s">
        <v>14</v>
      </c>
      <c r="E13" t="s">
        <v>322</v>
      </c>
      <c r="F13" t="s">
        <v>323</v>
      </c>
      <c r="G13">
        <v>45.22</v>
      </c>
      <c r="H13" s="25">
        <f>tblRepostajes[[#This Row],[Importe total (€)]]/tblRepostajes[[#This Row],[Litros repostados]]</f>
        <v>1.7691287041132242</v>
      </c>
      <c r="I13" s="2">
        <v>66.11</v>
      </c>
      <c r="J13" s="3">
        <v>0.21</v>
      </c>
      <c r="K13" s="2">
        <f>tblRepostajes[[#This Row],[Base imponible (€)]]*tblRepostajes[[#This Row],[% IVA]]</f>
        <v>13.883099999999999</v>
      </c>
      <c r="L13" s="2">
        <v>80</v>
      </c>
      <c r="M13">
        <v>630847</v>
      </c>
      <c r="N13" t="s">
        <v>324</v>
      </c>
      <c r="O13">
        <f>YEAR(tblRepostajes[[#This Row],[Fecha]])</f>
        <v>2026</v>
      </c>
      <c r="P13">
        <f>MONTH(tblRepostajes[[#This Row],[Fecha]])</f>
        <v>8</v>
      </c>
      <c r="Q13">
        <f>ROUNDUP(MONTH(tblRepostajes[[#This Row],[Fecha]])/3,0)</f>
        <v>3</v>
      </c>
      <c r="R13">
        <f>VALUE(RIGHT(tblRepostajes[[#This Row],[ID Repostaje]],6))</f>
        <v>35</v>
      </c>
      <c r="S13" s="38" cm="1">
        <f t="array" ref="S1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492</v>
      </c>
      <c r="T13" s="36">
        <f>IF(OR(tblRepostajes[[#This Row],[Km desde ult. Repostaje]]="",tblRepostajes[[#This Row],[Km desde ult. Repostaje]]=0),"",(tblRepostajes[[#This Row],[Litros repostados]]/tblRepostajes[[#This Row],[Km desde ult. Repostaje]])*100)</f>
        <v>9.1910569105691042</v>
      </c>
      <c r="U13" t="s">
        <v>325</v>
      </c>
    </row>
    <row r="14" spans="1:32" x14ac:dyDescent="0.35">
      <c r="A14" t="s">
        <v>339</v>
      </c>
      <c r="B14" s="1">
        <v>46252</v>
      </c>
      <c r="C14" t="s">
        <v>13</v>
      </c>
      <c r="D14" t="s">
        <v>17</v>
      </c>
      <c r="E14" t="s">
        <v>322</v>
      </c>
      <c r="F14" t="s">
        <v>323</v>
      </c>
      <c r="G14">
        <v>57.5</v>
      </c>
      <c r="H14" s="25">
        <f>tblRepostajes[[#This Row],[Importe total (€)]]/tblRepostajes[[#This Row],[Litros repostados]]</f>
        <v>1.7391304347826086</v>
      </c>
      <c r="I14" s="2">
        <v>82.64</v>
      </c>
      <c r="J14" s="3">
        <v>0.21</v>
      </c>
      <c r="K14" s="2">
        <f>tblRepostajes[[#This Row],[Base imponible (€)]]*tblRepostajes[[#This Row],[% IVA]]</f>
        <v>17.354399999999998</v>
      </c>
      <c r="L14" s="2">
        <v>100</v>
      </c>
      <c r="M14">
        <v>630355</v>
      </c>
      <c r="N14" t="s">
        <v>328</v>
      </c>
      <c r="O14">
        <f>YEAR(tblRepostajes[[#This Row],[Fecha]])</f>
        <v>2026</v>
      </c>
      <c r="P14">
        <f>MONTH(tblRepostajes[[#This Row],[Fecha]])</f>
        <v>8</v>
      </c>
      <c r="Q14">
        <f>ROUNDUP(MONTH(tblRepostajes[[#This Row],[Fecha]])/3,0)</f>
        <v>3</v>
      </c>
      <c r="R14">
        <f>VALUE(RIGHT(tblRepostajes[[#This Row],[ID Repostaje]],6))</f>
        <v>34</v>
      </c>
      <c r="S14" s="38" cm="1">
        <f t="array" ref="S1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539</v>
      </c>
      <c r="T14" s="36">
        <f>IF(OR(tblRepostajes[[#This Row],[Km desde ult. Repostaje]]="",tblRepostajes[[#This Row],[Km desde ult. Repostaje]]=0),"",(tblRepostajes[[#This Row],[Litros repostados]]/tblRepostajes[[#This Row],[Km desde ult. Repostaje]])*100)</f>
        <v>10.667903525046382</v>
      </c>
      <c r="U14" t="s">
        <v>335</v>
      </c>
    </row>
    <row r="15" spans="1:32" x14ac:dyDescent="0.35">
      <c r="A15" t="s">
        <v>340</v>
      </c>
      <c r="B15" s="1">
        <v>46251</v>
      </c>
      <c r="C15" t="s">
        <v>13</v>
      </c>
      <c r="D15" t="s">
        <v>17</v>
      </c>
      <c r="E15" t="s">
        <v>322</v>
      </c>
      <c r="F15" t="s">
        <v>323</v>
      </c>
      <c r="G15">
        <v>52.36</v>
      </c>
      <c r="H15" s="25">
        <f>tblRepostajes[[#This Row],[Importe total (€)]]/tblRepostajes[[#This Row],[Litros repostados]]</f>
        <v>1.7188693659281895</v>
      </c>
      <c r="I15" s="2">
        <v>74.38</v>
      </c>
      <c r="J15" s="3">
        <v>0.21</v>
      </c>
      <c r="K15" s="2">
        <f>tblRepostajes[[#This Row],[Base imponible (€)]]*tblRepostajes[[#This Row],[% IVA]]</f>
        <v>15.619799999999998</v>
      </c>
      <c r="L15" s="2">
        <v>90</v>
      </c>
      <c r="M15">
        <v>629816</v>
      </c>
      <c r="N15" t="s">
        <v>328</v>
      </c>
      <c r="O15">
        <f>YEAR(tblRepostajes[[#This Row],[Fecha]])</f>
        <v>2026</v>
      </c>
      <c r="P15">
        <f>MONTH(tblRepostajes[[#This Row],[Fecha]])</f>
        <v>8</v>
      </c>
      <c r="Q15">
        <f>ROUNDUP(MONTH(tblRepostajes[[#This Row],[Fecha]])/3,0)</f>
        <v>3</v>
      </c>
      <c r="R15">
        <f>VALUE(RIGHT(tblRepostajes[[#This Row],[ID Repostaje]],6))</f>
        <v>33</v>
      </c>
      <c r="S15" s="38" cm="1">
        <f t="array" ref="S1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606</v>
      </c>
      <c r="T15" s="36">
        <f>IF(OR(tblRepostajes[[#This Row],[Km desde ult. Repostaje]]="",tblRepostajes[[#This Row],[Km desde ult. Repostaje]]=0),"",(tblRepostajes[[#This Row],[Litros repostados]]/tblRepostajes[[#This Row],[Km desde ult. Repostaje]])*100)</f>
        <v>8.6402640264026402</v>
      </c>
      <c r="U15" t="s">
        <v>122</v>
      </c>
    </row>
    <row r="16" spans="1:32" x14ac:dyDescent="0.35">
      <c r="A16" t="s">
        <v>341</v>
      </c>
      <c r="B16" s="1">
        <v>46249</v>
      </c>
      <c r="C16" t="s">
        <v>13</v>
      </c>
      <c r="D16" t="s">
        <v>14</v>
      </c>
      <c r="E16" t="s">
        <v>322</v>
      </c>
      <c r="F16" t="s">
        <v>323</v>
      </c>
      <c r="G16">
        <v>46</v>
      </c>
      <c r="H16" s="25">
        <f>tblRepostajes[[#This Row],[Importe total (€)]]/tblRepostajes[[#This Row],[Litros repostados]]</f>
        <v>1.7391304347826086</v>
      </c>
      <c r="I16" s="2">
        <f>tblRepostajes[[#This Row],[Importe total (€)]]/1.21</f>
        <v>66.11570247933885</v>
      </c>
      <c r="J16" s="3">
        <v>0.21</v>
      </c>
      <c r="K16" s="2">
        <f>tblRepostajes[[#This Row],[Base imponible (€)]]*tblRepostajes[[#This Row],[% IVA]]</f>
        <v>13.884297520661159</v>
      </c>
      <c r="L16" s="2">
        <v>80</v>
      </c>
      <c r="M16">
        <v>629210</v>
      </c>
      <c r="N16" t="s">
        <v>324</v>
      </c>
      <c r="O16">
        <f>YEAR(tblRepostajes[[#This Row],[Fecha]])</f>
        <v>2026</v>
      </c>
      <c r="P16">
        <f>MONTH(tblRepostajes[[#This Row],[Fecha]])</f>
        <v>8</v>
      </c>
      <c r="Q16">
        <f>ROUNDUP(MONTH(tblRepostajes[[#This Row],[Fecha]])/3,0)</f>
        <v>3</v>
      </c>
      <c r="R16">
        <f>VALUE(RIGHT(tblRepostajes[[#This Row],[ID Repostaje]],6))</f>
        <v>32</v>
      </c>
      <c r="S16" s="38" cm="1">
        <f t="array" ref="S1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306</v>
      </c>
      <c r="T16" s="36">
        <f>IF(OR(tblRepostajes[[#This Row],[Km desde ult. Repostaje]]="",tblRepostajes[[#This Row],[Km desde ult. Repostaje]]=0),"",(tblRepostajes[[#This Row],[Litros repostados]]/tblRepostajes[[#This Row],[Km desde ult. Repostaje]])*100)</f>
        <v>15.032679738562091</v>
      </c>
      <c r="U16" t="s">
        <v>325</v>
      </c>
    </row>
    <row r="17" spans="1:21" x14ac:dyDescent="0.35">
      <c r="A17" t="s">
        <v>342</v>
      </c>
      <c r="B17" s="1">
        <v>46248</v>
      </c>
      <c r="C17" t="s">
        <v>13</v>
      </c>
      <c r="D17" t="s">
        <v>14</v>
      </c>
      <c r="E17" t="s">
        <v>322</v>
      </c>
      <c r="F17" t="s">
        <v>323</v>
      </c>
      <c r="G17">
        <v>46</v>
      </c>
      <c r="H17" s="25">
        <f>tblRepostajes[[#This Row],[Importe total (€)]]/tblRepostajes[[#This Row],[Litros repostados]]</f>
        <v>1.7391304347826086</v>
      </c>
      <c r="I17" s="2">
        <f>tblRepostajes[[#This Row],[Importe total (€)]]/1.21</f>
        <v>66.11570247933885</v>
      </c>
      <c r="J17" s="3">
        <v>0.21</v>
      </c>
      <c r="K17" s="2">
        <f>tblRepostajes[[#This Row],[Base imponible (€)]]*tblRepostajes[[#This Row],[% IVA]]</f>
        <v>13.884297520661159</v>
      </c>
      <c r="L17" s="2">
        <v>80</v>
      </c>
      <c r="M17">
        <v>628904</v>
      </c>
      <c r="N17" t="s">
        <v>324</v>
      </c>
      <c r="O17">
        <f>YEAR(tblRepostajes[[#This Row],[Fecha]])</f>
        <v>2026</v>
      </c>
      <c r="P17">
        <f>MONTH(tblRepostajes[[#This Row],[Fecha]])</f>
        <v>8</v>
      </c>
      <c r="Q17">
        <f>ROUNDUP(MONTH(tblRepostajes[[#This Row],[Fecha]])/3,0)</f>
        <v>3</v>
      </c>
      <c r="R17">
        <f>VALUE(RIGHT(tblRepostajes[[#This Row],[ID Repostaje]],6))</f>
        <v>31</v>
      </c>
      <c r="S17" s="38" cm="1">
        <f t="array" ref="S1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551</v>
      </c>
      <c r="T17" s="36">
        <f>IF(OR(tblRepostajes[[#This Row],[Km desde ult. Repostaje]]="",tblRepostajes[[#This Row],[Km desde ult. Repostaje]]=0),"",(tblRepostajes[[#This Row],[Litros repostados]]/tblRepostajes[[#This Row],[Km desde ult. Repostaje]])*100)</f>
        <v>8.3484573502722323</v>
      </c>
      <c r="U17" t="s">
        <v>325</v>
      </c>
    </row>
    <row r="18" spans="1:21" x14ac:dyDescent="0.35">
      <c r="A18" t="s">
        <v>343</v>
      </c>
      <c r="B18" s="1">
        <v>46247</v>
      </c>
      <c r="C18" t="s">
        <v>13</v>
      </c>
      <c r="D18" t="s">
        <v>17</v>
      </c>
      <c r="E18" t="s">
        <v>322</v>
      </c>
      <c r="F18" t="s">
        <v>323</v>
      </c>
      <c r="G18">
        <v>51.75</v>
      </c>
      <c r="H18" s="25">
        <f>tblRepostajes[[#This Row],[Importe total (€)]]/tblRepostajes[[#This Row],[Litros repostados]]</f>
        <v>1.7391304347826086</v>
      </c>
      <c r="I18" s="2">
        <f>90/1.21</f>
        <v>74.380165289256198</v>
      </c>
      <c r="J18" s="3">
        <v>0.21</v>
      </c>
      <c r="K18" s="2">
        <f>tblRepostajes[[#This Row],[Base imponible (€)]]*tblRepostajes[[#This Row],[% IVA]]</f>
        <v>15.619834710743801</v>
      </c>
      <c r="L18" s="2">
        <v>90</v>
      </c>
      <c r="M18">
        <v>628353</v>
      </c>
      <c r="N18" t="s">
        <v>328</v>
      </c>
      <c r="O18">
        <f>YEAR(tblRepostajes[[#This Row],[Fecha]])</f>
        <v>2026</v>
      </c>
      <c r="P18">
        <f>MONTH(tblRepostajes[[#This Row],[Fecha]])</f>
        <v>8</v>
      </c>
      <c r="Q18">
        <f>ROUNDUP(MONTH(tblRepostajes[[#This Row],[Fecha]])/3,0)</f>
        <v>3</v>
      </c>
      <c r="R18">
        <f>VALUE(RIGHT(tblRepostajes[[#This Row],[ID Repostaje]],6))</f>
        <v>30</v>
      </c>
      <c r="S18" s="38" cm="1">
        <f t="array" ref="S1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438</v>
      </c>
      <c r="T18" s="36">
        <f>IF(OR(tblRepostajes[[#This Row],[Km desde ult. Repostaje]]="",tblRepostajes[[#This Row],[Km desde ult. Repostaje]]=0),"",(tblRepostajes[[#This Row],[Litros repostados]]/tblRepostajes[[#This Row],[Km desde ult. Repostaje]])*100)</f>
        <v>11.815068493150685</v>
      </c>
      <c r="U18" t="s">
        <v>335</v>
      </c>
    </row>
    <row r="19" spans="1:21" x14ac:dyDescent="0.35">
      <c r="A19" t="s">
        <v>344</v>
      </c>
      <c r="B19" s="1">
        <v>46245</v>
      </c>
      <c r="C19" t="s">
        <v>13</v>
      </c>
      <c r="D19" t="s">
        <v>14</v>
      </c>
      <c r="E19" t="s">
        <v>322</v>
      </c>
      <c r="F19" t="s">
        <v>323</v>
      </c>
      <c r="G19">
        <v>44.47</v>
      </c>
      <c r="H19" s="25">
        <f>tblRepostajes[[#This Row],[Importe total (€)]]/tblRepostajes[[#This Row],[Litros repostados]]</f>
        <v>1.7989655947829999</v>
      </c>
      <c r="I19" s="2">
        <f>80/1.21</f>
        <v>66.11570247933885</v>
      </c>
      <c r="J19" s="3">
        <v>0.21</v>
      </c>
      <c r="K19" s="2">
        <f>tblRepostajes[[#This Row],[Base imponible (€)]]*tblRepostajes[[#This Row],[% IVA]]</f>
        <v>13.884297520661159</v>
      </c>
      <c r="L19" s="2">
        <v>80</v>
      </c>
      <c r="M19">
        <v>627915</v>
      </c>
      <c r="N19" t="s">
        <v>324</v>
      </c>
      <c r="O19">
        <f>YEAR(tblRepostajes[[#This Row],[Fecha]])</f>
        <v>2026</v>
      </c>
      <c r="P19">
        <f>MONTH(tblRepostajes[[#This Row],[Fecha]])</f>
        <v>8</v>
      </c>
      <c r="Q19">
        <f>ROUNDUP(MONTH(tblRepostajes[[#This Row],[Fecha]])/3,0)</f>
        <v>3</v>
      </c>
      <c r="R19">
        <f>VALUE(RIGHT(tblRepostajes[[#This Row],[ID Repostaje]],6))</f>
        <v>29</v>
      </c>
      <c r="S19" s="38" cm="1">
        <f t="array" ref="S1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434</v>
      </c>
      <c r="T19" s="36">
        <f>IF(OR(tblRepostajes[[#This Row],[Km desde ult. Repostaje]]="",tblRepostajes[[#This Row],[Km desde ult. Repostaje]]=0),"",(tblRepostajes[[#This Row],[Litros repostados]]/tblRepostajes[[#This Row],[Km desde ult. Repostaje]])*100)</f>
        <v>10.246543778801843</v>
      </c>
      <c r="U19" t="s">
        <v>325</v>
      </c>
    </row>
    <row r="20" spans="1:21" x14ac:dyDescent="0.35">
      <c r="A20" t="s">
        <v>345</v>
      </c>
      <c r="B20" s="1">
        <v>46244</v>
      </c>
      <c r="C20" t="s">
        <v>13</v>
      </c>
      <c r="D20" t="s">
        <v>17</v>
      </c>
      <c r="E20" t="s">
        <v>322</v>
      </c>
      <c r="F20" t="s">
        <v>323</v>
      </c>
      <c r="G20">
        <v>48.88</v>
      </c>
      <c r="H20" s="25">
        <f>tblRepostajes[[#This Row],[Importe total (€)]]/tblRepostajes[[#This Row],[Litros repostados]]</f>
        <v>1.738952536824877</v>
      </c>
      <c r="I20" s="2">
        <v>70.25</v>
      </c>
      <c r="J20" s="3">
        <v>0.21</v>
      </c>
      <c r="K20" s="2">
        <f>tblRepostajes[[#This Row],[Base imponible (€)]]*tblRepostajes[[#This Row],[% IVA]]</f>
        <v>14.7525</v>
      </c>
      <c r="L20" s="2">
        <v>85</v>
      </c>
      <c r="M20">
        <v>627481</v>
      </c>
      <c r="N20" t="s">
        <v>324</v>
      </c>
      <c r="O20">
        <f>YEAR(tblRepostajes[[#This Row],[Fecha]])</f>
        <v>2026</v>
      </c>
      <c r="P20">
        <f>MONTH(tblRepostajes[[#This Row],[Fecha]])</f>
        <v>8</v>
      </c>
      <c r="Q20">
        <f>ROUNDUP(MONTH(tblRepostajes[[#This Row],[Fecha]])/3,0)</f>
        <v>3</v>
      </c>
      <c r="R20">
        <f>VALUE(RIGHT(tblRepostajes[[#This Row],[ID Repostaje]],6))</f>
        <v>28</v>
      </c>
      <c r="S20" s="38" cm="1">
        <f t="array" ref="S2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460</v>
      </c>
      <c r="T20" s="36">
        <f>IF(OR(tblRepostajes[[#This Row],[Km desde ult. Repostaje]]="",tblRepostajes[[#This Row],[Km desde ult. Repostaje]]=0),"",(tblRepostajes[[#This Row],[Litros repostados]]/tblRepostajes[[#This Row],[Km desde ult. Repostaje]])*100)</f>
        <v>10.626086956521739</v>
      </c>
      <c r="U20" t="s">
        <v>325</v>
      </c>
    </row>
    <row r="21" spans="1:21" x14ac:dyDescent="0.35">
      <c r="A21" t="s">
        <v>346</v>
      </c>
      <c r="B21" s="1">
        <v>46237</v>
      </c>
      <c r="C21" t="s">
        <v>13</v>
      </c>
      <c r="D21" t="s">
        <v>14</v>
      </c>
      <c r="E21" t="s">
        <v>322</v>
      </c>
      <c r="F21" t="s">
        <v>323</v>
      </c>
      <c r="G21">
        <v>44.47</v>
      </c>
      <c r="H21" s="25">
        <f>tblRepostajes[[#This Row],[Importe total (€)]]/tblRepostajes[[#This Row],[Litros repostados]]</f>
        <v>1.7989655947829999</v>
      </c>
      <c r="I21" s="2">
        <v>66.12</v>
      </c>
      <c r="J21" s="3">
        <v>0.21</v>
      </c>
      <c r="K21" s="2">
        <f>tblRepostajes[[#This Row],[Base imponible (€)]]*tblRepostajes[[#This Row],[% IVA]]</f>
        <v>13.885200000000001</v>
      </c>
      <c r="L21" s="2">
        <v>80</v>
      </c>
      <c r="M21">
        <v>627021</v>
      </c>
      <c r="N21" t="s">
        <v>324</v>
      </c>
      <c r="O21">
        <f>YEAR(tblRepostajes[[#This Row],[Fecha]])</f>
        <v>2026</v>
      </c>
      <c r="P21">
        <f>MONTH(tblRepostajes[[#This Row],[Fecha]])</f>
        <v>8</v>
      </c>
      <c r="Q21">
        <f>ROUNDUP(MONTH(tblRepostajes[[#This Row],[Fecha]])/3,0)</f>
        <v>3</v>
      </c>
      <c r="R21">
        <f>VALUE(RIGHT(tblRepostajes[[#This Row],[ID Repostaje]],6))</f>
        <v>27</v>
      </c>
      <c r="S21" s="38" cm="1">
        <f t="array" ref="S2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506</v>
      </c>
      <c r="T21" s="36">
        <f>IF(OR(tblRepostajes[[#This Row],[Km desde ult. Repostaje]]="",tblRepostajes[[#This Row],[Km desde ult. Repostaje]]=0),"",(tblRepostajes[[#This Row],[Litros repostados]]/tblRepostajes[[#This Row],[Km desde ult. Repostaje]])*100)</f>
        <v>8.7885375494071152</v>
      </c>
      <c r="U21" t="s">
        <v>325</v>
      </c>
    </row>
    <row r="22" spans="1:21" x14ac:dyDescent="0.35">
      <c r="A22" t="s">
        <v>347</v>
      </c>
      <c r="B22" s="1">
        <v>46235</v>
      </c>
      <c r="C22" t="s">
        <v>13</v>
      </c>
      <c r="D22" t="s">
        <v>14</v>
      </c>
      <c r="E22" t="s">
        <v>322</v>
      </c>
      <c r="F22" t="s">
        <v>323</v>
      </c>
      <c r="G22">
        <v>55.58</v>
      </c>
      <c r="H22" s="25">
        <f>tblRepostajes[[#This Row],[Importe total (€)]]/tblRepostajes[[#This Row],[Litros repostados]]</f>
        <v>1.7992083483267363</v>
      </c>
      <c r="I22" s="2">
        <v>82.64</v>
      </c>
      <c r="J22" s="3">
        <v>0.21</v>
      </c>
      <c r="K22" s="2">
        <f>tblRepostajes[[#This Row],[Base imponible (€)]]*tblRepostajes[[#This Row],[% IVA]]</f>
        <v>17.354399999999998</v>
      </c>
      <c r="L22" s="2">
        <v>100</v>
      </c>
      <c r="M22">
        <v>626515</v>
      </c>
      <c r="N22" t="s">
        <v>324</v>
      </c>
      <c r="O22">
        <f>YEAR(tblRepostajes[[#This Row],[Fecha]])</f>
        <v>2026</v>
      </c>
      <c r="P22">
        <f>MONTH(tblRepostajes[[#This Row],[Fecha]])</f>
        <v>8</v>
      </c>
      <c r="Q22">
        <f>ROUNDUP(MONTH(tblRepostajes[[#This Row],[Fecha]])/3,0)</f>
        <v>3</v>
      </c>
      <c r="R22">
        <f>VALUE(RIGHT(tblRepostajes[[#This Row],[ID Repostaje]],6))</f>
        <v>26</v>
      </c>
      <c r="S22" s="38" cm="1">
        <f t="array" ref="S2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451</v>
      </c>
      <c r="T22" s="36">
        <f>IF(OR(tblRepostajes[[#This Row],[Km desde ult. Repostaje]]="",tblRepostajes[[#This Row],[Km desde ult. Repostaje]]=0),"",(tblRepostajes[[#This Row],[Litros repostados]]/tblRepostajes[[#This Row],[Km desde ult. Repostaje]])*100)</f>
        <v>12.323725055432371</v>
      </c>
      <c r="U22" t="s">
        <v>325</v>
      </c>
    </row>
    <row r="23" spans="1:21" x14ac:dyDescent="0.35">
      <c r="A23" t="s">
        <v>348</v>
      </c>
      <c r="B23" s="1">
        <v>46234</v>
      </c>
      <c r="C23" t="s">
        <v>13</v>
      </c>
      <c r="D23" t="s">
        <v>17</v>
      </c>
      <c r="E23" t="s">
        <v>349</v>
      </c>
      <c r="F23" t="s">
        <v>323</v>
      </c>
      <c r="G23">
        <v>52.66</v>
      </c>
      <c r="H23" s="25">
        <f>tblRepostajes[[#This Row],[Importe total (€)]]/tblRepostajes[[#This Row],[Litros repostados]]</f>
        <v>1.7090770983668819</v>
      </c>
      <c r="I23" s="2">
        <v>74.38</v>
      </c>
      <c r="J23" s="3">
        <v>0.21</v>
      </c>
      <c r="K23" s="2">
        <f>tblRepostajes[[#This Row],[Base imponible (€)]]*tblRepostajes[[#This Row],[% IVA]]</f>
        <v>15.619799999999998</v>
      </c>
      <c r="L23" s="2">
        <v>90</v>
      </c>
      <c r="M23">
        <v>626064</v>
      </c>
      <c r="N23" t="s">
        <v>328</v>
      </c>
      <c r="O23">
        <f>YEAR(tblRepostajes[[#This Row],[Fecha]])</f>
        <v>2026</v>
      </c>
      <c r="P23">
        <f>MONTH(tblRepostajes[[#This Row],[Fecha]])</f>
        <v>7</v>
      </c>
      <c r="Q23">
        <f>ROUNDUP(MONTH(tblRepostajes[[#This Row],[Fecha]])/3,0)</f>
        <v>3</v>
      </c>
      <c r="R23">
        <f>VALUE(RIGHT(tblRepostajes[[#This Row],[ID Repostaje]],6))</f>
        <v>25</v>
      </c>
      <c r="S23" s="38" cm="1">
        <f t="array" ref="S2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496</v>
      </c>
      <c r="T23" s="36">
        <f>IF(OR(tblRepostajes[[#This Row],[Km desde ult. Repostaje]]="",tblRepostajes[[#This Row],[Km desde ult. Repostaje]]=0),"",(tblRepostajes[[#This Row],[Litros repostados]]/tblRepostajes[[#This Row],[Km desde ult. Repostaje]])*100)</f>
        <v>10.616935483870966</v>
      </c>
      <c r="U23" t="s">
        <v>122</v>
      </c>
    </row>
    <row r="24" spans="1:21" x14ac:dyDescent="0.35">
      <c r="A24" t="s">
        <v>350</v>
      </c>
      <c r="B24" s="1">
        <v>46232</v>
      </c>
      <c r="C24" t="s">
        <v>13</v>
      </c>
      <c r="D24" t="s">
        <v>14</v>
      </c>
      <c r="E24" t="s">
        <v>322</v>
      </c>
      <c r="F24" t="s">
        <v>323</v>
      </c>
      <c r="G24">
        <v>47.36</v>
      </c>
      <c r="H24" s="25">
        <f>tblRepostajes[[#This Row],[Importe total (€)]]/tblRepostajes[[#This Row],[Litros repostados]]</f>
        <v>1.6891891891891893</v>
      </c>
      <c r="I24" s="2">
        <v>66.12</v>
      </c>
      <c r="J24" s="3">
        <v>0.21</v>
      </c>
      <c r="K24" s="2">
        <f>tblRepostajes[[#This Row],[Base imponible (€)]]*tblRepostajes[[#This Row],[% IVA]]</f>
        <v>13.885200000000001</v>
      </c>
      <c r="L24" s="2">
        <v>80</v>
      </c>
      <c r="M24">
        <v>625568</v>
      </c>
      <c r="N24" t="s">
        <v>324</v>
      </c>
      <c r="O24">
        <f>YEAR(tblRepostajes[[#This Row],[Fecha]])</f>
        <v>2026</v>
      </c>
      <c r="P24">
        <f>MONTH(tblRepostajes[[#This Row],[Fecha]])</f>
        <v>7</v>
      </c>
      <c r="Q24">
        <f>ROUNDUP(MONTH(tblRepostajes[[#This Row],[Fecha]])/3,0)</f>
        <v>3</v>
      </c>
      <c r="R24">
        <f>VALUE(RIGHT(tblRepostajes[[#This Row],[ID Repostaje]],6))</f>
        <v>24</v>
      </c>
      <c r="S24" s="38" cm="1">
        <f t="array" ref="S2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442</v>
      </c>
      <c r="T24" s="36">
        <f>IF(OR(tblRepostajes[[#This Row],[Km desde ult. Repostaje]]="",tblRepostajes[[#This Row],[Km desde ult. Repostaje]]=0),"",(tblRepostajes[[#This Row],[Litros repostados]]/tblRepostajes[[#This Row],[Km desde ult. Repostaje]])*100)</f>
        <v>10.714932126696834</v>
      </c>
      <c r="U24" t="s">
        <v>122</v>
      </c>
    </row>
    <row r="25" spans="1:21" x14ac:dyDescent="0.35">
      <c r="A25" t="s">
        <v>351</v>
      </c>
      <c r="B25" s="1">
        <v>46231</v>
      </c>
      <c r="C25" t="s">
        <v>13</v>
      </c>
      <c r="D25" t="s">
        <v>17</v>
      </c>
      <c r="E25" t="s">
        <v>322</v>
      </c>
      <c r="F25" t="s">
        <v>323</v>
      </c>
      <c r="G25">
        <v>54.17</v>
      </c>
      <c r="H25" s="25">
        <f>tblRepostajes[[#This Row],[Importe total (€)]]/tblRepostajes[[#This Row],[Litros repostados]]</f>
        <v>1.5691342071257153</v>
      </c>
      <c r="I25" s="2">
        <v>70.25</v>
      </c>
      <c r="J25" s="3">
        <v>0.21</v>
      </c>
      <c r="K25" s="2">
        <f>tblRepostajes[[#This Row],[Base imponible (€)]]*tblRepostajes[[#This Row],[% IVA]]</f>
        <v>14.7525</v>
      </c>
      <c r="L25" s="2">
        <v>85</v>
      </c>
      <c r="M25">
        <v>625126</v>
      </c>
      <c r="N25" t="s">
        <v>324</v>
      </c>
      <c r="O25">
        <f>YEAR(tblRepostajes[[#This Row],[Fecha]])</f>
        <v>2026</v>
      </c>
      <c r="P25">
        <f>MONTH(tblRepostajes[[#This Row],[Fecha]])</f>
        <v>7</v>
      </c>
      <c r="Q25">
        <f>ROUNDUP(MONTH(tblRepostajes[[#This Row],[Fecha]])/3,0)</f>
        <v>3</v>
      </c>
      <c r="R25">
        <f>VALUE(RIGHT(tblRepostajes[[#This Row],[ID Repostaje]],6))</f>
        <v>23</v>
      </c>
      <c r="S25" s="38" cm="1">
        <f t="array" ref="S2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559</v>
      </c>
      <c r="T25" s="36">
        <f>IF(OR(tblRepostajes[[#This Row],[Km desde ult. Repostaje]]="",tblRepostajes[[#This Row],[Km desde ult. Repostaje]]=0),"",(tblRepostajes[[#This Row],[Litros repostados]]/tblRepostajes[[#This Row],[Km desde ult. Repostaje]])*100)</f>
        <v>9.690518783542041</v>
      </c>
      <c r="U25" t="s">
        <v>122</v>
      </c>
    </row>
    <row r="26" spans="1:21" x14ac:dyDescent="0.35">
      <c r="A26" t="s">
        <v>352</v>
      </c>
      <c r="B26" s="1">
        <v>46228</v>
      </c>
      <c r="C26" t="s">
        <v>13</v>
      </c>
      <c r="D26" t="s">
        <v>14</v>
      </c>
      <c r="E26" t="s">
        <v>322</v>
      </c>
      <c r="F26" t="s">
        <v>323</v>
      </c>
      <c r="G26">
        <v>47.93</v>
      </c>
      <c r="H26" s="25">
        <f>tblRepostajes[[#This Row],[Importe total (€)]]/tblRepostajes[[#This Row],[Litros repostados]]</f>
        <v>1.6691007719591071</v>
      </c>
      <c r="I26" s="2">
        <v>66.12</v>
      </c>
      <c r="J26" s="3">
        <v>0.21</v>
      </c>
      <c r="K26" s="2">
        <f>tblRepostajes[[#This Row],[Base imponible (€)]]*tblRepostajes[[#This Row],[% IVA]]</f>
        <v>13.885200000000001</v>
      </c>
      <c r="L26" s="2">
        <v>80</v>
      </c>
      <c r="M26">
        <v>624567</v>
      </c>
      <c r="N26" t="s">
        <v>324</v>
      </c>
      <c r="O26">
        <f>YEAR(tblRepostajes[[#This Row],[Fecha]])</f>
        <v>2026</v>
      </c>
      <c r="P26">
        <f>MONTH(tblRepostajes[[#This Row],[Fecha]])</f>
        <v>7</v>
      </c>
      <c r="Q26">
        <f>ROUNDUP(MONTH(tblRepostajes[[#This Row],[Fecha]])/3,0)</f>
        <v>3</v>
      </c>
      <c r="R26">
        <f>VALUE(RIGHT(tblRepostajes[[#This Row],[ID Repostaje]],6))</f>
        <v>22</v>
      </c>
      <c r="S26" s="38" cm="1">
        <f t="array" ref="S2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366</v>
      </c>
      <c r="T26" s="36">
        <f>IF(OR(tblRepostajes[[#This Row],[Km desde ult. Repostaje]]="",tblRepostajes[[#This Row],[Km desde ult. Repostaje]]=0),"",(tblRepostajes[[#This Row],[Litros repostados]]/tblRepostajes[[#This Row],[Km desde ult. Repostaje]])*100)</f>
        <v>13.095628415300547</v>
      </c>
      <c r="U26" t="s">
        <v>122</v>
      </c>
    </row>
    <row r="27" spans="1:21" x14ac:dyDescent="0.35">
      <c r="A27" t="s">
        <v>353</v>
      </c>
      <c r="B27" s="1">
        <v>46227</v>
      </c>
      <c r="C27" t="s">
        <v>13</v>
      </c>
      <c r="D27" t="s">
        <v>14</v>
      </c>
      <c r="E27" t="s">
        <v>322</v>
      </c>
      <c r="F27" t="s">
        <v>323</v>
      </c>
      <c r="G27">
        <v>47.93</v>
      </c>
      <c r="H27" s="25">
        <f>tblRepostajes[[#This Row],[Importe total (€)]]/tblRepostajes[[#This Row],[Litros repostados]]</f>
        <v>1.6691007719591071</v>
      </c>
      <c r="I27" s="2">
        <v>66.12</v>
      </c>
      <c r="J27" s="3">
        <v>0.21</v>
      </c>
      <c r="K27" s="2">
        <f>tblRepostajes[[#This Row],[Base imponible (€)]]*tblRepostajes[[#This Row],[% IVA]]</f>
        <v>13.885200000000001</v>
      </c>
      <c r="L27" s="2">
        <v>80</v>
      </c>
      <c r="M27">
        <v>624201</v>
      </c>
      <c r="N27" t="s">
        <v>324</v>
      </c>
      <c r="O27">
        <f>YEAR(tblRepostajes[[#This Row],[Fecha]])</f>
        <v>2026</v>
      </c>
      <c r="P27">
        <f>MONTH(tblRepostajes[[#This Row],[Fecha]])</f>
        <v>7</v>
      </c>
      <c r="Q27">
        <f>ROUNDUP(MONTH(tblRepostajes[[#This Row],[Fecha]])/3,0)</f>
        <v>3</v>
      </c>
      <c r="R27">
        <f>VALUE(RIGHT(tblRepostajes[[#This Row],[ID Repostaje]],6))</f>
        <v>21</v>
      </c>
      <c r="S27" s="38" cm="1">
        <f t="array" ref="S2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561</v>
      </c>
      <c r="T27" s="36">
        <f>IF(OR(tblRepostajes[[#This Row],[Km desde ult. Repostaje]]="",tblRepostajes[[#This Row],[Km desde ult. Repostaje]]=0),"",(tblRepostajes[[#This Row],[Litros repostados]]/tblRepostajes[[#This Row],[Km desde ult. Repostaje]])*100)</f>
        <v>8.5436720142602489</v>
      </c>
      <c r="U27" t="s">
        <v>122</v>
      </c>
    </row>
    <row r="28" spans="1:21" x14ac:dyDescent="0.35">
      <c r="A28" t="s">
        <v>354</v>
      </c>
      <c r="B28" s="1">
        <v>46225</v>
      </c>
      <c r="C28" t="s">
        <v>13</v>
      </c>
      <c r="D28" t="s">
        <v>14</v>
      </c>
      <c r="E28" t="s">
        <v>322</v>
      </c>
      <c r="F28" t="s">
        <v>323</v>
      </c>
      <c r="G28">
        <v>64.97</v>
      </c>
      <c r="H28" s="25">
        <f>tblRepostajes[[#This Row],[Importe total (€)]]/tblRepostajes[[#This Row],[Litros repostados]]</f>
        <v>1.5391719255040788</v>
      </c>
      <c r="I28" s="2">
        <v>82.64</v>
      </c>
      <c r="J28" s="3">
        <v>0.21</v>
      </c>
      <c r="K28" s="2">
        <f>tblRepostajes[[#This Row],[Base imponible (€)]]*tblRepostajes[[#This Row],[% IVA]]</f>
        <v>17.354399999999998</v>
      </c>
      <c r="L28" s="2">
        <v>100</v>
      </c>
      <c r="M28">
        <v>623640</v>
      </c>
      <c r="N28" t="s">
        <v>324</v>
      </c>
      <c r="O28">
        <f>YEAR(tblRepostajes[[#This Row],[Fecha]])</f>
        <v>2026</v>
      </c>
      <c r="P28">
        <f>MONTH(tblRepostajes[[#This Row],[Fecha]])</f>
        <v>7</v>
      </c>
      <c r="Q28">
        <f>ROUNDUP(MONTH(tblRepostajes[[#This Row],[Fecha]])/3,0)</f>
        <v>3</v>
      </c>
      <c r="R28">
        <f>VALUE(RIGHT(tblRepostajes[[#This Row],[ID Repostaje]],6))</f>
        <v>20</v>
      </c>
      <c r="S28" s="38" cm="1">
        <f t="array" ref="S2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544</v>
      </c>
      <c r="T28" s="36">
        <f>IF(OR(tblRepostajes[[#This Row],[Km desde ult. Repostaje]]="",tblRepostajes[[#This Row],[Km desde ult. Repostaje]]=0),"",(tblRepostajes[[#This Row],[Litros repostados]]/tblRepostajes[[#This Row],[Km desde ult. Repostaje]])*100)</f>
        <v>11.943014705882353</v>
      </c>
      <c r="U28" t="s">
        <v>122</v>
      </c>
    </row>
    <row r="29" spans="1:21" x14ac:dyDescent="0.35">
      <c r="A29" t="s">
        <v>355</v>
      </c>
      <c r="B29" s="1">
        <v>46223</v>
      </c>
      <c r="C29" t="s">
        <v>13</v>
      </c>
      <c r="D29" t="s">
        <v>17</v>
      </c>
      <c r="E29" t="s">
        <v>322</v>
      </c>
      <c r="F29" t="s">
        <v>323</v>
      </c>
      <c r="G29">
        <v>56.7</v>
      </c>
      <c r="H29" s="25">
        <f>tblRepostajes[[#This Row],[Importe total (€)]]/tblRepostajes[[#This Row],[Litros repostados]]</f>
        <v>1.4991181657848325</v>
      </c>
      <c r="I29" s="2">
        <v>70.25</v>
      </c>
      <c r="J29" s="3">
        <v>0.21</v>
      </c>
      <c r="K29" s="2">
        <f>tblRepostajes[[#This Row],[Base imponible (€)]]*tblRepostajes[[#This Row],[% IVA]]</f>
        <v>14.7525</v>
      </c>
      <c r="L29" s="2">
        <v>85</v>
      </c>
      <c r="M29">
        <v>623096</v>
      </c>
      <c r="N29" t="s">
        <v>324</v>
      </c>
      <c r="O29">
        <f>YEAR(tblRepostajes[[#This Row],[Fecha]])</f>
        <v>2026</v>
      </c>
      <c r="P29">
        <f>MONTH(tblRepostajes[[#This Row],[Fecha]])</f>
        <v>7</v>
      </c>
      <c r="Q29">
        <f>ROUNDUP(MONTH(tblRepostajes[[#This Row],[Fecha]])/3,0)</f>
        <v>3</v>
      </c>
      <c r="R29">
        <f>VALUE(RIGHT(tblRepostajes[[#This Row],[ID Repostaje]],6))</f>
        <v>19</v>
      </c>
      <c r="S29" s="38" cm="1">
        <f t="array" ref="S2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646</v>
      </c>
      <c r="T29" s="36">
        <f>IF(OR(tblRepostajes[[#This Row],[Km desde ult. Repostaje]]="",tblRepostajes[[#This Row],[Km desde ult. Repostaje]]=0),"",(tblRepostajes[[#This Row],[Litros repostados]]/tblRepostajes[[#This Row],[Km desde ult. Repostaje]])*100)</f>
        <v>8.7770897832817347</v>
      </c>
      <c r="U29" t="s">
        <v>122</v>
      </c>
    </row>
    <row r="30" spans="1:21" x14ac:dyDescent="0.35">
      <c r="A30" t="s">
        <v>356</v>
      </c>
      <c r="B30" s="1">
        <v>46220</v>
      </c>
      <c r="C30" t="s">
        <v>13</v>
      </c>
      <c r="D30" t="s">
        <v>14</v>
      </c>
      <c r="E30" t="s">
        <v>322</v>
      </c>
      <c r="F30" t="s">
        <v>323</v>
      </c>
      <c r="G30">
        <v>66.709999999999994</v>
      </c>
      <c r="H30" s="25">
        <f>tblRepostajes[[#This Row],[Importe total (€)]]/tblRepostajes[[#This Row],[Litros repostados]]</f>
        <v>1.4990256333383303</v>
      </c>
      <c r="I30" s="2">
        <v>82.64</v>
      </c>
      <c r="J30" s="3">
        <v>0.21</v>
      </c>
      <c r="K30" s="2">
        <f>tblRepostajes[[#This Row],[Base imponible (€)]]*tblRepostajes[[#This Row],[% IVA]]</f>
        <v>17.354399999999998</v>
      </c>
      <c r="L30" s="2">
        <v>100</v>
      </c>
      <c r="M30">
        <v>622450</v>
      </c>
      <c r="N30" t="s">
        <v>324</v>
      </c>
      <c r="O30">
        <f>YEAR(tblRepostajes[[#This Row],[Fecha]])</f>
        <v>2026</v>
      </c>
      <c r="P30">
        <f>MONTH(tblRepostajes[[#This Row],[Fecha]])</f>
        <v>7</v>
      </c>
      <c r="Q30">
        <f>ROUNDUP(MONTH(tblRepostajes[[#This Row],[Fecha]])/3,0)</f>
        <v>3</v>
      </c>
      <c r="R30">
        <f>VALUE(RIGHT(tblRepostajes[[#This Row],[ID Repostaje]],6))</f>
        <v>18</v>
      </c>
      <c r="S30" s="38" cm="1">
        <f t="array" ref="S3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505</v>
      </c>
      <c r="T30" s="36">
        <f>IF(OR(tblRepostajes[[#This Row],[Km desde ult. Repostaje]]="",tblRepostajes[[#This Row],[Km desde ult. Repostaje]]=0),"",(tblRepostajes[[#This Row],[Litros repostados]]/tblRepostajes[[#This Row],[Km desde ult. Repostaje]])*100)</f>
        <v>13.209900990099008</v>
      </c>
      <c r="U30" t="s">
        <v>122</v>
      </c>
    </row>
    <row r="31" spans="1:21" x14ac:dyDescent="0.35">
      <c r="A31" t="s">
        <v>357</v>
      </c>
      <c r="B31" s="1">
        <v>46219</v>
      </c>
      <c r="C31" t="s">
        <v>13</v>
      </c>
      <c r="D31" t="s">
        <v>14</v>
      </c>
      <c r="E31" t="s">
        <v>322</v>
      </c>
      <c r="F31" t="s">
        <v>323</v>
      </c>
      <c r="G31">
        <v>53.37</v>
      </c>
      <c r="H31" s="25">
        <f>tblRepostajes[[#This Row],[Importe total (€)]]/tblRepostajes[[#This Row],[Litros repostados]]</f>
        <v>1.4989694584972832</v>
      </c>
      <c r="I31" s="2">
        <v>66.12</v>
      </c>
      <c r="J31" s="3">
        <v>0.21</v>
      </c>
      <c r="K31" s="2">
        <f>tblRepostajes[[#This Row],[Base imponible (€)]]*tblRepostajes[[#This Row],[% IVA]]</f>
        <v>13.885200000000001</v>
      </c>
      <c r="L31" s="2">
        <v>80</v>
      </c>
      <c r="M31">
        <v>621945</v>
      </c>
      <c r="N31" t="s">
        <v>324</v>
      </c>
      <c r="O31">
        <f>YEAR(tblRepostajes[[#This Row],[Fecha]])</f>
        <v>2026</v>
      </c>
      <c r="P31">
        <f>MONTH(tblRepostajes[[#This Row],[Fecha]])</f>
        <v>7</v>
      </c>
      <c r="Q31">
        <f>ROUNDUP(MONTH(tblRepostajes[[#This Row],[Fecha]])/3,0)</f>
        <v>3</v>
      </c>
      <c r="R31">
        <f>VALUE(RIGHT(tblRepostajes[[#This Row],[ID Repostaje]],6))</f>
        <v>17</v>
      </c>
      <c r="S31" s="38" cm="1">
        <f t="array" ref="S3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631</v>
      </c>
      <c r="T31" s="36">
        <f>IF(OR(tblRepostajes[[#This Row],[Km desde ult. Repostaje]]="",tblRepostajes[[#This Row],[Km desde ult. Repostaje]]=0),"",(tblRepostajes[[#This Row],[Litros repostados]]/tblRepostajes[[#This Row],[Km desde ult. Repostaje]])*100)</f>
        <v>8.4580031695721072</v>
      </c>
      <c r="U31" t="s">
        <v>122</v>
      </c>
    </row>
    <row r="32" spans="1:21" x14ac:dyDescent="0.35">
      <c r="A32" t="s">
        <v>358</v>
      </c>
      <c r="B32" s="1">
        <v>46217</v>
      </c>
      <c r="C32" t="s">
        <v>13</v>
      </c>
      <c r="D32" t="s">
        <v>14</v>
      </c>
      <c r="E32" t="s">
        <v>322</v>
      </c>
      <c r="F32" t="s">
        <v>323</v>
      </c>
      <c r="G32">
        <v>54.83</v>
      </c>
      <c r="H32" s="25">
        <f>tblRepostajes[[#This Row],[Importe total (€)]]/tblRepostajes[[#This Row],[Litros repostados]]</f>
        <v>1.4590552617180377</v>
      </c>
      <c r="I32" s="2">
        <v>66.12</v>
      </c>
      <c r="J32" s="3">
        <v>0.21</v>
      </c>
      <c r="K32" s="2">
        <f>tblRepostajes[[#This Row],[Base imponible (€)]]*tblRepostajes[[#This Row],[% IVA]]</f>
        <v>13.885200000000001</v>
      </c>
      <c r="L32" s="2">
        <v>80</v>
      </c>
      <c r="M32">
        <v>621314</v>
      </c>
      <c r="N32" t="s">
        <v>324</v>
      </c>
      <c r="O32">
        <f>YEAR(tblRepostajes[[#This Row],[Fecha]])</f>
        <v>2026</v>
      </c>
      <c r="P32">
        <f>MONTH(tblRepostajes[[#This Row],[Fecha]])</f>
        <v>7</v>
      </c>
      <c r="Q32">
        <f>ROUNDUP(MONTH(tblRepostajes[[#This Row],[Fecha]])/3,0)</f>
        <v>3</v>
      </c>
      <c r="R32">
        <f>VALUE(RIGHT(tblRepostajes[[#This Row],[ID Repostaje]],6))</f>
        <v>16</v>
      </c>
      <c r="S32" s="38" cm="1">
        <f t="array" ref="S3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445</v>
      </c>
      <c r="T32" s="36">
        <f>IF(OR(tblRepostajes[[#This Row],[Km desde ult. Repostaje]]="",tblRepostajes[[#This Row],[Km desde ult. Repostaje]]=0),"",(tblRepostajes[[#This Row],[Litros repostados]]/tblRepostajes[[#This Row],[Km desde ult. Repostaje]])*100)</f>
        <v>12.321348314606741</v>
      </c>
      <c r="U32" t="s">
        <v>122</v>
      </c>
    </row>
    <row r="33" spans="1:21" x14ac:dyDescent="0.35">
      <c r="A33" t="s">
        <v>359</v>
      </c>
      <c r="B33" s="1">
        <v>46216</v>
      </c>
      <c r="C33" t="s">
        <v>13</v>
      </c>
      <c r="D33" t="s">
        <v>14</v>
      </c>
      <c r="E33" t="s">
        <v>322</v>
      </c>
      <c r="F33" t="s">
        <v>323</v>
      </c>
      <c r="G33">
        <v>65.930000000000007</v>
      </c>
      <c r="H33" s="25">
        <f>tblRepostajes[[#This Row],[Importe total (€)]]/tblRepostajes[[#This Row],[Litros repostados]]</f>
        <v>1.4589716365842558</v>
      </c>
      <c r="I33" s="2">
        <v>79.489999999999995</v>
      </c>
      <c r="J33" s="3">
        <v>0.21</v>
      </c>
      <c r="K33" s="2">
        <f>tblRepostajes[[#This Row],[Base imponible (€)]]*tblRepostajes[[#This Row],[% IVA]]</f>
        <v>16.692899999999998</v>
      </c>
      <c r="L33" s="2">
        <v>96.19</v>
      </c>
      <c r="M33">
        <v>620869</v>
      </c>
      <c r="N33" t="s">
        <v>324</v>
      </c>
      <c r="O33">
        <f>YEAR(tblRepostajes[[#This Row],[Fecha]])</f>
        <v>2026</v>
      </c>
      <c r="P33">
        <f>MONTH(tblRepostajes[[#This Row],[Fecha]])</f>
        <v>7</v>
      </c>
      <c r="Q33">
        <f>ROUNDUP(MONTH(tblRepostajes[[#This Row],[Fecha]])/3,0)</f>
        <v>3</v>
      </c>
      <c r="R33">
        <f>VALUE(RIGHT(tblRepostajes[[#This Row],[ID Repostaje]],6))</f>
        <v>15</v>
      </c>
      <c r="S33" s="38" cm="1">
        <f t="array" ref="S3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597</v>
      </c>
      <c r="T33" s="36">
        <f>IF(OR(tblRepostajes[[#This Row],[Km desde ult. Repostaje]]="",tblRepostajes[[#This Row],[Km desde ult. Repostaje]]=0),"",(tblRepostajes[[#This Row],[Litros repostados]]/tblRepostajes[[#This Row],[Km desde ult. Repostaje]])*100)</f>
        <v>11.043551088777221</v>
      </c>
      <c r="U33" t="s">
        <v>122</v>
      </c>
    </row>
    <row r="34" spans="1:21" x14ac:dyDescent="0.35">
      <c r="A34" t="s">
        <v>360</v>
      </c>
      <c r="B34" s="1">
        <v>46214</v>
      </c>
      <c r="C34" t="s">
        <v>13</v>
      </c>
      <c r="D34" t="s">
        <v>17</v>
      </c>
      <c r="E34" t="s">
        <v>322</v>
      </c>
      <c r="F34" t="s">
        <v>323</v>
      </c>
      <c r="G34">
        <v>57.73</v>
      </c>
      <c r="H34" s="25">
        <f>tblRepostajes[[#This Row],[Importe total (€)]]/tblRepostajes[[#This Row],[Litros repostados]]</f>
        <v>1.558978001039321</v>
      </c>
      <c r="I34" s="2">
        <v>74.38</v>
      </c>
      <c r="J34" s="3">
        <v>0.21</v>
      </c>
      <c r="K34" s="2">
        <f>tblRepostajes[[#This Row],[Base imponible (€)]]*tblRepostajes[[#This Row],[% IVA]]</f>
        <v>15.619799999999998</v>
      </c>
      <c r="L34" s="2">
        <f>tblRepostajes[[#This Row],[Base imponible (€)]]+tblRepostajes[[#This Row],[IVA (€)]]</f>
        <v>89.999799999999993</v>
      </c>
      <c r="M34">
        <v>620272</v>
      </c>
      <c r="N34" t="s">
        <v>324</v>
      </c>
      <c r="O34">
        <f>YEAR(tblRepostajes[[#This Row],[Fecha]])</f>
        <v>2026</v>
      </c>
      <c r="P34">
        <f>MONTH(tblRepostajes[[#This Row],[Fecha]])</f>
        <v>7</v>
      </c>
      <c r="Q34">
        <f>ROUNDUP(MONTH(tblRepostajes[[#This Row],[Fecha]])/3,0)</f>
        <v>3</v>
      </c>
      <c r="R34">
        <f>VALUE(RIGHT(tblRepostajes[[#This Row],[ID Repostaje]],6))</f>
        <v>14</v>
      </c>
      <c r="S34" s="38" cm="1">
        <f t="array" ref="S3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481</v>
      </c>
      <c r="T34" s="36">
        <f>IF(OR(tblRepostajes[[#This Row],[Km desde ult. Repostaje]]="",tblRepostajes[[#This Row],[Km desde ult. Repostaje]]=0),"",(tblRepostajes[[#This Row],[Litros repostados]]/tblRepostajes[[#This Row],[Km desde ult. Repostaje]])*100)</f>
        <v>12.002079002079</v>
      </c>
      <c r="U34" t="s">
        <v>122</v>
      </c>
    </row>
    <row r="35" spans="1:21" x14ac:dyDescent="0.35">
      <c r="A35" t="s">
        <v>361</v>
      </c>
      <c r="B35" s="1">
        <v>46213</v>
      </c>
      <c r="C35" t="s">
        <v>13</v>
      </c>
      <c r="D35" t="s">
        <v>14</v>
      </c>
      <c r="E35" t="s">
        <v>322</v>
      </c>
      <c r="F35" t="s">
        <v>323</v>
      </c>
      <c r="G35">
        <v>49.72</v>
      </c>
      <c r="H35" s="25">
        <f>tblRepostajes[[#This Row],[Importe total (€)]]/tblRepostajes[[#This Row],[Litros repostados]]</f>
        <v>1.6090104585679808</v>
      </c>
      <c r="I35" s="2">
        <v>66.12</v>
      </c>
      <c r="J35" s="3">
        <v>0.21</v>
      </c>
      <c r="K35" s="2">
        <f>tblRepostajes[[#This Row],[Base imponible (€)]]*tblRepostajes[[#This Row],[% IVA]]</f>
        <v>13.885200000000001</v>
      </c>
      <c r="L35" s="2">
        <v>80</v>
      </c>
      <c r="M35">
        <v>619791</v>
      </c>
      <c r="N35" t="s">
        <v>324</v>
      </c>
      <c r="O35">
        <f>YEAR(tblRepostajes[[#This Row],[Fecha]])</f>
        <v>2026</v>
      </c>
      <c r="P35">
        <f>MONTH(tblRepostajes[[#This Row],[Fecha]])</f>
        <v>7</v>
      </c>
      <c r="Q35">
        <f>ROUNDUP(MONTH(tblRepostajes[[#This Row],[Fecha]])/3,0)</f>
        <v>3</v>
      </c>
      <c r="R35">
        <f>VALUE(RIGHT(tblRepostajes[[#This Row],[ID Repostaje]],6))</f>
        <v>13</v>
      </c>
      <c r="S35" s="38" cm="1">
        <f t="array" ref="S3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626</v>
      </c>
      <c r="T35" s="36">
        <f>IF(OR(tblRepostajes[[#This Row],[Km desde ult. Repostaje]]="",tblRepostajes[[#This Row],[Km desde ult. Repostaje]]=0),"",(tblRepostajes[[#This Row],[Litros repostados]]/tblRepostajes[[#This Row],[Km desde ult. Repostaje]])*100)</f>
        <v>7.9424920127795522</v>
      </c>
      <c r="U35" t="s">
        <v>122</v>
      </c>
    </row>
    <row r="36" spans="1:21" x14ac:dyDescent="0.35">
      <c r="A36" t="s">
        <v>362</v>
      </c>
      <c r="B36" s="1">
        <v>46211</v>
      </c>
      <c r="C36" t="s">
        <v>13</v>
      </c>
      <c r="D36" t="s">
        <v>14</v>
      </c>
      <c r="E36" t="s">
        <v>322</v>
      </c>
      <c r="F36" t="s">
        <v>323</v>
      </c>
      <c r="G36">
        <v>68.540000000000006</v>
      </c>
      <c r="H36" s="25">
        <f>tblRepostajes[[#This Row],[Importe total (€)]]/tblRepostajes[[#This Row],[Litros repostados]]</f>
        <v>1.4590020426028596</v>
      </c>
      <c r="I36" s="2">
        <v>82.64</v>
      </c>
      <c r="J36" s="3">
        <v>0.21</v>
      </c>
      <c r="K36" s="2">
        <f>tblRepostajes[[#This Row],[Base imponible (€)]]*tblRepostajes[[#This Row],[% IVA]]</f>
        <v>17.354399999999998</v>
      </c>
      <c r="L36" s="2">
        <v>100</v>
      </c>
      <c r="M36">
        <v>619165</v>
      </c>
      <c r="N36" t="s">
        <v>324</v>
      </c>
      <c r="O36">
        <f>YEAR(tblRepostajes[[#This Row],[Fecha]])</f>
        <v>2026</v>
      </c>
      <c r="P36">
        <f>MONTH(tblRepostajes[[#This Row],[Fecha]])</f>
        <v>7</v>
      </c>
      <c r="Q36">
        <f>ROUNDUP(MONTH(tblRepostajes[[#This Row],[Fecha]])/3,0)</f>
        <v>3</v>
      </c>
      <c r="R36">
        <f>VALUE(RIGHT(tblRepostajes[[#This Row],[ID Repostaje]],6))</f>
        <v>12</v>
      </c>
      <c r="S36" s="38" cm="1">
        <f t="array" ref="S3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667</v>
      </c>
      <c r="T36" s="36">
        <f>IF(OR(tblRepostajes[[#This Row],[Km desde ult. Repostaje]]="",tblRepostajes[[#This Row],[Km desde ult. Repostaje]]=0),"",(tblRepostajes[[#This Row],[Litros repostados]]/tblRepostajes[[#This Row],[Km desde ult. Repostaje]])*100)</f>
        <v>10.275862068965518</v>
      </c>
      <c r="U36" t="s">
        <v>122</v>
      </c>
    </row>
    <row r="37" spans="1:21" x14ac:dyDescent="0.35">
      <c r="A37" t="s">
        <v>363</v>
      </c>
      <c r="B37" s="1">
        <v>46209</v>
      </c>
      <c r="C37" t="s">
        <v>13</v>
      </c>
      <c r="D37" t="s">
        <v>14</v>
      </c>
      <c r="E37" t="s">
        <v>322</v>
      </c>
      <c r="F37" t="s">
        <v>323</v>
      </c>
      <c r="G37">
        <v>65.83</v>
      </c>
      <c r="H37" s="25">
        <f>tblRepostajes[[#This Row],[Importe total (€)]]/tblRepostajes[[#This Row],[Litros repostados]]</f>
        <v>1.5190642564180465</v>
      </c>
      <c r="I37" s="2">
        <v>82.64</v>
      </c>
      <c r="J37" s="3">
        <v>0.21</v>
      </c>
      <c r="K37" s="2">
        <f>tblRepostajes[[#This Row],[Base imponible (€)]]*tblRepostajes[[#This Row],[% IVA]]</f>
        <v>17.354399999999998</v>
      </c>
      <c r="L37" s="2">
        <v>100</v>
      </c>
      <c r="M37">
        <v>618498</v>
      </c>
      <c r="N37" t="s">
        <v>324</v>
      </c>
      <c r="O37">
        <f>YEAR(tblRepostajes[[#This Row],[Fecha]])</f>
        <v>2026</v>
      </c>
      <c r="P37">
        <f>MONTH(tblRepostajes[[#This Row],[Fecha]])</f>
        <v>7</v>
      </c>
      <c r="Q37">
        <f>ROUNDUP(MONTH(tblRepostajes[[#This Row],[Fecha]])/3,0)</f>
        <v>3</v>
      </c>
      <c r="R37">
        <f>VALUE(RIGHT(tblRepostajes[[#This Row],[ID Repostaje]],6))</f>
        <v>11</v>
      </c>
      <c r="S37" s="38" cm="1">
        <f t="array" ref="S3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593</v>
      </c>
      <c r="T37" s="36">
        <f>IF(OR(tblRepostajes[[#This Row],[Km desde ult. Repostaje]]="",tblRepostajes[[#This Row],[Km desde ult. Repostaje]]=0),"",(tblRepostajes[[#This Row],[Litros repostados]]/tblRepostajes[[#This Row],[Km desde ult. Repostaje]])*100)</f>
        <v>11.101180438448566</v>
      </c>
      <c r="U37" t="s">
        <v>122</v>
      </c>
    </row>
    <row r="38" spans="1:21" x14ac:dyDescent="0.35">
      <c r="A38" t="s">
        <v>364</v>
      </c>
      <c r="B38" s="1">
        <v>46207</v>
      </c>
      <c r="C38" t="s">
        <v>13</v>
      </c>
      <c r="D38" t="s">
        <v>14</v>
      </c>
      <c r="E38" t="s">
        <v>322</v>
      </c>
      <c r="F38" t="s">
        <v>323</v>
      </c>
      <c r="G38">
        <v>65.83</v>
      </c>
      <c r="H38" s="25">
        <f>tblRepostajes[[#This Row],[Importe total (€)]]/tblRepostajes[[#This Row],[Litros repostados]]</f>
        <v>1.5190642564180465</v>
      </c>
      <c r="I38" s="2">
        <v>82.64</v>
      </c>
      <c r="J38" s="3">
        <v>0.21</v>
      </c>
      <c r="K38" s="2">
        <f>tblRepostajes[[#This Row],[Base imponible (€)]]*tblRepostajes[[#This Row],[% IVA]]</f>
        <v>17.354399999999998</v>
      </c>
      <c r="L38" s="2">
        <v>100</v>
      </c>
      <c r="M38">
        <v>617905</v>
      </c>
      <c r="N38" t="s">
        <v>324</v>
      </c>
      <c r="O38">
        <f>YEAR(tblRepostajes[[#This Row],[Fecha]])</f>
        <v>2026</v>
      </c>
      <c r="P38">
        <f>MONTH(tblRepostajes[[#This Row],[Fecha]])</f>
        <v>7</v>
      </c>
      <c r="Q38">
        <f>ROUNDUP(MONTH(tblRepostajes[[#This Row],[Fecha]])/3,0)</f>
        <v>3</v>
      </c>
      <c r="R38">
        <f>VALUE(RIGHT(tblRepostajes[[#This Row],[ID Repostaje]],6))</f>
        <v>10</v>
      </c>
      <c r="S38" s="38" cm="1">
        <f t="array" ref="S3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619</v>
      </c>
      <c r="T38" s="36">
        <f>IF(OR(tblRepostajes[[#This Row],[Km desde ult. Repostaje]]="",tblRepostajes[[#This Row],[Km desde ult. Repostaje]]=0),"",(tblRepostajes[[#This Row],[Litros repostados]]/tblRepostajes[[#This Row],[Km desde ult. Repostaje]])*100)</f>
        <v>10.634894991922456</v>
      </c>
      <c r="U38" t="s">
        <v>122</v>
      </c>
    </row>
    <row r="39" spans="1:21" x14ac:dyDescent="0.35">
      <c r="A39" t="s">
        <v>365</v>
      </c>
      <c r="B39" s="1">
        <v>46204</v>
      </c>
      <c r="C39" t="s">
        <v>13</v>
      </c>
      <c r="D39" t="s">
        <v>14</v>
      </c>
      <c r="E39" t="s">
        <v>322</v>
      </c>
      <c r="F39" t="s">
        <v>323</v>
      </c>
      <c r="G39">
        <v>66.27</v>
      </c>
      <c r="H39" s="25">
        <f>tblRepostajes[[#This Row],[Importe total (€)]]/tblRepostajes[[#This Row],[Litros repostados]]</f>
        <v>1.5089784216085711</v>
      </c>
      <c r="I39" s="2">
        <v>82.64</v>
      </c>
      <c r="J39" s="3">
        <v>0.21</v>
      </c>
      <c r="K39" s="2">
        <f>tblRepostajes[[#This Row],[Base imponible (€)]]*tblRepostajes[[#This Row],[% IVA]]</f>
        <v>17.354399999999998</v>
      </c>
      <c r="L39" s="2">
        <v>100</v>
      </c>
      <c r="M39">
        <v>617286</v>
      </c>
      <c r="N39" t="s">
        <v>324</v>
      </c>
      <c r="O39">
        <f>YEAR(tblRepostajes[[#This Row],[Fecha]])</f>
        <v>2026</v>
      </c>
      <c r="P39">
        <f>MONTH(tblRepostajes[[#This Row],[Fecha]])</f>
        <v>7</v>
      </c>
      <c r="Q39">
        <f>ROUNDUP(MONTH(tblRepostajes[[#This Row],[Fecha]])/3,0)</f>
        <v>3</v>
      </c>
      <c r="R39">
        <f>VALUE(RIGHT(tblRepostajes[[#This Row],[ID Repostaje]],6))</f>
        <v>9</v>
      </c>
      <c r="S39" s="38" cm="1">
        <f t="array" ref="S3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665</v>
      </c>
      <c r="T39" s="36">
        <f>IF(OR(tblRepostajes[[#This Row],[Km desde ult. Repostaje]]="",tblRepostajes[[#This Row],[Km desde ult. Repostaje]]=0),"",(tblRepostajes[[#This Row],[Litros repostados]]/tblRepostajes[[#This Row],[Km desde ult. Repostaje]])*100)</f>
        <v>9.9654135338345853</v>
      </c>
      <c r="U39" t="s">
        <v>122</v>
      </c>
    </row>
    <row r="40" spans="1:21" x14ac:dyDescent="0.35">
      <c r="A40" t="s">
        <v>366</v>
      </c>
      <c r="B40" s="1">
        <v>46202</v>
      </c>
      <c r="C40" t="s">
        <v>13</v>
      </c>
      <c r="D40" t="s">
        <v>14</v>
      </c>
      <c r="E40" t="s">
        <v>322</v>
      </c>
      <c r="F40" t="s">
        <v>323</v>
      </c>
      <c r="G40">
        <v>68.540000000000006</v>
      </c>
      <c r="H40" s="25">
        <f>tblRepostajes[[#This Row],[Importe total (€)]]/tblRepostajes[[#This Row],[Litros repostados]]</f>
        <v>1.4590020426028596</v>
      </c>
      <c r="I40" s="2">
        <v>90.91</v>
      </c>
      <c r="J40" s="3">
        <v>0.1</v>
      </c>
      <c r="K40" s="2">
        <f>tblRepostajes[[#This Row],[Base imponible (€)]]*tblRepostajes[[#This Row],[% IVA]]</f>
        <v>9.0909999999999993</v>
      </c>
      <c r="L40" s="2">
        <v>100</v>
      </c>
      <c r="M40">
        <v>616621</v>
      </c>
      <c r="N40" t="s">
        <v>324</v>
      </c>
      <c r="O40">
        <f>YEAR(tblRepostajes[[#This Row],[Fecha]])</f>
        <v>2026</v>
      </c>
      <c r="P40">
        <f>MONTH(tblRepostajes[[#This Row],[Fecha]])</f>
        <v>6</v>
      </c>
      <c r="Q40">
        <f>ROUNDUP(MONTH(tblRepostajes[[#This Row],[Fecha]])/3,0)</f>
        <v>2</v>
      </c>
      <c r="R40">
        <f>VALUE(RIGHT(tblRepostajes[[#This Row],[ID Repostaje]],6))</f>
        <v>8</v>
      </c>
      <c r="S40" s="38" cm="1">
        <f t="array" ref="S4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582</v>
      </c>
      <c r="T40" s="36">
        <f>IF(OR(tblRepostajes[[#This Row],[Km desde ult. Repostaje]]="",tblRepostajes[[#This Row],[Km desde ult. Repostaje]]=0),"",(tblRepostajes[[#This Row],[Litros repostados]]/tblRepostajes[[#This Row],[Km desde ult. Repostaje]])*100)</f>
        <v>11.776632302405501</v>
      </c>
      <c r="U40" t="s">
        <v>122</v>
      </c>
    </row>
    <row r="41" spans="1:21" x14ac:dyDescent="0.35">
      <c r="A41" t="s">
        <v>367</v>
      </c>
      <c r="B41" s="1">
        <v>46200</v>
      </c>
      <c r="C41" t="s">
        <v>13</v>
      </c>
      <c r="D41" t="s">
        <v>14</v>
      </c>
      <c r="E41" t="s">
        <v>322</v>
      </c>
      <c r="F41" t="s">
        <v>323</v>
      </c>
      <c r="G41">
        <v>47.98</v>
      </c>
      <c r="H41" s="25">
        <f>tblRepostajes[[#This Row],[Importe total (€)]]/tblRepostajes[[#This Row],[Litros repostados]]</f>
        <v>1.4590245935806587</v>
      </c>
      <c r="I41" s="2">
        <v>63.64</v>
      </c>
      <c r="J41" s="3">
        <v>0.1</v>
      </c>
      <c r="K41" s="2">
        <f>tblRepostajes[[#This Row],[Base imponible (€)]]*tblRepostajes[[#This Row],[% IVA]]</f>
        <v>6.3640000000000008</v>
      </c>
      <c r="L41" s="2">
        <f>I41+K41</f>
        <v>70.004000000000005</v>
      </c>
      <c r="M41">
        <v>616039</v>
      </c>
      <c r="N41" t="s">
        <v>324</v>
      </c>
      <c r="O41">
        <f>YEAR(tblRepostajes[[#This Row],[Fecha]])</f>
        <v>2026</v>
      </c>
      <c r="P41">
        <f>MONTH(tblRepostajes[[#This Row],[Fecha]])</f>
        <v>6</v>
      </c>
      <c r="Q41">
        <f>ROUNDUP(MONTH(tblRepostajes[[#This Row],[Fecha]])/3,0)</f>
        <v>2</v>
      </c>
      <c r="R41">
        <f>VALUE(RIGHT(tblRepostajes[[#This Row],[ID Repostaje]],6))</f>
        <v>7</v>
      </c>
      <c r="S41" s="38" cm="1">
        <f t="array" ref="S4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566</v>
      </c>
      <c r="T41" s="36">
        <f>IF(OR(tblRepostajes[[#This Row],[Km desde ult. Repostaje]]="",tblRepostajes[[#This Row],[Km desde ult. Repostaje]]=0),"",(tblRepostajes[[#This Row],[Litros repostados]]/tblRepostajes[[#This Row],[Km desde ult. Repostaje]])*100)</f>
        <v>8.4770318021201412</v>
      </c>
      <c r="U41" t="s">
        <v>122</v>
      </c>
    </row>
    <row r="42" spans="1:21" x14ac:dyDescent="0.35">
      <c r="A42" t="s">
        <v>368</v>
      </c>
      <c r="B42" s="1">
        <v>46198</v>
      </c>
      <c r="C42" t="s">
        <v>13</v>
      </c>
      <c r="D42" t="s">
        <v>14</v>
      </c>
      <c r="E42" t="s">
        <v>322</v>
      </c>
      <c r="F42" t="s">
        <v>323</v>
      </c>
      <c r="G42">
        <v>68.069999999999993</v>
      </c>
      <c r="H42" s="25">
        <f>tblRepostajes[[#This Row],[Importe total (€)]]/tblRepostajes[[#This Row],[Litros repostados]]</f>
        <v>1.4690906419861907</v>
      </c>
      <c r="I42" s="2">
        <v>90.91</v>
      </c>
      <c r="J42" s="3">
        <v>0.1</v>
      </c>
      <c r="K42" s="2">
        <f>tblRepostajes[[#This Row],[Base imponible (€)]]*tblRepostajes[[#This Row],[% IVA]]</f>
        <v>9.0909999999999993</v>
      </c>
      <c r="L42" s="2">
        <f>tblRepostajes[[#This Row],[Base imponible (€)]]+tblRepostajes[[#This Row],[IVA (€)]]</f>
        <v>100.00099999999999</v>
      </c>
      <c r="M42">
        <v>615473</v>
      </c>
      <c r="N42" t="s">
        <v>324</v>
      </c>
      <c r="O42">
        <f>YEAR(tblRepostajes[[#This Row],[Fecha]])</f>
        <v>2026</v>
      </c>
      <c r="P42">
        <f>MONTH(tblRepostajes[[#This Row],[Fecha]])</f>
        <v>6</v>
      </c>
      <c r="Q42">
        <f>ROUNDUP(MONTH(tblRepostajes[[#This Row],[Fecha]])/3,0)</f>
        <v>2</v>
      </c>
      <c r="R42">
        <f>VALUE(RIGHT(tblRepostajes[[#This Row],[ID Repostaje]],6))</f>
        <v>6</v>
      </c>
      <c r="S42" s="38" cm="1">
        <f t="array" ref="S4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674</v>
      </c>
      <c r="T42" s="36">
        <f>IF(OR(tblRepostajes[[#This Row],[Km desde ult. Repostaje]]="",tblRepostajes[[#This Row],[Km desde ult. Repostaje]]=0),"",(tblRepostajes[[#This Row],[Litros repostados]]/tblRepostajes[[#This Row],[Km desde ult. Repostaje]])*100)</f>
        <v>10.09940652818991</v>
      </c>
      <c r="U42" t="s">
        <v>122</v>
      </c>
    </row>
    <row r="43" spans="1:21" x14ac:dyDescent="0.35">
      <c r="A43" t="s">
        <v>369</v>
      </c>
      <c r="B43" s="1">
        <v>46196</v>
      </c>
      <c r="C43" t="s">
        <v>13</v>
      </c>
      <c r="D43" t="s">
        <v>14</v>
      </c>
      <c r="E43" t="s">
        <v>322</v>
      </c>
      <c r="F43" t="s">
        <v>323</v>
      </c>
      <c r="G43">
        <v>67.61</v>
      </c>
      <c r="H43" s="25">
        <f>tblRepostajes[[#This Row],[Importe total (€)]]/tblRepostajes[[#This Row],[Litros repostados]]</f>
        <v>1.4790859340334268</v>
      </c>
      <c r="I43" s="2">
        <v>90.91</v>
      </c>
      <c r="J43" s="3">
        <v>0.1</v>
      </c>
      <c r="K43" s="2">
        <f>tblRepostajes[[#This Row],[Base imponible (€)]]*tblRepostajes[[#This Row],[% IVA]]</f>
        <v>9.0909999999999993</v>
      </c>
      <c r="L43" s="2">
        <f>tblRepostajes[[#This Row],[Base imponible (€)]]+tblRepostajes[[#This Row],[IVA (€)]]</f>
        <v>100.00099999999999</v>
      </c>
      <c r="M43">
        <v>614799</v>
      </c>
      <c r="N43" t="s">
        <v>324</v>
      </c>
      <c r="O43">
        <f>YEAR(tblRepostajes[[#This Row],[Fecha]])</f>
        <v>2026</v>
      </c>
      <c r="P43">
        <f>MONTH(tblRepostajes[[#This Row],[Fecha]])</f>
        <v>6</v>
      </c>
      <c r="Q43">
        <f>ROUNDUP(MONTH(tblRepostajes[[#This Row],[Fecha]])/3,0)</f>
        <v>2</v>
      </c>
      <c r="R43">
        <f>VALUE(RIGHT(tblRepostajes[[#This Row],[ID Repostaje]],6))</f>
        <v>5</v>
      </c>
      <c r="S43" s="38"/>
      <c r="T43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3" t="s">
        <v>122</v>
      </c>
    </row>
    <row r="44" spans="1:21" x14ac:dyDescent="0.35">
      <c r="A44" t="s">
        <v>370</v>
      </c>
      <c r="B44" s="1">
        <v>46194</v>
      </c>
      <c r="C44" t="s">
        <v>13</v>
      </c>
      <c r="D44" t="s">
        <v>14</v>
      </c>
      <c r="E44" t="s">
        <v>322</v>
      </c>
      <c r="F44" t="s">
        <v>323</v>
      </c>
      <c r="G44">
        <v>50.37</v>
      </c>
      <c r="H44" s="25">
        <f>tblRepostajes[[#This Row],[Importe total (€)]]/tblRepostajes[[#This Row],[Litros repostados]]</f>
        <v>1.4889418304546358</v>
      </c>
      <c r="I44" s="2">
        <v>68.180000000000007</v>
      </c>
      <c r="J44" s="3">
        <v>0.1</v>
      </c>
      <c r="K44" s="2">
        <f>tblRepostajes[[#This Row],[Base imponible (€)]]*tblRepostajes[[#This Row],[% IVA]]</f>
        <v>6.8180000000000014</v>
      </c>
      <c r="L44" s="2">
        <f>tblRepostajes[[#This Row],[Base imponible (€)]]+tblRepostajes[[#This Row],[IVA (€)]]</f>
        <v>74.998000000000005</v>
      </c>
      <c r="N44" t="s">
        <v>328</v>
      </c>
      <c r="O44">
        <f>YEAR(tblRepostajes[[#This Row],[Fecha]])</f>
        <v>2026</v>
      </c>
      <c r="P44">
        <f>MONTH(tblRepostajes[[#This Row],[Fecha]])</f>
        <v>6</v>
      </c>
      <c r="Q44">
        <f>ROUNDUP(MONTH(tblRepostajes[[#This Row],[Fecha]])/3,0)</f>
        <v>2</v>
      </c>
      <c r="R44">
        <f>VALUE(RIGHT(tblRepostajes[[#This Row],[ID Repostaje]],6))</f>
        <v>4</v>
      </c>
      <c r="S44" s="38" cm="1">
        <f t="array" ref="S4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0</v>
      </c>
      <c r="T44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4" t="s">
        <v>122</v>
      </c>
    </row>
    <row r="45" spans="1:21" x14ac:dyDescent="0.35">
      <c r="A45" t="s">
        <v>371</v>
      </c>
      <c r="B45" s="1">
        <v>46192</v>
      </c>
      <c r="C45" t="s">
        <v>13</v>
      </c>
      <c r="D45" t="s">
        <v>14</v>
      </c>
      <c r="E45" t="s">
        <v>372</v>
      </c>
      <c r="F45" t="s">
        <v>323</v>
      </c>
      <c r="G45">
        <v>67.16</v>
      </c>
      <c r="H45" s="25">
        <f>tblRepostajes[[#This Row],[Importe total (€)]]/tblRepostajes[[#This Row],[Litros repostados]]</f>
        <v>1.4889964264443121</v>
      </c>
      <c r="I45" s="2">
        <v>90.91</v>
      </c>
      <c r="J45" s="3">
        <v>0.1</v>
      </c>
      <c r="K45" s="2">
        <f>tblRepostajes[[#This Row],[Base imponible (€)]]*tblRepostajes[[#This Row],[% IVA]]</f>
        <v>9.0909999999999993</v>
      </c>
      <c r="L45" s="2">
        <f>tblRepostajes[[#This Row],[Base imponible (€)]]+tblRepostajes[[#This Row],[IVA (€)]]</f>
        <v>100.00099999999999</v>
      </c>
      <c r="N45" t="s">
        <v>373</v>
      </c>
      <c r="O45">
        <f>YEAR(tblRepostajes[[#This Row],[Fecha]])</f>
        <v>2026</v>
      </c>
      <c r="P45">
        <f>MONTH(tblRepostajes[[#This Row],[Fecha]])</f>
        <v>6</v>
      </c>
      <c r="Q45">
        <f>ROUNDUP(MONTH(tblRepostajes[[#This Row],[Fecha]])/3,0)</f>
        <v>2</v>
      </c>
      <c r="R45">
        <f>VALUE(RIGHT(tblRepostajes[[#This Row],[ID Repostaje]],6))</f>
        <v>3</v>
      </c>
      <c r="S45" s="38" cm="1">
        <f t="array" ref="S4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0</v>
      </c>
      <c r="T45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5" t="s">
        <v>374</v>
      </c>
    </row>
    <row r="46" spans="1:21" x14ac:dyDescent="0.35">
      <c r="A46" t="s">
        <v>375</v>
      </c>
      <c r="B46" s="1">
        <v>46189</v>
      </c>
      <c r="C46" t="s">
        <v>13</v>
      </c>
      <c r="D46" t="s">
        <v>14</v>
      </c>
      <c r="E46" t="s">
        <v>322</v>
      </c>
      <c r="F46" t="s">
        <v>323</v>
      </c>
      <c r="G46">
        <v>33.58</v>
      </c>
      <c r="H46" s="25">
        <f>tblRepostajes[[#This Row],[Importe total (€)]]/tblRepostajes[[#This Row],[Litros repostados]]</f>
        <v>1.488832638475283</v>
      </c>
      <c r="I46" s="2">
        <v>45.45</v>
      </c>
      <c r="J46" s="3">
        <v>0.1</v>
      </c>
      <c r="K46" s="2">
        <f>tblRepostajes[[#This Row],[Base imponible (€)]]*tblRepostajes[[#This Row],[% IVA]]</f>
        <v>4.5450000000000008</v>
      </c>
      <c r="L46" s="2">
        <f>tblRepostajes[[#This Row],[Base imponible (€)]]+tblRepostajes[[#This Row],[IVA (€)]]</f>
        <v>49.995000000000005</v>
      </c>
      <c r="N46" t="s">
        <v>373</v>
      </c>
      <c r="O46">
        <f>YEAR(tblRepostajes[[#This Row],[Fecha]])</f>
        <v>2026</v>
      </c>
      <c r="P46">
        <f>MONTH(tblRepostajes[[#This Row],[Fecha]])</f>
        <v>6</v>
      </c>
      <c r="Q46">
        <f>ROUNDUP(MONTH(tblRepostajes[[#This Row],[Fecha]])/3,0)</f>
        <v>2</v>
      </c>
      <c r="R46">
        <f>VALUE(RIGHT(tblRepostajes[[#This Row],[ID Repostaje]],6))</f>
        <v>2</v>
      </c>
      <c r="S46" s="38" cm="1">
        <f t="array" ref="S4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0</v>
      </c>
      <c r="T46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6" t="s">
        <v>376</v>
      </c>
    </row>
    <row r="47" spans="1:21" x14ac:dyDescent="0.35">
      <c r="A47" t="s">
        <v>377</v>
      </c>
      <c r="B47" s="1">
        <v>46188</v>
      </c>
      <c r="C47" t="s">
        <v>13</v>
      </c>
      <c r="D47" t="s">
        <v>14</v>
      </c>
      <c r="E47" t="s">
        <v>322</v>
      </c>
      <c r="F47" t="s">
        <v>323</v>
      </c>
      <c r="G47">
        <v>33.58</v>
      </c>
      <c r="H47" s="25">
        <f>tblRepostajes[[#This Row],[Importe total (€)]]/tblRepostajes[[#This Row],[Litros repostados]]</f>
        <v>1.488832638475283</v>
      </c>
      <c r="I47" s="2">
        <v>45.45</v>
      </c>
      <c r="J47" s="3">
        <v>0.1</v>
      </c>
      <c r="K47" s="2">
        <f>tblRepostajes[[#This Row],[Base imponible (€)]]*tblRepostajes[[#This Row],[% IVA]]</f>
        <v>4.5450000000000008</v>
      </c>
      <c r="L47" s="2">
        <f>tblRepostajes[[#This Row],[Base imponible (€)]]+tblRepostajes[[#This Row],[IVA (€)]]</f>
        <v>49.995000000000005</v>
      </c>
      <c r="N47" t="s">
        <v>373</v>
      </c>
      <c r="O47">
        <f>YEAR(tblRepostajes[[#This Row],[Fecha]])</f>
        <v>2026</v>
      </c>
      <c r="P47">
        <f>MONTH(tblRepostajes[[#This Row],[Fecha]])</f>
        <v>6</v>
      </c>
      <c r="Q47">
        <f>ROUNDUP(MONTH(tblRepostajes[[#This Row],[Fecha]])/3,0)</f>
        <v>2</v>
      </c>
      <c r="R47">
        <f>VALUE(RIGHT(tblRepostajes[[#This Row],[ID Repostaje]],6))</f>
        <v>1</v>
      </c>
      <c r="S47" s="38" t="str" cm="1">
        <f t="array" ref="S4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/>
      </c>
      <c r="T47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7" t="s">
        <v>376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NuevoRepostaje.NuevoRepostaje">
                <anchor moveWithCells="1" sizeWithCells="1">
                  <from>
                    <xdr:col>22</xdr:col>
                    <xdr:colOff>6350</xdr:colOff>
                    <xdr:row>0</xdr:row>
                    <xdr:rowOff>177800</xdr:rowOff>
                  </from>
                  <to>
                    <xdr:col>24</xdr:col>
                    <xdr:colOff>603250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8749EF3-068C-423D-9378-C8E0C68151DB}">
          <x14:formula1>
            <xm:f>'99_Listas'!$H$2:$H$4</xm:f>
          </x14:formula1>
          <xm:sqref>F2:F47</xm:sqref>
        </x14:dataValidation>
        <x14:dataValidation type="list" allowBlank="1" showInputMessage="1" showErrorMessage="1" xr:uid="{8DB69FD8-3C06-4F86-94F2-F3AA081656F4}">
          <x14:formula1>
            <xm:f>'99_Listas'!$I$2:$I$4</xm:f>
          </x14:formula1>
          <xm:sqref>N2:N47</xm:sqref>
        </x14:dataValidation>
        <x14:dataValidation type="list" allowBlank="1" showInputMessage="1" showErrorMessage="1" xr:uid="{0AE1A344-4C85-45DC-9E20-11313F818034}">
          <x14:formula1>
            <xm:f>'99_Listas'!$D$2:$D$5</xm:f>
          </x14:formula1>
          <xm:sqref>D2:D47</xm:sqref>
        </x14:dataValidation>
        <x14:dataValidation type="list" allowBlank="1" showInputMessage="1" showErrorMessage="1" xr:uid="{9C9B57D4-45DA-4AAB-B50E-4D74A9E60010}">
          <x14:formula1>
            <xm:f>'99_Listas'!$C$2:$C$6</xm:f>
          </x14:formula1>
          <xm:sqref>C2:C47</xm:sqref>
        </x14:dataValidation>
        <x14:dataValidation type="list" allowBlank="1" showInputMessage="1" showErrorMessage="1" xr:uid="{C9BDE9E8-D068-430D-B574-1D09E9152D62}">
          <x14:formula1>
            <xm:f>'99_Listas'!$G$2:$G$9</xm:f>
          </x14:formula1>
          <xm:sqref>E2:E47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F697-774E-4779-9065-86F03540C65F}">
  <sheetPr codeName="Hoja3"/>
  <dimension ref="A1:Q94"/>
  <sheetViews>
    <sheetView zoomScale="91" workbookViewId="0">
      <selection activeCell="I6" sqref="I6"/>
    </sheetView>
  </sheetViews>
  <sheetFormatPr baseColWidth="10" defaultColWidth="8.7265625" defaultRowHeight="14.5" x14ac:dyDescent="0.35"/>
  <cols>
    <col min="1" max="1" width="11.81640625" bestFit="1" customWidth="1"/>
    <col min="2" max="2" width="14.54296875" style="1" bestFit="1" customWidth="1"/>
    <col min="3" max="3" width="34.453125" bestFit="1" customWidth="1"/>
    <col min="4" max="4" width="51" bestFit="1" customWidth="1"/>
    <col min="5" max="5" width="24.453125" style="2" bestFit="1" customWidth="1"/>
    <col min="6" max="6" width="19.7265625" style="3" hidden="1" customWidth="1"/>
    <col min="7" max="7" width="19.54296875" bestFit="1" customWidth="1"/>
    <col min="8" max="8" width="15.81640625" bestFit="1" customWidth="1"/>
    <col min="9" max="9" width="9.453125" bestFit="1" customWidth="1"/>
    <col min="10" max="10" width="10.7265625" bestFit="1" customWidth="1"/>
    <col min="11" max="11" width="9.1796875" bestFit="1" customWidth="1"/>
    <col min="12" max="12" width="10.81640625" bestFit="1" customWidth="1"/>
    <col min="13" max="13" width="6.54296875" hidden="1" customWidth="1"/>
    <col min="14" max="14" width="6.81640625" hidden="1" customWidth="1"/>
    <col min="15" max="15" width="11.26953125" hidden="1" customWidth="1"/>
    <col min="16" max="16" width="51.1796875" hidden="1" customWidth="1"/>
    <col min="17" max="17" width="52.453125" bestFit="1" customWidth="1"/>
  </cols>
  <sheetData>
    <row r="1" spans="1:17" x14ac:dyDescent="0.35">
      <c r="A1" t="s">
        <v>43</v>
      </c>
      <c r="B1" s="1" t="s">
        <v>378</v>
      </c>
      <c r="C1" t="s">
        <v>379</v>
      </c>
      <c r="D1" t="s">
        <v>380</v>
      </c>
      <c r="E1" t="s">
        <v>381</v>
      </c>
      <c r="F1" t="s">
        <v>249</v>
      </c>
      <c r="G1" t="s">
        <v>3</v>
      </c>
      <c r="H1" s="2" t="s">
        <v>382</v>
      </c>
      <c r="I1" s="2" t="s">
        <v>383</v>
      </c>
      <c r="J1" s="2" t="s">
        <v>40</v>
      </c>
      <c r="K1" s="3" t="s">
        <v>313</v>
      </c>
      <c r="L1" s="2" t="s">
        <v>314</v>
      </c>
      <c r="M1" s="2" t="s">
        <v>384</v>
      </c>
      <c r="N1" s="2" t="s">
        <v>8</v>
      </c>
      <c r="O1" s="2" t="s">
        <v>9</v>
      </c>
      <c r="P1" t="s">
        <v>42</v>
      </c>
      <c r="Q1" t="s">
        <v>44</v>
      </c>
    </row>
    <row r="2" spans="1:17" x14ac:dyDescent="0.35">
      <c r="A2" t="s">
        <v>799</v>
      </c>
      <c r="B2" s="1">
        <v>46272</v>
      </c>
      <c r="C2" t="s">
        <v>392</v>
      </c>
      <c r="D2" t="s">
        <v>800</v>
      </c>
      <c r="E2" t="s">
        <v>388</v>
      </c>
      <c r="F2" s="70" t="str">
        <f>IF(OR(E2="EPIs",E2="Tasas (puesta en marcha)",E2="Acondicionamiento vehículo",E2="Equipamiento vehículo",E2="Maquinaria",E2="Inversión en vehículos"),"Inversión","Operación")</f>
        <v>Inversión</v>
      </c>
      <c r="G2" t="s">
        <v>404</v>
      </c>
      <c r="H2" s="2" t="s">
        <v>399</v>
      </c>
      <c r="I2" s="2" t="s">
        <v>400</v>
      </c>
      <c r="J2" s="2">
        <v>313.26</v>
      </c>
      <c r="K2" s="3">
        <f>IF(tblFacturasRecibidas[[#This Row],[Categoría]]="Combustible",10%,21%)</f>
        <v>0.21</v>
      </c>
      <c r="L2" s="2">
        <f>IFERROR(tblFacturasRecibidas[[#This Row],[Base imponible (€)]]*tblFacturasRecibidas[[#This Row],[% IVA]],0)</f>
        <v>65.784599999999998</v>
      </c>
      <c r="M2" s="2">
        <f>tblFacturasRecibidas[[#This Row],[Base imponible (€)]]+tblFacturasRecibidas[[#This Row],[IVA (€)]]</f>
        <v>379.0446</v>
      </c>
      <c r="N2" s="70">
        <f>YEAR(tblFacturasRecibidas[[#This Row],[Fecha factura]])</f>
        <v>2026</v>
      </c>
      <c r="O2" s="70">
        <f>MONTH(tblFacturasRecibidas[[#This Row],[Fecha factura]])</f>
        <v>9</v>
      </c>
      <c r="P2" s="70">
        <f>ROUNDUP(MONTH(tblFacturasRecibidas[[#This Row],[Fecha factura]])/3,0)</f>
        <v>3</v>
      </c>
    </row>
    <row r="3" spans="1:17" x14ac:dyDescent="0.35">
      <c r="A3" t="s">
        <v>385</v>
      </c>
      <c r="B3" s="1">
        <v>46269</v>
      </c>
      <c r="C3" t="s">
        <v>386</v>
      </c>
      <c r="D3" t="s">
        <v>387</v>
      </c>
      <c r="E3" t="s">
        <v>388</v>
      </c>
      <c r="F3" t="str">
        <f t="shared" ref="F3:F8" si="0">IF(OR(E3="EPIs",E3="Tasas (puesta en marcha)",E3="Acondicionamiento vehículo",E3="Equipamiento vehículo",E3="Maquinaria",E3="Inversión en vehículos"),"Inversión","Operación")</f>
        <v>Inversión</v>
      </c>
      <c r="G3" t="s">
        <v>334</v>
      </c>
      <c r="H3" s="2" t="s">
        <v>373</v>
      </c>
      <c r="I3" s="2" t="s">
        <v>389</v>
      </c>
      <c r="J3" s="2">
        <v>70</v>
      </c>
      <c r="K3" s="3" t="s">
        <v>390</v>
      </c>
      <c r="L3" s="2">
        <f>IFERROR(tblFacturasRecibidas[[#This Row],[Base imponible (€)]]*tblFacturasRecibidas[[#This Row],[% IVA]],0)</f>
        <v>0</v>
      </c>
      <c r="M3" s="2">
        <f>tblFacturasRecibidas[[#This Row],[Base imponible (€)]]+tblFacturasRecibidas[[#This Row],[IVA (€)]]</f>
        <v>70</v>
      </c>
      <c r="N3">
        <f>YEAR(tblFacturasRecibidas[[#This Row],[Fecha factura]])</f>
        <v>2026</v>
      </c>
      <c r="O3">
        <f>MONTH(tblFacturasRecibidas[[#This Row],[Fecha factura]])</f>
        <v>9</v>
      </c>
      <c r="P3">
        <f>ROUNDUP(MONTH(tblFacturasRecibidas[[#This Row],[Fecha factura]])/3,0)</f>
        <v>3</v>
      </c>
    </row>
    <row r="4" spans="1:17" x14ac:dyDescent="0.35">
      <c r="A4" t="s">
        <v>391</v>
      </c>
      <c r="B4" s="1">
        <v>46268</v>
      </c>
      <c r="C4" t="s">
        <v>392</v>
      </c>
      <c r="D4" t="s">
        <v>393</v>
      </c>
      <c r="E4" t="s">
        <v>394</v>
      </c>
      <c r="F4" t="str">
        <f t="shared" si="0"/>
        <v>Inversión</v>
      </c>
      <c r="G4" t="s">
        <v>395</v>
      </c>
      <c r="H4" s="2" t="s">
        <v>328</v>
      </c>
      <c r="I4" s="2" t="s">
        <v>389</v>
      </c>
      <c r="J4" s="2">
        <v>-24.78</v>
      </c>
      <c r="K4" s="3">
        <f>IF(tblFacturasRecibidas[[#This Row],[Categoría]]="Combustible",10%,21%)</f>
        <v>0.21</v>
      </c>
      <c r="L4" s="2">
        <f>IFERROR(tblFacturasRecibidas[[#This Row],[Base imponible (€)]]*tblFacturasRecibidas[[#This Row],[% IVA]],0)</f>
        <v>-5.2038000000000002</v>
      </c>
      <c r="M4" s="2">
        <f>tblFacturasRecibidas[[#This Row],[Base imponible (€)]]+tblFacturasRecibidas[[#This Row],[IVA (€)]]</f>
        <v>-29.983800000000002</v>
      </c>
      <c r="N4">
        <f>YEAR(tblFacturasRecibidas[[#This Row],[Fecha factura]])</f>
        <v>2026</v>
      </c>
      <c r="O4">
        <f>MONTH(tblFacturasRecibidas[[#This Row],[Fecha factura]])</f>
        <v>9</v>
      </c>
      <c r="P4">
        <f>ROUNDUP(MONTH(tblFacturasRecibidas[[#This Row],[Fecha factura]])/3,0)</f>
        <v>3</v>
      </c>
      <c r="Q4" t="s">
        <v>396</v>
      </c>
    </row>
    <row r="5" spans="1:17" x14ac:dyDescent="0.35">
      <c r="A5" t="s">
        <v>397</v>
      </c>
      <c r="B5" s="1">
        <v>46268</v>
      </c>
      <c r="C5" t="s">
        <v>392</v>
      </c>
      <c r="D5" t="s">
        <v>398</v>
      </c>
      <c r="E5" t="s">
        <v>388</v>
      </c>
      <c r="F5" t="str">
        <f t="shared" si="0"/>
        <v>Inversión</v>
      </c>
      <c r="G5" t="s">
        <v>334</v>
      </c>
      <c r="H5" s="2" t="s">
        <v>399</v>
      </c>
      <c r="I5" s="2" t="s">
        <v>400</v>
      </c>
      <c r="J5" s="2">
        <v>-53.66</v>
      </c>
      <c r="K5" s="3">
        <f>IF(tblFacturasRecibidas[[#This Row],[Categoría]]="Combustible",10%,21%)</f>
        <v>0.21</v>
      </c>
      <c r="L5" s="2">
        <f>IFERROR(tblFacturasRecibidas[[#This Row],[Base imponible (€)]]*tblFacturasRecibidas[[#This Row],[% IVA]],0)</f>
        <v>-11.268599999999999</v>
      </c>
      <c r="M5" s="2">
        <f>tblFacturasRecibidas[[#This Row],[Base imponible (€)]]+tblFacturasRecibidas[[#This Row],[IVA (€)]]</f>
        <v>-64.928599999999989</v>
      </c>
      <c r="N5">
        <f>YEAR(tblFacturasRecibidas[[#This Row],[Fecha factura]])</f>
        <v>2026</v>
      </c>
      <c r="O5">
        <f>MONTH(tblFacturasRecibidas[[#This Row],[Fecha factura]])</f>
        <v>9</v>
      </c>
      <c r="P5">
        <f>ROUNDUP(MONTH(tblFacturasRecibidas[[#This Row],[Fecha factura]])/3,0)</f>
        <v>3</v>
      </c>
    </row>
    <row r="6" spans="1:17" x14ac:dyDescent="0.35">
      <c r="A6" t="s">
        <v>401</v>
      </c>
      <c r="B6" s="1">
        <v>46267</v>
      </c>
      <c r="C6" t="s">
        <v>402</v>
      </c>
      <c r="D6" t="s">
        <v>403</v>
      </c>
      <c r="E6" t="s">
        <v>388</v>
      </c>
      <c r="F6" t="str">
        <f t="shared" si="0"/>
        <v>Inversión</v>
      </c>
      <c r="G6" t="s">
        <v>404</v>
      </c>
      <c r="H6" s="2" t="s">
        <v>328</v>
      </c>
      <c r="I6" s="2" t="s">
        <v>389</v>
      </c>
      <c r="J6" s="2">
        <v>13.94</v>
      </c>
      <c r="K6" s="3">
        <f>IF(tblFacturasRecibidas[[#This Row],[Categoría]]="Combustible",10%,21%)</f>
        <v>0.21</v>
      </c>
      <c r="L6" s="2">
        <f>IFERROR(tblFacturasRecibidas[[#This Row],[Base imponible (€)]]*tblFacturasRecibidas[[#This Row],[% IVA]],0)</f>
        <v>2.9274</v>
      </c>
      <c r="M6" s="2">
        <f>tblFacturasRecibidas[[#This Row],[Base imponible (€)]]+tblFacturasRecibidas[[#This Row],[IVA (€)]]</f>
        <v>16.8674</v>
      </c>
      <c r="N6">
        <f>YEAR(tblFacturasRecibidas[[#This Row],[Fecha factura]])</f>
        <v>2026</v>
      </c>
      <c r="O6">
        <f>MONTH(tblFacturasRecibidas[[#This Row],[Fecha factura]])</f>
        <v>9</v>
      </c>
      <c r="P6">
        <f>ROUNDUP(MONTH(tblFacturasRecibidas[[#This Row],[Fecha factura]])/3,0)</f>
        <v>3</v>
      </c>
    </row>
    <row r="7" spans="1:17" x14ac:dyDescent="0.35">
      <c r="A7" t="s">
        <v>405</v>
      </c>
      <c r="B7" s="1">
        <v>46267</v>
      </c>
      <c r="C7" t="s">
        <v>402</v>
      </c>
      <c r="D7" t="s">
        <v>403</v>
      </c>
      <c r="E7" t="s">
        <v>388</v>
      </c>
      <c r="F7" t="str">
        <f t="shared" si="0"/>
        <v>Inversión</v>
      </c>
      <c r="G7" t="s">
        <v>404</v>
      </c>
      <c r="H7" s="2" t="s">
        <v>328</v>
      </c>
      <c r="I7" s="2" t="s">
        <v>389</v>
      </c>
      <c r="J7" s="2">
        <v>2.6</v>
      </c>
      <c r="K7" s="3">
        <f>IF(tblFacturasRecibidas[[#This Row],[Categoría]]="Combustible",10%,21%)</f>
        <v>0.21</v>
      </c>
      <c r="L7" s="2">
        <f>IFERROR(tblFacturasRecibidas[[#This Row],[Base imponible (€)]]*tblFacturasRecibidas[[#This Row],[% IVA]],0)</f>
        <v>0.54600000000000004</v>
      </c>
      <c r="M7" s="2">
        <f>tblFacturasRecibidas[[#This Row],[Base imponible (€)]]+tblFacturasRecibidas[[#This Row],[IVA (€)]]</f>
        <v>3.1459999999999999</v>
      </c>
      <c r="N7">
        <f>YEAR(tblFacturasRecibidas[[#This Row],[Fecha factura]])</f>
        <v>2026</v>
      </c>
      <c r="O7">
        <f>MONTH(tblFacturasRecibidas[[#This Row],[Fecha factura]])</f>
        <v>9</v>
      </c>
      <c r="P7">
        <f>ROUNDUP(MONTH(tblFacturasRecibidas[[#This Row],[Fecha factura]])/3,0)</f>
        <v>3</v>
      </c>
    </row>
    <row r="8" spans="1:17" x14ac:dyDescent="0.35">
      <c r="A8" t="s">
        <v>406</v>
      </c>
      <c r="B8" s="1">
        <v>46265</v>
      </c>
      <c r="C8" t="s">
        <v>392</v>
      </c>
      <c r="D8" t="s">
        <v>407</v>
      </c>
      <c r="E8" t="s">
        <v>388</v>
      </c>
      <c r="F8" t="str">
        <f t="shared" si="0"/>
        <v>Inversión</v>
      </c>
      <c r="G8" t="s">
        <v>334</v>
      </c>
      <c r="H8" s="2" t="s">
        <v>328</v>
      </c>
      <c r="I8" s="2" t="s">
        <v>389</v>
      </c>
      <c r="J8" s="2">
        <v>63.37</v>
      </c>
      <c r="K8" s="3">
        <f>IF(tblFacturasRecibidas[[#This Row],[Categoría]]="Combustible",10%,21%)</f>
        <v>0.21</v>
      </c>
      <c r="L8" s="2">
        <f>IFERROR(tblFacturasRecibidas[[#This Row],[Base imponible (€)]]*tblFacturasRecibidas[[#This Row],[% IVA]],0)</f>
        <v>13.307699999999999</v>
      </c>
      <c r="M8" s="2">
        <f>tblFacturasRecibidas[[#This Row],[Base imponible (€)]]+tblFacturasRecibidas[[#This Row],[IVA (€)]]</f>
        <v>76.677700000000002</v>
      </c>
      <c r="N8">
        <f>YEAR(tblFacturasRecibidas[[#This Row],[Fecha factura]])</f>
        <v>2026</v>
      </c>
      <c r="O8">
        <f>MONTH(tblFacturasRecibidas[[#This Row],[Fecha factura]])</f>
        <v>8</v>
      </c>
      <c r="P8">
        <f>ROUNDUP(MONTH(tblFacturasRecibidas[[#This Row],[Fecha factura]])/3,0)</f>
        <v>3</v>
      </c>
    </row>
    <row r="9" spans="1:17" x14ac:dyDescent="0.35">
      <c r="A9" t="s">
        <v>408</v>
      </c>
      <c r="B9" s="1">
        <v>46267</v>
      </c>
      <c r="C9" t="s">
        <v>409</v>
      </c>
      <c r="D9" t="s">
        <v>410</v>
      </c>
      <c r="E9" t="s">
        <v>388</v>
      </c>
      <c r="F9" t="str">
        <f t="shared" ref="F9:F40" si="1">IF(OR(E9="EPIs",E9="Tasas (puesta en marcha)",E9="Acondicionamiento vehículo",E9="Equipamiento vehículo",E9="Maquinaria",E9="Inversión en vehículos"),"Inversión","Operación")</f>
        <v>Inversión</v>
      </c>
      <c r="G9" t="s">
        <v>404</v>
      </c>
      <c r="H9" s="2" t="s">
        <v>328</v>
      </c>
      <c r="I9" s="2" t="s">
        <v>389</v>
      </c>
      <c r="J9" s="2">
        <v>37.979999999999997</v>
      </c>
      <c r="K9" s="3" t="s">
        <v>390</v>
      </c>
      <c r="L9" s="2">
        <f>IFERROR(tblFacturasRecibidas[[#This Row],[Base imponible (€)]]*tblFacturasRecibidas[[#This Row],[% IVA]],0)</f>
        <v>0</v>
      </c>
      <c r="M9" s="2">
        <f>tblFacturasRecibidas[[#This Row],[Base imponible (€)]]+tblFacturasRecibidas[[#This Row],[IVA (€)]]</f>
        <v>37.979999999999997</v>
      </c>
      <c r="N9">
        <f>YEAR(tblFacturasRecibidas[[#This Row],[Fecha factura]])</f>
        <v>2026</v>
      </c>
      <c r="O9">
        <f>MONTH(tblFacturasRecibidas[[#This Row],[Fecha factura]])</f>
        <v>9</v>
      </c>
      <c r="P9">
        <f>ROUNDUP(MONTH(tblFacturasRecibidas[[#This Row],[Fecha factura]])/3,0)</f>
        <v>3</v>
      </c>
    </row>
    <row r="10" spans="1:17" x14ac:dyDescent="0.35">
      <c r="A10" t="s">
        <v>411</v>
      </c>
      <c r="B10" s="1">
        <v>46267</v>
      </c>
      <c r="C10" t="s">
        <v>402</v>
      </c>
      <c r="D10" t="s">
        <v>412</v>
      </c>
      <c r="E10" t="s">
        <v>388</v>
      </c>
      <c r="F10" t="str">
        <f t="shared" si="1"/>
        <v>Inversión</v>
      </c>
      <c r="G10" t="s">
        <v>404</v>
      </c>
      <c r="H10" s="2" t="s">
        <v>328</v>
      </c>
      <c r="I10" s="2" t="s">
        <v>389</v>
      </c>
      <c r="J10" s="2">
        <v>48.1</v>
      </c>
      <c r="K10" s="3" t="s">
        <v>390</v>
      </c>
      <c r="L10" s="2">
        <f>IFERROR(tblFacturasRecibidas[[#This Row],[Base imponible (€)]]*tblFacturasRecibidas[[#This Row],[% IVA]],0)</f>
        <v>0</v>
      </c>
      <c r="M10" s="2">
        <f>tblFacturasRecibidas[[#This Row],[Base imponible (€)]]+tblFacturasRecibidas[[#This Row],[IVA (€)]]</f>
        <v>48.1</v>
      </c>
      <c r="N10">
        <f>YEAR(tblFacturasRecibidas[[#This Row],[Fecha factura]])</f>
        <v>2026</v>
      </c>
      <c r="O10">
        <f>MONTH(tblFacturasRecibidas[[#This Row],[Fecha factura]])</f>
        <v>9</v>
      </c>
      <c r="P10">
        <f>ROUNDUP(MONTH(tblFacturasRecibidas[[#This Row],[Fecha factura]])/3,0)</f>
        <v>3</v>
      </c>
    </row>
    <row r="11" spans="1:17" x14ac:dyDescent="0.35">
      <c r="A11" t="s">
        <v>413</v>
      </c>
      <c r="B11" s="1">
        <v>46267</v>
      </c>
      <c r="C11" t="s">
        <v>414</v>
      </c>
      <c r="D11" t="s">
        <v>415</v>
      </c>
      <c r="E11" t="s">
        <v>388</v>
      </c>
      <c r="F11" t="str">
        <f t="shared" si="1"/>
        <v>Inversión</v>
      </c>
      <c r="G11" t="s">
        <v>404</v>
      </c>
      <c r="H11" s="2" t="s">
        <v>328</v>
      </c>
      <c r="I11" s="2" t="s">
        <v>389</v>
      </c>
      <c r="J11" s="2">
        <f>49.51/1.21</f>
        <v>40.917355371900825</v>
      </c>
      <c r="K11" s="3">
        <f>IF(tblFacturasRecibidas[[#This Row],[Categoría]]="Combustible",10%,21%)</f>
        <v>0.21</v>
      </c>
      <c r="L11" s="2">
        <f>IFERROR(tblFacturasRecibidas[[#This Row],[Base imponible (€)]]*tblFacturasRecibidas[[#This Row],[% IVA]],0)</f>
        <v>8.5926446280991726</v>
      </c>
      <c r="M11" s="2">
        <f>tblFacturasRecibidas[[#This Row],[Base imponible (€)]]+tblFacturasRecibidas[[#This Row],[IVA (€)]]</f>
        <v>49.51</v>
      </c>
      <c r="N11">
        <f>YEAR(tblFacturasRecibidas[[#This Row],[Fecha factura]])</f>
        <v>2026</v>
      </c>
      <c r="O11">
        <f>MONTH(tblFacturasRecibidas[[#This Row],[Fecha factura]])</f>
        <v>9</v>
      </c>
      <c r="P11">
        <f>ROUNDUP(MONTH(tblFacturasRecibidas[[#This Row],[Fecha factura]])/3,0)</f>
        <v>3</v>
      </c>
      <c r="Q11" t="s">
        <v>416</v>
      </c>
    </row>
    <row r="12" spans="1:17" x14ac:dyDescent="0.35">
      <c r="A12" t="s">
        <v>417</v>
      </c>
      <c r="B12" s="1">
        <v>46267</v>
      </c>
      <c r="C12" t="s">
        <v>402</v>
      </c>
      <c r="D12" t="s">
        <v>418</v>
      </c>
      <c r="E12" t="s">
        <v>388</v>
      </c>
      <c r="F12" t="str">
        <f t="shared" si="1"/>
        <v>Inversión</v>
      </c>
      <c r="G12" t="s">
        <v>404</v>
      </c>
      <c r="H12" s="2" t="s">
        <v>328</v>
      </c>
      <c r="I12" s="2" t="s">
        <v>389</v>
      </c>
      <c r="J12" s="2">
        <v>23.57</v>
      </c>
      <c r="K12" s="3" t="s">
        <v>390</v>
      </c>
      <c r="L12" s="2">
        <f>IFERROR(tblFacturasRecibidas[[#This Row],[Base imponible (€)]]*tblFacturasRecibidas[[#This Row],[% IVA]],0)</f>
        <v>0</v>
      </c>
      <c r="M12" s="2">
        <f>tblFacturasRecibidas[[#This Row],[Base imponible (€)]]+tblFacturasRecibidas[[#This Row],[IVA (€)]]</f>
        <v>23.57</v>
      </c>
      <c r="N12">
        <f>YEAR(tblFacturasRecibidas[[#This Row],[Fecha factura]])</f>
        <v>2026</v>
      </c>
      <c r="O12">
        <f>MONTH(tblFacturasRecibidas[[#This Row],[Fecha factura]])</f>
        <v>9</v>
      </c>
      <c r="P12">
        <f>ROUNDUP(MONTH(tblFacturasRecibidas[[#This Row],[Fecha factura]])/3,0)</f>
        <v>3</v>
      </c>
      <c r="Q12" t="s">
        <v>419</v>
      </c>
    </row>
    <row r="13" spans="1:17" x14ac:dyDescent="0.35">
      <c r="A13" t="s">
        <v>420</v>
      </c>
      <c r="B13" s="1">
        <v>46267</v>
      </c>
      <c r="C13" t="s">
        <v>421</v>
      </c>
      <c r="D13" t="s">
        <v>422</v>
      </c>
      <c r="E13" t="s">
        <v>388</v>
      </c>
      <c r="F13" t="str">
        <f t="shared" si="1"/>
        <v>Inversión</v>
      </c>
      <c r="G13" t="s">
        <v>404</v>
      </c>
      <c r="H13" s="2" t="s">
        <v>328</v>
      </c>
      <c r="I13" s="2" t="s">
        <v>389</v>
      </c>
      <c r="J13" s="2">
        <f>120/1.21</f>
        <v>99.173553719008268</v>
      </c>
      <c r="K13" s="3">
        <f>IF(tblFacturasRecibidas[[#This Row],[Categoría]]="Combustible",10%,21%)</f>
        <v>0.21</v>
      </c>
      <c r="L13" s="2">
        <f>IFERROR(tblFacturasRecibidas[[#This Row],[Base imponible (€)]]*tblFacturasRecibidas[[#This Row],[% IVA]],0)</f>
        <v>20.826446280991735</v>
      </c>
      <c r="M13" s="2">
        <f>tblFacturasRecibidas[[#This Row],[Base imponible (€)]]+tblFacturasRecibidas[[#This Row],[IVA (€)]]</f>
        <v>120</v>
      </c>
      <c r="N13">
        <f>YEAR(tblFacturasRecibidas[[#This Row],[Fecha factura]])</f>
        <v>2026</v>
      </c>
      <c r="O13">
        <f>MONTH(tblFacturasRecibidas[[#This Row],[Fecha factura]])</f>
        <v>9</v>
      </c>
      <c r="P13">
        <f>ROUNDUP(MONTH(tblFacturasRecibidas[[#This Row],[Fecha factura]])/3,0)</f>
        <v>3</v>
      </c>
      <c r="Q13" t="s">
        <v>423</v>
      </c>
    </row>
    <row r="14" spans="1:17" x14ac:dyDescent="0.35">
      <c r="A14" t="s">
        <v>424</v>
      </c>
      <c r="B14" s="1">
        <v>46267</v>
      </c>
      <c r="C14" t="s">
        <v>402</v>
      </c>
      <c r="D14" t="s">
        <v>425</v>
      </c>
      <c r="E14" t="s">
        <v>388</v>
      </c>
      <c r="F14" t="str">
        <f t="shared" si="1"/>
        <v>Inversión</v>
      </c>
      <c r="G14" t="s">
        <v>404</v>
      </c>
      <c r="H14" s="2" t="s">
        <v>328</v>
      </c>
      <c r="I14" s="2" t="s">
        <v>389</v>
      </c>
      <c r="J14" s="2">
        <f>5.45/1.21</f>
        <v>4.5041322314049586</v>
      </c>
      <c r="K14" s="3">
        <f>IF(tblFacturasRecibidas[[#This Row],[Categoría]]="Combustible",10%,21%)</f>
        <v>0.21</v>
      </c>
      <c r="L14" s="2">
        <f>IFERROR(tblFacturasRecibidas[[#This Row],[Base imponible (€)]]*tblFacturasRecibidas[[#This Row],[% IVA]],0)</f>
        <v>0.94586776859504129</v>
      </c>
      <c r="M14" s="2">
        <f>tblFacturasRecibidas[[#This Row],[Base imponible (€)]]+tblFacturasRecibidas[[#This Row],[IVA (€)]]</f>
        <v>5.45</v>
      </c>
      <c r="N14">
        <f>YEAR(tblFacturasRecibidas[[#This Row],[Fecha factura]])</f>
        <v>2026</v>
      </c>
      <c r="O14">
        <f>MONTH(tblFacturasRecibidas[[#This Row],[Fecha factura]])</f>
        <v>9</v>
      </c>
      <c r="P14">
        <f>ROUNDUP(MONTH(tblFacturasRecibidas[[#This Row],[Fecha factura]])/3,0)</f>
        <v>3</v>
      </c>
      <c r="Q14" t="s">
        <v>426</v>
      </c>
    </row>
    <row r="15" spans="1:17" x14ac:dyDescent="0.35">
      <c r="A15" t="s">
        <v>427</v>
      </c>
      <c r="B15" s="1">
        <v>46265</v>
      </c>
      <c r="C15" t="s">
        <v>428</v>
      </c>
      <c r="D15" t="s">
        <v>429</v>
      </c>
      <c r="E15" t="s">
        <v>430</v>
      </c>
      <c r="F15" t="str">
        <f t="shared" si="1"/>
        <v>Operación</v>
      </c>
      <c r="G15" t="s">
        <v>395</v>
      </c>
      <c r="H15" s="2" t="s">
        <v>328</v>
      </c>
      <c r="I15" s="2" t="s">
        <v>389</v>
      </c>
      <c r="J15" s="2">
        <v>332.49</v>
      </c>
      <c r="K15" s="3" t="s">
        <v>390</v>
      </c>
      <c r="L15" s="2">
        <f>IFERROR(tblFacturasRecibidas[[#This Row],[Base imponible (€)]]*tblFacturasRecibidas[[#This Row],[% IVA]],0)</f>
        <v>0</v>
      </c>
      <c r="M15" s="2">
        <f>tblFacturasRecibidas[[#This Row],[Base imponible (€)]]+tblFacturasRecibidas[[#This Row],[IVA (€)]]</f>
        <v>332.49</v>
      </c>
      <c r="N15">
        <f>YEAR(tblFacturasRecibidas[[#This Row],[Fecha factura]])</f>
        <v>2026</v>
      </c>
      <c r="O15">
        <f>MONTH(tblFacturasRecibidas[[#This Row],[Fecha factura]])</f>
        <v>8</v>
      </c>
      <c r="P15">
        <f>ROUNDUP(MONTH(tblFacturasRecibidas[[#This Row],[Fecha factura]])/3,0)</f>
        <v>3</v>
      </c>
    </row>
    <row r="16" spans="1:17" x14ac:dyDescent="0.35">
      <c r="A16" t="s">
        <v>431</v>
      </c>
      <c r="B16" s="1">
        <v>46263</v>
      </c>
      <c r="C16" t="s">
        <v>428</v>
      </c>
      <c r="D16" t="s">
        <v>432</v>
      </c>
      <c r="E16" t="s">
        <v>430</v>
      </c>
      <c r="F16" t="str">
        <f t="shared" si="1"/>
        <v>Operación</v>
      </c>
      <c r="G16" t="s">
        <v>395</v>
      </c>
      <c r="H16" s="2" t="s">
        <v>328</v>
      </c>
      <c r="I16" s="2" t="s">
        <v>389</v>
      </c>
      <c r="J16" s="2">
        <v>60.53</v>
      </c>
      <c r="K16" s="3" t="s">
        <v>390</v>
      </c>
      <c r="L16" s="2">
        <f>IFERROR(tblFacturasRecibidas[[#This Row],[Base imponible (€)]]*tblFacturasRecibidas[[#This Row],[% IVA]],0)</f>
        <v>0</v>
      </c>
      <c r="M16" s="2">
        <f>tblFacturasRecibidas[[#This Row],[Base imponible (€)]]+tblFacturasRecibidas[[#This Row],[IVA (€)]]</f>
        <v>60.53</v>
      </c>
      <c r="N16">
        <f>YEAR(tblFacturasRecibidas[[#This Row],[Fecha factura]])</f>
        <v>2026</v>
      </c>
      <c r="O16">
        <f>MONTH(tblFacturasRecibidas[[#This Row],[Fecha factura]])</f>
        <v>8</v>
      </c>
      <c r="P16">
        <f>ROUNDUP(MONTH(tblFacturasRecibidas[[#This Row],[Fecha factura]])/3,0)</f>
        <v>3</v>
      </c>
    </row>
    <row r="17" spans="1:17" x14ac:dyDescent="0.35">
      <c r="A17" t="s">
        <v>433</v>
      </c>
      <c r="B17" s="1">
        <v>46262</v>
      </c>
      <c r="C17" t="s">
        <v>392</v>
      </c>
      <c r="D17" t="s">
        <v>434</v>
      </c>
      <c r="E17" t="s">
        <v>388</v>
      </c>
      <c r="F17" t="str">
        <f t="shared" si="1"/>
        <v>Inversión</v>
      </c>
      <c r="G17" t="s">
        <v>334</v>
      </c>
      <c r="H17" s="2" t="s">
        <v>399</v>
      </c>
      <c r="I17" s="2" t="s">
        <v>400</v>
      </c>
      <c r="J17" s="2">
        <v>53.66</v>
      </c>
      <c r="K17" s="3">
        <f>IF(tblFacturasRecibidas[[#This Row],[Categoría]]="Combustible",10%,21%)</f>
        <v>0.21</v>
      </c>
      <c r="L17" s="2">
        <f>IFERROR(tblFacturasRecibidas[[#This Row],[Base imponible (€)]]*tblFacturasRecibidas[[#This Row],[% IVA]],0)</f>
        <v>11.268599999999999</v>
      </c>
      <c r="M17" s="2">
        <f>tblFacturasRecibidas[[#This Row],[Base imponible (€)]]+tblFacturasRecibidas[[#This Row],[IVA (€)]]</f>
        <v>64.928599999999989</v>
      </c>
      <c r="N17">
        <f>YEAR(tblFacturasRecibidas[[#This Row],[Fecha factura]])</f>
        <v>2026</v>
      </c>
      <c r="O17">
        <f>MONTH(tblFacturasRecibidas[[#This Row],[Fecha factura]])</f>
        <v>8</v>
      </c>
      <c r="P17">
        <f>ROUNDUP(MONTH(tblFacturasRecibidas[[#This Row],[Fecha factura]])/3,0)</f>
        <v>3</v>
      </c>
    </row>
    <row r="18" spans="1:17" x14ac:dyDescent="0.35">
      <c r="A18" t="s">
        <v>435</v>
      </c>
      <c r="B18" s="1">
        <v>46262</v>
      </c>
      <c r="C18" t="s">
        <v>392</v>
      </c>
      <c r="D18" t="s">
        <v>436</v>
      </c>
      <c r="E18" t="s">
        <v>388</v>
      </c>
      <c r="F18" t="str">
        <f t="shared" si="1"/>
        <v>Inversión</v>
      </c>
      <c r="G18" t="s">
        <v>334</v>
      </c>
      <c r="H18" s="2" t="s">
        <v>399</v>
      </c>
      <c r="I18" s="2" t="s">
        <v>400</v>
      </c>
      <c r="J18" s="2">
        <v>70.709999999999994</v>
      </c>
      <c r="K18" s="3">
        <f>IF(tblFacturasRecibidas[[#This Row],[Categoría]]="Combustible",10%,21%)</f>
        <v>0.21</v>
      </c>
      <c r="L18" s="2">
        <f>IFERROR(tblFacturasRecibidas[[#This Row],[Base imponible (€)]]*tblFacturasRecibidas[[#This Row],[% IVA]],0)</f>
        <v>14.849099999999998</v>
      </c>
      <c r="M18" s="2">
        <f>tblFacturasRecibidas[[#This Row],[Base imponible (€)]]+tblFacturasRecibidas[[#This Row],[IVA (€)]]</f>
        <v>85.559099999999987</v>
      </c>
      <c r="N18">
        <f>YEAR(tblFacturasRecibidas[[#This Row],[Fecha factura]])</f>
        <v>2026</v>
      </c>
      <c r="O18">
        <f>MONTH(tblFacturasRecibidas[[#This Row],[Fecha factura]])</f>
        <v>8</v>
      </c>
      <c r="P18">
        <f>ROUNDUP(MONTH(tblFacturasRecibidas[[#This Row],[Fecha factura]])/3,0)</f>
        <v>3</v>
      </c>
    </row>
    <row r="19" spans="1:17" x14ac:dyDescent="0.35">
      <c r="A19" t="s">
        <v>437</v>
      </c>
      <c r="B19" s="1">
        <v>46262</v>
      </c>
      <c r="C19" t="s">
        <v>392</v>
      </c>
      <c r="D19" t="s">
        <v>438</v>
      </c>
      <c r="E19" t="s">
        <v>388</v>
      </c>
      <c r="F19" t="str">
        <f t="shared" si="1"/>
        <v>Inversión</v>
      </c>
      <c r="G19" t="s">
        <v>334</v>
      </c>
      <c r="H19" s="2" t="s">
        <v>399</v>
      </c>
      <c r="I19" s="2" t="s">
        <v>400</v>
      </c>
      <c r="J19" s="2">
        <v>29.18</v>
      </c>
      <c r="K19" s="3">
        <f>IF(tblFacturasRecibidas[[#This Row],[Categoría]]="Combustible",10%,21%)</f>
        <v>0.21</v>
      </c>
      <c r="L19" s="2">
        <f>IFERROR(tblFacturasRecibidas[[#This Row],[Base imponible (€)]]*tblFacturasRecibidas[[#This Row],[% IVA]],0)</f>
        <v>6.1277999999999997</v>
      </c>
      <c r="M19" s="2">
        <f>tblFacturasRecibidas[[#This Row],[Base imponible (€)]]+tblFacturasRecibidas[[#This Row],[IVA (€)]]</f>
        <v>35.3078</v>
      </c>
      <c r="N19">
        <f>YEAR(tblFacturasRecibidas[[#This Row],[Fecha factura]])</f>
        <v>2026</v>
      </c>
      <c r="O19">
        <f>MONTH(tblFacturasRecibidas[[#This Row],[Fecha factura]])</f>
        <v>8</v>
      </c>
      <c r="P19">
        <f>ROUNDUP(MONTH(tblFacturasRecibidas[[#This Row],[Fecha factura]])/3,0)</f>
        <v>3</v>
      </c>
    </row>
    <row r="20" spans="1:17" x14ac:dyDescent="0.35">
      <c r="A20" t="s">
        <v>439</v>
      </c>
      <c r="B20" s="1">
        <v>46262</v>
      </c>
      <c r="C20" t="s">
        <v>402</v>
      </c>
      <c r="D20" t="s">
        <v>440</v>
      </c>
      <c r="E20" t="s">
        <v>441</v>
      </c>
      <c r="F20" t="str">
        <f t="shared" si="1"/>
        <v>Operación</v>
      </c>
      <c r="G20" t="s">
        <v>13</v>
      </c>
      <c r="H20" s="2" t="s">
        <v>328</v>
      </c>
      <c r="I20" s="2" t="s">
        <v>389</v>
      </c>
      <c r="J20" s="2">
        <v>2.27</v>
      </c>
      <c r="K20" s="3">
        <f>IF(tblFacturasRecibidas[[#This Row],[Categoría]]="Combustible",10%,21%)</f>
        <v>0.21</v>
      </c>
      <c r="L20" s="2">
        <f>IFERROR(tblFacturasRecibidas[[#This Row],[Base imponible (€)]]*tblFacturasRecibidas[[#This Row],[% IVA]],0)</f>
        <v>0.47670000000000001</v>
      </c>
      <c r="M20" s="2">
        <f>tblFacturasRecibidas[[#This Row],[Base imponible (€)]]+tblFacturasRecibidas[[#This Row],[IVA (€)]]</f>
        <v>2.7467000000000001</v>
      </c>
      <c r="N20">
        <f>YEAR(tblFacturasRecibidas[[#This Row],[Fecha factura]])</f>
        <v>2026</v>
      </c>
      <c r="O20">
        <f>MONTH(tblFacturasRecibidas[[#This Row],[Fecha factura]])</f>
        <v>8</v>
      </c>
      <c r="P20">
        <f>ROUNDUP(MONTH(tblFacturasRecibidas[[#This Row],[Fecha factura]])/3,0)</f>
        <v>3</v>
      </c>
    </row>
    <row r="21" spans="1:17" x14ac:dyDescent="0.35">
      <c r="A21" t="s">
        <v>442</v>
      </c>
      <c r="B21" s="1">
        <v>46263</v>
      </c>
      <c r="C21" t="s">
        <v>443</v>
      </c>
      <c r="D21" t="s">
        <v>444</v>
      </c>
      <c r="E21" t="s">
        <v>445</v>
      </c>
      <c r="F21" t="str">
        <f t="shared" si="1"/>
        <v>Inversión</v>
      </c>
      <c r="G21" t="s">
        <v>13</v>
      </c>
      <c r="H21" s="2" t="s">
        <v>328</v>
      </c>
      <c r="I21" s="2" t="s">
        <v>389</v>
      </c>
      <c r="J21" s="2">
        <v>16.34</v>
      </c>
      <c r="K21" s="3">
        <f>IF(tblFacturasRecibidas[[#This Row],[Categoría]]="Combustible",10%,21%)</f>
        <v>0.21</v>
      </c>
      <c r="L21" s="2">
        <f>IFERROR(tblFacturasRecibidas[[#This Row],[Base imponible (€)]]*tblFacturasRecibidas[[#This Row],[% IVA]],0)</f>
        <v>3.4314</v>
      </c>
      <c r="M21" s="2">
        <f>tblFacturasRecibidas[[#This Row],[Base imponible (€)]]+tblFacturasRecibidas[[#This Row],[IVA (€)]]</f>
        <v>19.7714</v>
      </c>
      <c r="N21">
        <f>YEAR(tblFacturasRecibidas[[#This Row],[Fecha factura]])</f>
        <v>2026</v>
      </c>
      <c r="O21">
        <f>MONTH(tblFacturasRecibidas[[#This Row],[Fecha factura]])</f>
        <v>8</v>
      </c>
      <c r="P21">
        <f>ROUNDUP(MONTH(tblFacturasRecibidas[[#This Row],[Fecha factura]])/3,0)</f>
        <v>3</v>
      </c>
      <c r="Q21" t="s">
        <v>446</v>
      </c>
    </row>
    <row r="22" spans="1:17" x14ac:dyDescent="0.35">
      <c r="A22" t="s">
        <v>447</v>
      </c>
      <c r="B22" s="1">
        <v>46259</v>
      </c>
      <c r="C22" t="s">
        <v>448</v>
      </c>
      <c r="D22" t="s">
        <v>449</v>
      </c>
      <c r="E22" t="s">
        <v>254</v>
      </c>
      <c r="F22" t="str">
        <f t="shared" si="1"/>
        <v>Operación</v>
      </c>
      <c r="G22" t="s">
        <v>334</v>
      </c>
      <c r="H22" s="2" t="s">
        <v>373</v>
      </c>
      <c r="I22" s="2" t="s">
        <v>389</v>
      </c>
      <c r="J22" s="2">
        <v>85</v>
      </c>
      <c r="K22" s="3" t="s">
        <v>390</v>
      </c>
      <c r="L22" s="2">
        <f>IFERROR(tblFacturasRecibidas[[#This Row],[Base imponible (€)]]*tblFacturasRecibidas[[#This Row],[% IVA]],0)</f>
        <v>0</v>
      </c>
      <c r="M22" s="2">
        <f>tblFacturasRecibidas[[#This Row],[Base imponible (€)]]+tblFacturasRecibidas[[#This Row],[IVA (€)]]</f>
        <v>85</v>
      </c>
      <c r="N22">
        <f>YEAR(tblFacturasRecibidas[[#This Row],[Fecha factura]])</f>
        <v>2026</v>
      </c>
      <c r="O22">
        <f>MONTH(tblFacturasRecibidas[[#This Row],[Fecha factura]])</f>
        <v>8</v>
      </c>
      <c r="P22">
        <f>ROUNDUP(MONTH(tblFacturasRecibidas[[#This Row],[Fecha factura]])/3,0)</f>
        <v>3</v>
      </c>
    </row>
    <row r="23" spans="1:17" x14ac:dyDescent="0.35">
      <c r="A23" t="s">
        <v>450</v>
      </c>
      <c r="B23" s="1">
        <v>46258</v>
      </c>
      <c r="C23" t="s">
        <v>409</v>
      </c>
      <c r="D23" t="s">
        <v>451</v>
      </c>
      <c r="E23" t="s">
        <v>388</v>
      </c>
      <c r="F23" t="str">
        <f t="shared" si="1"/>
        <v>Inversión</v>
      </c>
      <c r="G23" t="s">
        <v>334</v>
      </c>
      <c r="H23" s="2" t="s">
        <v>328</v>
      </c>
      <c r="I23" s="2" t="s">
        <v>389</v>
      </c>
      <c r="J23" s="2">
        <v>49.54</v>
      </c>
      <c r="K23" s="3" t="s">
        <v>390</v>
      </c>
      <c r="L23" s="2">
        <f>IFERROR(tblFacturasRecibidas[[#This Row],[Base imponible (€)]]*tblFacturasRecibidas[[#This Row],[% IVA]],0)</f>
        <v>0</v>
      </c>
      <c r="M23" s="2">
        <f>tblFacturasRecibidas[[#This Row],[Base imponible (€)]]+tblFacturasRecibidas[[#This Row],[IVA (€)]]</f>
        <v>49.54</v>
      </c>
      <c r="N23">
        <f>YEAR(tblFacturasRecibidas[[#This Row],[Fecha factura]])</f>
        <v>2026</v>
      </c>
      <c r="O23">
        <f>MONTH(tblFacturasRecibidas[[#This Row],[Fecha factura]])</f>
        <v>8</v>
      </c>
      <c r="P23">
        <f>ROUNDUP(MONTH(tblFacturasRecibidas[[#This Row],[Fecha factura]])/3,0)</f>
        <v>3</v>
      </c>
      <c r="Q23" t="s">
        <v>452</v>
      </c>
    </row>
    <row r="24" spans="1:17" x14ac:dyDescent="0.35">
      <c r="A24" t="s">
        <v>453</v>
      </c>
      <c r="B24" s="1">
        <v>46254</v>
      </c>
      <c r="C24" t="s">
        <v>443</v>
      </c>
      <c r="D24" t="s">
        <v>454</v>
      </c>
      <c r="E24" t="s">
        <v>394</v>
      </c>
      <c r="F24" t="str">
        <f t="shared" si="1"/>
        <v>Inversión</v>
      </c>
      <c r="G24" t="s">
        <v>395</v>
      </c>
      <c r="H24" s="2" t="s">
        <v>328</v>
      </c>
      <c r="I24" s="2" t="s">
        <v>389</v>
      </c>
      <c r="J24" s="2">
        <v>37.17</v>
      </c>
      <c r="K24" s="3">
        <f>IF(tblFacturasRecibidas[[#This Row],[Categoría]]="Combustible",10%,21%)</f>
        <v>0.21</v>
      </c>
      <c r="L24" s="2">
        <f>IFERROR(tblFacturasRecibidas[[#This Row],[Base imponible (€)]]*tblFacturasRecibidas[[#This Row],[% IVA]],0)</f>
        <v>7.8056999999999999</v>
      </c>
      <c r="M24" s="2">
        <f>tblFacturasRecibidas[[#This Row],[Base imponible (€)]]+tblFacturasRecibidas[[#This Row],[IVA (€)]]</f>
        <v>44.975700000000003</v>
      </c>
      <c r="N24">
        <f>YEAR(tblFacturasRecibidas[[#This Row],[Fecha factura]])</f>
        <v>2026</v>
      </c>
      <c r="O24">
        <f>MONTH(tblFacturasRecibidas[[#This Row],[Fecha factura]])</f>
        <v>8</v>
      </c>
      <c r="P24">
        <f>ROUNDUP(MONTH(tblFacturasRecibidas[[#This Row],[Fecha factura]])/3,0)</f>
        <v>3</v>
      </c>
      <c r="Q24" t="s">
        <v>455</v>
      </c>
    </row>
    <row r="25" spans="1:17" x14ac:dyDescent="0.35">
      <c r="A25" t="s">
        <v>456</v>
      </c>
      <c r="B25" s="1">
        <v>46253</v>
      </c>
      <c r="C25" t="s">
        <v>392</v>
      </c>
      <c r="D25" t="s">
        <v>457</v>
      </c>
      <c r="E25" t="s">
        <v>388</v>
      </c>
      <c r="F25" t="str">
        <f t="shared" si="1"/>
        <v>Inversión</v>
      </c>
      <c r="G25" t="s">
        <v>334</v>
      </c>
      <c r="H25" s="2" t="s">
        <v>399</v>
      </c>
      <c r="I25" s="2" t="s">
        <v>400</v>
      </c>
      <c r="J25" s="2">
        <v>20.48</v>
      </c>
      <c r="K25" s="3">
        <f>IF(tblFacturasRecibidas[[#This Row],[Categoría]]="Combustible",10%,21%)</f>
        <v>0.21</v>
      </c>
      <c r="L25" s="2">
        <f>IFERROR(tblFacturasRecibidas[[#This Row],[Base imponible (€)]]*tblFacturasRecibidas[[#This Row],[% IVA]],0)</f>
        <v>4.3007999999999997</v>
      </c>
      <c r="M25" s="2">
        <f>tblFacturasRecibidas[[#This Row],[Base imponible (€)]]+tblFacturasRecibidas[[#This Row],[IVA (€)]]</f>
        <v>24.780799999999999</v>
      </c>
      <c r="N25">
        <f>YEAR(tblFacturasRecibidas[[#This Row],[Fecha factura]])</f>
        <v>2026</v>
      </c>
      <c r="O25">
        <f>MONTH(tblFacturasRecibidas[[#This Row],[Fecha factura]])</f>
        <v>8</v>
      </c>
      <c r="P25">
        <f>ROUNDUP(MONTH(tblFacturasRecibidas[[#This Row],[Fecha factura]])/3,0)</f>
        <v>3</v>
      </c>
    </row>
    <row r="26" spans="1:17" x14ac:dyDescent="0.35">
      <c r="A26" t="s">
        <v>458</v>
      </c>
      <c r="B26" s="1">
        <v>46255</v>
      </c>
      <c r="C26" t="s">
        <v>392</v>
      </c>
      <c r="D26" t="s">
        <v>459</v>
      </c>
      <c r="E26" t="s">
        <v>388</v>
      </c>
      <c r="F26" t="str">
        <f t="shared" si="1"/>
        <v>Inversión</v>
      </c>
      <c r="G26" t="s">
        <v>334</v>
      </c>
      <c r="H26" s="2" t="s">
        <v>399</v>
      </c>
      <c r="I26" s="2" t="s">
        <v>400</v>
      </c>
      <c r="J26" s="2">
        <v>15.53</v>
      </c>
      <c r="K26" s="3">
        <f>IF(tblFacturasRecibidas[[#This Row],[Categoría]]="Combustible",10%,21%)</f>
        <v>0.21</v>
      </c>
      <c r="L26" s="2">
        <f>IFERROR(tblFacturasRecibidas[[#This Row],[Base imponible (€)]]*tblFacturasRecibidas[[#This Row],[% IVA]],0)</f>
        <v>3.2612999999999999</v>
      </c>
      <c r="M26" s="2">
        <f>tblFacturasRecibidas[[#This Row],[Base imponible (€)]]+tblFacturasRecibidas[[#This Row],[IVA (€)]]</f>
        <v>18.7913</v>
      </c>
      <c r="N26">
        <f>YEAR(tblFacturasRecibidas[[#This Row],[Fecha factura]])</f>
        <v>2026</v>
      </c>
      <c r="O26">
        <f>MONTH(tblFacturasRecibidas[[#This Row],[Fecha factura]])</f>
        <v>8</v>
      </c>
      <c r="P26">
        <f>ROUNDUP(MONTH(tblFacturasRecibidas[[#This Row],[Fecha factura]])/3,0)</f>
        <v>3</v>
      </c>
    </row>
    <row r="27" spans="1:17" x14ac:dyDescent="0.35">
      <c r="A27" t="s">
        <v>460</v>
      </c>
      <c r="B27" s="1">
        <v>46255</v>
      </c>
      <c r="C27" t="s">
        <v>392</v>
      </c>
      <c r="D27" t="s">
        <v>461</v>
      </c>
      <c r="E27" t="s">
        <v>388</v>
      </c>
      <c r="F27" t="str">
        <f t="shared" si="1"/>
        <v>Inversión</v>
      </c>
      <c r="G27" t="s">
        <v>334</v>
      </c>
      <c r="H27" s="2" t="s">
        <v>399</v>
      </c>
      <c r="I27" s="2" t="s">
        <v>400</v>
      </c>
      <c r="J27" s="2">
        <v>6.53</v>
      </c>
      <c r="K27" s="3">
        <f>IF(tblFacturasRecibidas[[#This Row],[Categoría]]="Combustible",10%,21%)</f>
        <v>0.21</v>
      </c>
      <c r="L27" s="2">
        <f>IFERROR(tblFacturasRecibidas[[#This Row],[Base imponible (€)]]*tblFacturasRecibidas[[#This Row],[% IVA]],0)</f>
        <v>1.3713</v>
      </c>
      <c r="M27" s="2">
        <f>tblFacturasRecibidas[[#This Row],[Base imponible (€)]]+tblFacturasRecibidas[[#This Row],[IVA (€)]]</f>
        <v>7.9013</v>
      </c>
      <c r="N27">
        <f>YEAR(tblFacturasRecibidas[[#This Row],[Fecha factura]])</f>
        <v>2026</v>
      </c>
      <c r="O27">
        <f>MONTH(tblFacturasRecibidas[[#This Row],[Fecha factura]])</f>
        <v>8</v>
      </c>
      <c r="P27">
        <f>ROUNDUP(MONTH(tblFacturasRecibidas[[#This Row],[Fecha factura]])/3,0)</f>
        <v>3</v>
      </c>
    </row>
    <row r="28" spans="1:17" x14ac:dyDescent="0.35">
      <c r="A28" t="s">
        <v>462</v>
      </c>
      <c r="B28" s="1">
        <v>46255</v>
      </c>
      <c r="C28" t="s">
        <v>392</v>
      </c>
      <c r="D28" t="s">
        <v>463</v>
      </c>
      <c r="E28" t="s">
        <v>388</v>
      </c>
      <c r="F28" t="str">
        <f t="shared" si="1"/>
        <v>Inversión</v>
      </c>
      <c r="G28" t="s">
        <v>334</v>
      </c>
      <c r="H28" s="2" t="s">
        <v>399</v>
      </c>
      <c r="I28" s="2" t="s">
        <v>400</v>
      </c>
      <c r="J28" s="2">
        <v>3.53</v>
      </c>
      <c r="K28" s="3">
        <f>IF(tblFacturasRecibidas[[#This Row],[Categoría]]="Combustible",10%,21%)</f>
        <v>0.21</v>
      </c>
      <c r="L28" s="2">
        <f>IFERROR(tblFacturasRecibidas[[#This Row],[Base imponible (€)]]*tblFacturasRecibidas[[#This Row],[% IVA]],0)</f>
        <v>0.74129999999999996</v>
      </c>
      <c r="M28" s="2">
        <f>tblFacturasRecibidas[[#This Row],[Base imponible (€)]]+tblFacturasRecibidas[[#This Row],[IVA (€)]]</f>
        <v>4.2713000000000001</v>
      </c>
      <c r="N28">
        <f>YEAR(tblFacturasRecibidas[[#This Row],[Fecha factura]])</f>
        <v>2026</v>
      </c>
      <c r="O28">
        <f>MONTH(tblFacturasRecibidas[[#This Row],[Fecha factura]])</f>
        <v>8</v>
      </c>
      <c r="P28">
        <f>ROUNDUP(MONTH(tblFacturasRecibidas[[#This Row],[Fecha factura]])/3,0)</f>
        <v>3</v>
      </c>
    </row>
    <row r="29" spans="1:17" x14ac:dyDescent="0.35">
      <c r="A29" t="s">
        <v>464</v>
      </c>
      <c r="B29" s="1">
        <v>46252</v>
      </c>
      <c r="C29" t="s">
        <v>392</v>
      </c>
      <c r="D29" t="s">
        <v>465</v>
      </c>
      <c r="E29" t="s">
        <v>388</v>
      </c>
      <c r="F29" t="str">
        <f t="shared" si="1"/>
        <v>Inversión</v>
      </c>
      <c r="G29" t="s">
        <v>334</v>
      </c>
      <c r="H29" s="2" t="s">
        <v>399</v>
      </c>
      <c r="I29" s="2" t="s">
        <v>400</v>
      </c>
      <c r="J29" s="2">
        <v>60.92</v>
      </c>
      <c r="K29" s="3">
        <f>IF(tblFacturasRecibidas[[#This Row],[Categoría]]="Combustible",10%,21%)</f>
        <v>0.21</v>
      </c>
      <c r="L29" s="2">
        <f>IFERROR(tblFacturasRecibidas[[#This Row],[Base imponible (€)]]*tblFacturasRecibidas[[#This Row],[% IVA]],0)</f>
        <v>12.793200000000001</v>
      </c>
      <c r="M29" s="2">
        <f>tblFacturasRecibidas[[#This Row],[Base imponible (€)]]+tblFacturasRecibidas[[#This Row],[IVA (€)]]</f>
        <v>73.713200000000001</v>
      </c>
      <c r="N29">
        <f>YEAR(tblFacturasRecibidas[[#This Row],[Fecha factura]])</f>
        <v>2026</v>
      </c>
      <c r="O29">
        <f>MONTH(tblFacturasRecibidas[[#This Row],[Fecha factura]])</f>
        <v>8</v>
      </c>
      <c r="P29">
        <f>ROUNDUP(MONTH(tblFacturasRecibidas[[#This Row],[Fecha factura]])/3,0)</f>
        <v>3</v>
      </c>
    </row>
    <row r="30" spans="1:17" x14ac:dyDescent="0.35">
      <c r="A30" t="s">
        <v>466</v>
      </c>
      <c r="B30" s="1">
        <v>46252</v>
      </c>
      <c r="C30" t="s">
        <v>392</v>
      </c>
      <c r="D30" t="s">
        <v>467</v>
      </c>
      <c r="E30" t="s">
        <v>388</v>
      </c>
      <c r="F30" t="str">
        <f t="shared" si="1"/>
        <v>Inversión</v>
      </c>
      <c r="G30" t="s">
        <v>334</v>
      </c>
      <c r="H30" s="2" t="s">
        <v>399</v>
      </c>
      <c r="I30" s="2" t="s">
        <v>400</v>
      </c>
      <c r="J30" s="2">
        <v>143.02000000000001</v>
      </c>
      <c r="K30" s="3">
        <f>IF(tblFacturasRecibidas[[#This Row],[Categoría]]="Combustible",10%,21%)</f>
        <v>0.21</v>
      </c>
      <c r="L30" s="2">
        <f>IFERROR(tblFacturasRecibidas[[#This Row],[Base imponible (€)]]*tblFacturasRecibidas[[#This Row],[% IVA]],0)</f>
        <v>30.034200000000002</v>
      </c>
      <c r="M30" s="2">
        <f>tblFacturasRecibidas[[#This Row],[Base imponible (€)]]+tblFacturasRecibidas[[#This Row],[IVA (€)]]</f>
        <v>173.05420000000001</v>
      </c>
      <c r="N30">
        <f>YEAR(tblFacturasRecibidas[[#This Row],[Fecha factura]])</f>
        <v>2026</v>
      </c>
      <c r="O30">
        <f>MONTH(tblFacturasRecibidas[[#This Row],[Fecha factura]])</f>
        <v>8</v>
      </c>
      <c r="P30">
        <f>ROUNDUP(MONTH(tblFacturasRecibidas[[#This Row],[Fecha factura]])/3,0)</f>
        <v>3</v>
      </c>
    </row>
    <row r="31" spans="1:17" x14ac:dyDescent="0.35">
      <c r="A31" t="s">
        <v>468</v>
      </c>
      <c r="B31" s="1">
        <v>46251</v>
      </c>
      <c r="C31" t="s">
        <v>392</v>
      </c>
      <c r="D31" t="s">
        <v>469</v>
      </c>
      <c r="E31" t="s">
        <v>388</v>
      </c>
      <c r="F31" t="str">
        <f t="shared" si="1"/>
        <v>Inversión</v>
      </c>
      <c r="G31" t="s">
        <v>334</v>
      </c>
      <c r="H31" s="2" t="s">
        <v>399</v>
      </c>
      <c r="I31" s="2" t="s">
        <v>400</v>
      </c>
      <c r="J31" s="2">
        <v>-164.7</v>
      </c>
      <c r="K31" s="3">
        <f>IF(tblFacturasRecibidas[[#This Row],[Categoría]]="Combustible",10%,21%)</f>
        <v>0.21</v>
      </c>
      <c r="L31" s="2">
        <f>IFERROR(tblFacturasRecibidas[[#This Row],[Base imponible (€)]]*tblFacturasRecibidas[[#This Row],[% IVA]],0)</f>
        <v>-34.586999999999996</v>
      </c>
      <c r="M31" s="2">
        <f>tblFacturasRecibidas[[#This Row],[Base imponible (€)]]+tblFacturasRecibidas[[#This Row],[IVA (€)]]</f>
        <v>-199.28699999999998</v>
      </c>
      <c r="N31">
        <f>YEAR(tblFacturasRecibidas[[#This Row],[Fecha factura]])</f>
        <v>2026</v>
      </c>
      <c r="O31">
        <f>MONTH(tblFacturasRecibidas[[#This Row],[Fecha factura]])</f>
        <v>8</v>
      </c>
      <c r="P31">
        <f>ROUNDUP(MONTH(tblFacturasRecibidas[[#This Row],[Fecha factura]])/3,0)</f>
        <v>3</v>
      </c>
      <c r="Q31" t="s">
        <v>470</v>
      </c>
    </row>
    <row r="32" spans="1:17" x14ac:dyDescent="0.35">
      <c r="A32" t="s">
        <v>471</v>
      </c>
      <c r="B32" s="1">
        <v>46252</v>
      </c>
      <c r="C32" t="s">
        <v>392</v>
      </c>
      <c r="D32" t="s">
        <v>472</v>
      </c>
      <c r="E32" t="s">
        <v>388</v>
      </c>
      <c r="F32" t="str">
        <f t="shared" si="1"/>
        <v>Inversión</v>
      </c>
      <c r="G32" t="s">
        <v>334</v>
      </c>
      <c r="H32" s="2" t="s">
        <v>399</v>
      </c>
      <c r="I32" s="2" t="s">
        <v>400</v>
      </c>
      <c r="J32" s="2">
        <v>216.34</v>
      </c>
      <c r="K32" s="3">
        <f>IF(tblFacturasRecibidas[[#This Row],[Categoría]]="Combustible",10%,21%)</f>
        <v>0.21</v>
      </c>
      <c r="L32" s="2">
        <f>IFERROR(tblFacturasRecibidas[[#This Row],[Base imponible (€)]]*tblFacturasRecibidas[[#This Row],[% IVA]],0)</f>
        <v>45.431399999999996</v>
      </c>
      <c r="M32" s="2">
        <f>tblFacturasRecibidas[[#This Row],[Base imponible (€)]]+tblFacturasRecibidas[[#This Row],[IVA (€)]]</f>
        <v>261.77139999999997</v>
      </c>
      <c r="N32">
        <f>YEAR(tblFacturasRecibidas[[#This Row],[Fecha factura]])</f>
        <v>2026</v>
      </c>
      <c r="O32">
        <f>MONTH(tblFacturasRecibidas[[#This Row],[Fecha factura]])</f>
        <v>8</v>
      </c>
      <c r="P32">
        <f>ROUNDUP(MONTH(tblFacturasRecibidas[[#This Row],[Fecha factura]])/3,0)</f>
        <v>3</v>
      </c>
    </row>
    <row r="33" spans="1:17" x14ac:dyDescent="0.35">
      <c r="A33" t="s">
        <v>473</v>
      </c>
      <c r="B33" s="1">
        <v>46251</v>
      </c>
      <c r="C33" t="s">
        <v>474</v>
      </c>
      <c r="D33" t="s">
        <v>475</v>
      </c>
      <c r="E33" t="s">
        <v>388</v>
      </c>
      <c r="F33" t="str">
        <f t="shared" si="1"/>
        <v>Inversión</v>
      </c>
      <c r="G33" t="s">
        <v>334</v>
      </c>
      <c r="H33" s="2" t="s">
        <v>399</v>
      </c>
      <c r="I33" s="2" t="s">
        <v>400</v>
      </c>
      <c r="J33" s="2">
        <v>45.7</v>
      </c>
      <c r="K33" s="3">
        <f>IF(tblFacturasRecibidas[[#This Row],[Categoría]]="Combustible",10%,21%)</f>
        <v>0.21</v>
      </c>
      <c r="L33" s="2">
        <f>IFERROR(tblFacturasRecibidas[[#This Row],[Base imponible (€)]]*tblFacturasRecibidas[[#This Row],[% IVA]],0)</f>
        <v>9.5969999999999995</v>
      </c>
      <c r="M33" s="2">
        <f>tblFacturasRecibidas[[#This Row],[Base imponible (€)]]+tblFacturasRecibidas[[#This Row],[IVA (€)]]</f>
        <v>55.297000000000004</v>
      </c>
      <c r="N33">
        <f>YEAR(tblFacturasRecibidas[[#This Row],[Fecha factura]])</f>
        <v>2026</v>
      </c>
      <c r="O33">
        <f>MONTH(tblFacturasRecibidas[[#This Row],[Fecha factura]])</f>
        <v>8</v>
      </c>
      <c r="P33">
        <f>ROUNDUP(MONTH(tblFacturasRecibidas[[#This Row],[Fecha factura]])/3,0)</f>
        <v>3</v>
      </c>
      <c r="Q33" t="s">
        <v>476</v>
      </c>
    </row>
    <row r="34" spans="1:17" x14ac:dyDescent="0.35">
      <c r="A34" t="s">
        <v>477</v>
      </c>
      <c r="B34" s="1">
        <v>46251</v>
      </c>
      <c r="C34" t="s">
        <v>392</v>
      </c>
      <c r="D34" t="s">
        <v>478</v>
      </c>
      <c r="E34" t="s">
        <v>388</v>
      </c>
      <c r="F34" t="str">
        <f t="shared" si="1"/>
        <v>Inversión</v>
      </c>
      <c r="G34" t="s">
        <v>334</v>
      </c>
      <c r="H34" s="2" t="s">
        <v>399</v>
      </c>
      <c r="I34" s="2" t="s">
        <v>400</v>
      </c>
      <c r="J34" s="2">
        <v>108.06</v>
      </c>
      <c r="K34" s="3">
        <f>IF(tblFacturasRecibidas[[#This Row],[Categoría]]="Combustible",10%,21%)</f>
        <v>0.21</v>
      </c>
      <c r="L34" s="2">
        <f>IFERROR(tblFacturasRecibidas[[#This Row],[Base imponible (€)]]*tblFacturasRecibidas[[#This Row],[% IVA]],0)</f>
        <v>22.692599999999999</v>
      </c>
      <c r="M34" s="2">
        <f>tblFacturasRecibidas[[#This Row],[Base imponible (€)]]+tblFacturasRecibidas[[#This Row],[IVA (€)]]</f>
        <v>130.7526</v>
      </c>
      <c r="N34">
        <f>YEAR(tblFacturasRecibidas[[#This Row],[Fecha factura]])</f>
        <v>2026</v>
      </c>
      <c r="O34">
        <f>MONTH(tblFacturasRecibidas[[#This Row],[Fecha factura]])</f>
        <v>8</v>
      </c>
      <c r="P34">
        <f>ROUNDUP(MONTH(tblFacturasRecibidas[[#This Row],[Fecha factura]])/3,0)</f>
        <v>3</v>
      </c>
      <c r="Q34" t="s">
        <v>479</v>
      </c>
    </row>
    <row r="35" spans="1:17" x14ac:dyDescent="0.35">
      <c r="A35" t="s">
        <v>480</v>
      </c>
      <c r="B35" s="1">
        <v>46251</v>
      </c>
      <c r="C35" t="s">
        <v>392</v>
      </c>
      <c r="D35" t="s">
        <v>481</v>
      </c>
      <c r="E35" t="s">
        <v>388</v>
      </c>
      <c r="F35" t="str">
        <f t="shared" si="1"/>
        <v>Inversión</v>
      </c>
      <c r="G35" t="s">
        <v>334</v>
      </c>
      <c r="H35" s="2" t="s">
        <v>399</v>
      </c>
      <c r="I35" s="2" t="s">
        <v>400</v>
      </c>
      <c r="J35" s="2">
        <v>23.52</v>
      </c>
      <c r="K35" s="3">
        <f>IF(tblFacturasRecibidas[[#This Row],[Categoría]]="Combustible",10%,21%)</f>
        <v>0.21</v>
      </c>
      <c r="L35" s="2">
        <f>IFERROR(tblFacturasRecibidas[[#This Row],[Base imponible (€)]]*tblFacturasRecibidas[[#This Row],[% IVA]],0)</f>
        <v>4.9391999999999996</v>
      </c>
      <c r="M35" s="2">
        <f>tblFacturasRecibidas[[#This Row],[Base imponible (€)]]+tblFacturasRecibidas[[#This Row],[IVA (€)]]</f>
        <v>28.459199999999999</v>
      </c>
      <c r="N35">
        <f>YEAR(tblFacturasRecibidas[[#This Row],[Fecha factura]])</f>
        <v>2026</v>
      </c>
      <c r="O35">
        <f>MONTH(tblFacturasRecibidas[[#This Row],[Fecha factura]])</f>
        <v>8</v>
      </c>
      <c r="P35">
        <f>ROUNDUP(MONTH(tblFacturasRecibidas[[#This Row],[Fecha factura]])/3,0)</f>
        <v>3</v>
      </c>
    </row>
    <row r="36" spans="1:17" x14ac:dyDescent="0.35">
      <c r="A36" t="s">
        <v>482</v>
      </c>
      <c r="B36" s="1">
        <v>46251</v>
      </c>
      <c r="C36" t="s">
        <v>392</v>
      </c>
      <c r="D36" t="s">
        <v>483</v>
      </c>
      <c r="E36" t="s">
        <v>388</v>
      </c>
      <c r="F36" t="str">
        <f t="shared" si="1"/>
        <v>Inversión</v>
      </c>
      <c r="G36" t="s">
        <v>334</v>
      </c>
      <c r="H36" s="2" t="s">
        <v>399</v>
      </c>
      <c r="I36" s="2" t="s">
        <v>400</v>
      </c>
      <c r="J36" s="2">
        <v>15.5</v>
      </c>
      <c r="K36" s="3">
        <f>IF(tblFacturasRecibidas[[#This Row],[Categoría]]="Combustible",10%,21%)</f>
        <v>0.21</v>
      </c>
      <c r="L36" s="2">
        <f>IFERROR(tblFacturasRecibidas[[#This Row],[Base imponible (€)]]*tblFacturasRecibidas[[#This Row],[% IVA]],0)</f>
        <v>3.2549999999999999</v>
      </c>
      <c r="M36" s="2">
        <f>tblFacturasRecibidas[[#This Row],[Base imponible (€)]]+tblFacturasRecibidas[[#This Row],[IVA (€)]]</f>
        <v>18.754999999999999</v>
      </c>
      <c r="N36">
        <f>YEAR(tblFacturasRecibidas[[#This Row],[Fecha factura]])</f>
        <v>2026</v>
      </c>
      <c r="O36">
        <f>MONTH(tblFacturasRecibidas[[#This Row],[Fecha factura]])</f>
        <v>8</v>
      </c>
      <c r="P36">
        <f>ROUNDUP(MONTH(tblFacturasRecibidas[[#This Row],[Fecha factura]])/3,0)</f>
        <v>3</v>
      </c>
    </row>
    <row r="37" spans="1:17" x14ac:dyDescent="0.35">
      <c r="A37" t="s">
        <v>484</v>
      </c>
      <c r="B37" s="1">
        <v>46251</v>
      </c>
      <c r="C37" t="s">
        <v>392</v>
      </c>
      <c r="D37" t="s">
        <v>485</v>
      </c>
      <c r="E37" t="s">
        <v>388</v>
      </c>
      <c r="F37" t="str">
        <f t="shared" si="1"/>
        <v>Inversión</v>
      </c>
      <c r="G37" t="s">
        <v>334</v>
      </c>
      <c r="H37" s="2" t="s">
        <v>399</v>
      </c>
      <c r="I37" s="2" t="s">
        <v>400</v>
      </c>
      <c r="J37" s="2">
        <v>79.260000000000005</v>
      </c>
      <c r="K37" s="3">
        <f>IF(tblFacturasRecibidas[[#This Row],[Categoría]]="Combustible",10%,21%)</f>
        <v>0.21</v>
      </c>
      <c r="L37" s="2">
        <f>IFERROR(tblFacturasRecibidas[[#This Row],[Base imponible (€)]]*tblFacturasRecibidas[[#This Row],[% IVA]],0)</f>
        <v>16.644600000000001</v>
      </c>
      <c r="M37" s="2">
        <f>tblFacturasRecibidas[[#This Row],[Base imponible (€)]]+tblFacturasRecibidas[[#This Row],[IVA (€)]]</f>
        <v>95.904600000000002</v>
      </c>
      <c r="N37">
        <f>YEAR(tblFacturasRecibidas[[#This Row],[Fecha factura]])</f>
        <v>2026</v>
      </c>
      <c r="O37">
        <f>MONTH(tblFacturasRecibidas[[#This Row],[Fecha factura]])</f>
        <v>8</v>
      </c>
      <c r="P37">
        <f>ROUNDUP(MONTH(tblFacturasRecibidas[[#This Row],[Fecha factura]])/3,0)</f>
        <v>3</v>
      </c>
    </row>
    <row r="38" spans="1:17" x14ac:dyDescent="0.35">
      <c r="A38" t="s">
        <v>486</v>
      </c>
      <c r="B38" s="1">
        <v>46251</v>
      </c>
      <c r="C38" t="s">
        <v>402</v>
      </c>
      <c r="D38" t="s">
        <v>440</v>
      </c>
      <c r="E38" t="s">
        <v>441</v>
      </c>
      <c r="F38" t="str">
        <f t="shared" si="1"/>
        <v>Operación</v>
      </c>
      <c r="G38" t="s">
        <v>13</v>
      </c>
      <c r="H38" s="2" t="s">
        <v>328</v>
      </c>
      <c r="I38" s="2" t="s">
        <v>389</v>
      </c>
      <c r="J38" s="2">
        <f>2.75/1.21</f>
        <v>2.2727272727272729</v>
      </c>
      <c r="K38" s="3">
        <v>0.21</v>
      </c>
      <c r="L38" s="2">
        <f>IFERROR(tblFacturasRecibidas[[#This Row],[Base imponible (€)]]*tblFacturasRecibidas[[#This Row],[% IVA]],0)</f>
        <v>0.47727272727272729</v>
      </c>
      <c r="M38" s="2">
        <f>tblFacturasRecibidas[[#This Row],[Base imponible (€)]]+tblFacturasRecibidas[[#This Row],[IVA (€)]]</f>
        <v>2.75</v>
      </c>
      <c r="N38">
        <f>YEAR(tblFacturasRecibidas[[#This Row],[Fecha factura]])</f>
        <v>2026</v>
      </c>
      <c r="O38">
        <f>MONTH(tblFacturasRecibidas[[#This Row],[Fecha factura]])</f>
        <v>8</v>
      </c>
      <c r="P38">
        <f>ROUNDUP(MONTH(tblFacturasRecibidas[[#This Row],[Fecha factura]])/3,0)</f>
        <v>3</v>
      </c>
      <c r="Q38" t="s">
        <v>487</v>
      </c>
    </row>
    <row r="39" spans="1:17" x14ac:dyDescent="0.35">
      <c r="A39" t="s">
        <v>488</v>
      </c>
      <c r="B39" s="1">
        <v>46248</v>
      </c>
      <c r="C39" t="s">
        <v>489</v>
      </c>
      <c r="D39" t="s">
        <v>490</v>
      </c>
      <c r="E39" t="s">
        <v>388</v>
      </c>
      <c r="F39" t="str">
        <f t="shared" si="1"/>
        <v>Inversión</v>
      </c>
      <c r="G39" t="s">
        <v>334</v>
      </c>
      <c r="H39" s="2" t="s">
        <v>373</v>
      </c>
      <c r="I39" s="2" t="s">
        <v>389</v>
      </c>
      <c r="J39" s="2">
        <v>500</v>
      </c>
      <c r="K39" s="3" t="s">
        <v>390</v>
      </c>
      <c r="L39" s="2">
        <f>IFERROR(tblFacturasRecibidas[[#This Row],[Base imponible (€)]]*tblFacturasRecibidas[[#This Row],[% IVA]],0)</f>
        <v>0</v>
      </c>
      <c r="M39" s="2">
        <f>tblFacturasRecibidas[[#This Row],[Base imponible (€)]]+tblFacturasRecibidas[[#This Row],[IVA (€)]]</f>
        <v>500</v>
      </c>
      <c r="N39">
        <f>YEAR(tblFacturasRecibidas[[#This Row],[Fecha factura]])</f>
        <v>2026</v>
      </c>
      <c r="O39">
        <f>MONTH(tblFacturasRecibidas[[#This Row],[Fecha factura]])</f>
        <v>8</v>
      </c>
      <c r="P39">
        <f>ROUNDUP(MONTH(tblFacturasRecibidas[[#This Row],[Fecha factura]])/3,0)</f>
        <v>3</v>
      </c>
      <c r="Q39" t="s">
        <v>491</v>
      </c>
    </row>
    <row r="40" spans="1:17" x14ac:dyDescent="0.35">
      <c r="A40" t="s">
        <v>492</v>
      </c>
      <c r="B40" s="1">
        <v>46248</v>
      </c>
      <c r="C40" t="s">
        <v>493</v>
      </c>
      <c r="D40" t="s">
        <v>494</v>
      </c>
      <c r="E40" t="s">
        <v>495</v>
      </c>
      <c r="F40" t="str">
        <f t="shared" si="1"/>
        <v>Inversión</v>
      </c>
      <c r="G40" t="s">
        <v>334</v>
      </c>
      <c r="H40" s="2" t="s">
        <v>328</v>
      </c>
      <c r="I40" s="2" t="s">
        <v>389</v>
      </c>
      <c r="J40" s="2">
        <v>6.53</v>
      </c>
      <c r="K40" s="3">
        <f>IF(tblFacturasRecibidas[[#This Row],[Categoría]]="Combustible",10%,21%)</f>
        <v>0.21</v>
      </c>
      <c r="L40" s="2">
        <f>IFERROR(tblFacturasRecibidas[[#This Row],[Base imponible (€)]]*tblFacturasRecibidas[[#This Row],[% IVA]],0)</f>
        <v>1.3713</v>
      </c>
      <c r="M40" s="2">
        <f>tblFacturasRecibidas[[#This Row],[Base imponible (€)]]+tblFacturasRecibidas[[#This Row],[IVA (€)]]</f>
        <v>7.9013</v>
      </c>
      <c r="N40">
        <f>YEAR(tblFacturasRecibidas[[#This Row],[Fecha factura]])</f>
        <v>2026</v>
      </c>
      <c r="O40">
        <f>MONTH(tblFacturasRecibidas[[#This Row],[Fecha factura]])</f>
        <v>8</v>
      </c>
      <c r="P40">
        <f>ROUNDUP(MONTH(tblFacturasRecibidas[[#This Row],[Fecha factura]])/3,0)</f>
        <v>3</v>
      </c>
    </row>
    <row r="41" spans="1:17" x14ac:dyDescent="0.35">
      <c r="A41" t="s">
        <v>496</v>
      </c>
      <c r="B41" s="1">
        <v>46248</v>
      </c>
      <c r="C41" t="s">
        <v>493</v>
      </c>
      <c r="D41" t="s">
        <v>494</v>
      </c>
      <c r="E41" t="s">
        <v>495</v>
      </c>
      <c r="F41" t="str">
        <f t="shared" ref="F41:F72" si="2">IF(OR(E41="EPIs",E41="Tasas (puesta en marcha)",E41="Acondicionamiento vehículo",E41="Equipamiento vehículo",E41="Maquinaria",E41="Inversión en vehículos"),"Inversión","Operación")</f>
        <v>Inversión</v>
      </c>
      <c r="G41" t="s">
        <v>395</v>
      </c>
      <c r="H41" s="2" t="s">
        <v>328</v>
      </c>
      <c r="I41" s="2" t="s">
        <v>389</v>
      </c>
      <c r="J41" s="2">
        <v>6.53</v>
      </c>
      <c r="K41" s="3">
        <f>IF(tblFacturasRecibidas[[#This Row],[Categoría]]="Combustible",10%,21%)</f>
        <v>0.21</v>
      </c>
      <c r="L41" s="2">
        <f>IFERROR(tblFacturasRecibidas[[#This Row],[Base imponible (€)]]*tblFacturasRecibidas[[#This Row],[% IVA]],0)</f>
        <v>1.3713</v>
      </c>
      <c r="M41" s="2">
        <f>tblFacturasRecibidas[[#This Row],[Base imponible (€)]]+tblFacturasRecibidas[[#This Row],[IVA (€)]]</f>
        <v>7.9013</v>
      </c>
      <c r="N41">
        <f>YEAR(tblFacturasRecibidas[[#This Row],[Fecha factura]])</f>
        <v>2026</v>
      </c>
      <c r="O41">
        <f>MONTH(tblFacturasRecibidas[[#This Row],[Fecha factura]])</f>
        <v>8</v>
      </c>
      <c r="P41">
        <f>ROUNDUP(MONTH(tblFacturasRecibidas[[#This Row],[Fecha factura]])/3,0)</f>
        <v>3</v>
      </c>
    </row>
    <row r="42" spans="1:17" x14ac:dyDescent="0.35">
      <c r="A42" t="s">
        <v>497</v>
      </c>
      <c r="B42" s="1">
        <v>46248</v>
      </c>
      <c r="C42" t="s">
        <v>392</v>
      </c>
      <c r="D42" t="s">
        <v>498</v>
      </c>
      <c r="E42" t="s">
        <v>388</v>
      </c>
      <c r="F42" t="str">
        <f t="shared" si="2"/>
        <v>Inversión</v>
      </c>
      <c r="G42" t="s">
        <v>334</v>
      </c>
      <c r="H42" s="2" t="s">
        <v>399</v>
      </c>
      <c r="I42" s="2" t="s">
        <v>400</v>
      </c>
      <c r="J42" s="2">
        <v>216.13</v>
      </c>
      <c r="K42" s="3">
        <f>IF(tblFacturasRecibidas[[#This Row],[Categoría]]="Combustible",10%,21%)</f>
        <v>0.21</v>
      </c>
      <c r="L42" s="2">
        <f>IFERROR(tblFacturasRecibidas[[#This Row],[Base imponible (€)]]*tblFacturasRecibidas[[#This Row],[% IVA]],0)</f>
        <v>45.387299999999996</v>
      </c>
      <c r="M42" s="2">
        <f>tblFacturasRecibidas[[#This Row],[Base imponible (€)]]+tblFacturasRecibidas[[#This Row],[IVA (€)]]</f>
        <v>261.51729999999998</v>
      </c>
      <c r="N42">
        <f>YEAR(tblFacturasRecibidas[[#This Row],[Fecha factura]])</f>
        <v>2026</v>
      </c>
      <c r="O42">
        <f>MONTH(tblFacturasRecibidas[[#This Row],[Fecha factura]])</f>
        <v>8</v>
      </c>
      <c r="P42">
        <f>ROUNDUP(MONTH(tblFacturasRecibidas[[#This Row],[Fecha factura]])/3,0)</f>
        <v>3</v>
      </c>
    </row>
    <row r="43" spans="1:17" x14ac:dyDescent="0.35">
      <c r="A43" t="s">
        <v>499</v>
      </c>
      <c r="B43" s="1">
        <v>46247</v>
      </c>
      <c r="C43" t="s">
        <v>500</v>
      </c>
      <c r="D43" t="s">
        <v>501</v>
      </c>
      <c r="E43" t="s">
        <v>445</v>
      </c>
      <c r="F43" t="str">
        <f t="shared" si="2"/>
        <v>Inversión</v>
      </c>
      <c r="G43" t="s">
        <v>395</v>
      </c>
      <c r="H43" s="2" t="s">
        <v>328</v>
      </c>
      <c r="I43" s="2" t="s">
        <v>389</v>
      </c>
      <c r="J43" s="2">
        <v>49.58</v>
      </c>
      <c r="K43" s="3">
        <f>IF(tblFacturasRecibidas[[#This Row],[Categoría]]="Combustible",10%,21%)</f>
        <v>0.21</v>
      </c>
      <c r="L43" s="2">
        <f>IFERROR(tblFacturasRecibidas[[#This Row],[Base imponible (€)]]*tblFacturasRecibidas[[#This Row],[% IVA]],0)</f>
        <v>10.411799999999999</v>
      </c>
      <c r="M43" s="2">
        <f>tblFacturasRecibidas[[#This Row],[Base imponible (€)]]+tblFacturasRecibidas[[#This Row],[IVA (€)]]</f>
        <v>59.991799999999998</v>
      </c>
      <c r="N43">
        <f>YEAR(tblFacturasRecibidas[[#This Row],[Fecha factura]])</f>
        <v>2026</v>
      </c>
      <c r="O43">
        <f>MONTH(tblFacturasRecibidas[[#This Row],[Fecha factura]])</f>
        <v>8</v>
      </c>
      <c r="P43">
        <f>ROUNDUP(MONTH(tblFacturasRecibidas[[#This Row],[Fecha factura]])/3,0)</f>
        <v>3</v>
      </c>
    </row>
    <row r="44" spans="1:17" x14ac:dyDescent="0.35">
      <c r="A44" t="s">
        <v>502</v>
      </c>
      <c r="B44" s="1">
        <v>46247</v>
      </c>
      <c r="C44" t="s">
        <v>443</v>
      </c>
      <c r="D44" t="s">
        <v>503</v>
      </c>
      <c r="E44" t="s">
        <v>394</v>
      </c>
      <c r="F44" t="str">
        <f t="shared" si="2"/>
        <v>Inversión</v>
      </c>
      <c r="G44" t="s">
        <v>395</v>
      </c>
      <c r="H44" s="2" t="s">
        <v>328</v>
      </c>
      <c r="I44" s="2" t="s">
        <v>389</v>
      </c>
      <c r="J44" s="2">
        <v>57.96</v>
      </c>
      <c r="K44" s="3">
        <f>IF(tblFacturasRecibidas[[#This Row],[Categoría]]="Combustible",10%,21%)</f>
        <v>0.21</v>
      </c>
      <c r="L44" s="2">
        <f>IFERROR(tblFacturasRecibidas[[#This Row],[Base imponible (€)]]*tblFacturasRecibidas[[#This Row],[% IVA]],0)</f>
        <v>12.1716</v>
      </c>
      <c r="M44" s="2">
        <f>tblFacturasRecibidas[[#This Row],[Base imponible (€)]]+tblFacturasRecibidas[[#This Row],[IVA (€)]]</f>
        <v>70.131600000000006</v>
      </c>
      <c r="N44">
        <f>YEAR(tblFacturasRecibidas[[#This Row],[Fecha factura]])</f>
        <v>2026</v>
      </c>
      <c r="O44">
        <f>MONTH(tblFacturasRecibidas[[#This Row],[Fecha factura]])</f>
        <v>8</v>
      </c>
      <c r="P44">
        <f>ROUNDUP(MONTH(tblFacturasRecibidas[[#This Row],[Fecha factura]])/3,0)</f>
        <v>3</v>
      </c>
    </row>
    <row r="45" spans="1:17" x14ac:dyDescent="0.35">
      <c r="A45" t="s">
        <v>504</v>
      </c>
      <c r="B45" s="1">
        <v>46247</v>
      </c>
      <c r="C45" t="s">
        <v>505</v>
      </c>
      <c r="D45" t="s">
        <v>506</v>
      </c>
      <c r="E45" t="s">
        <v>388</v>
      </c>
      <c r="F45" t="str">
        <f t="shared" si="2"/>
        <v>Inversión</v>
      </c>
      <c r="G45" t="s">
        <v>334</v>
      </c>
      <c r="H45" s="2" t="s">
        <v>399</v>
      </c>
      <c r="I45" s="2" t="s">
        <v>400</v>
      </c>
      <c r="J45" s="2">
        <v>215.44</v>
      </c>
      <c r="K45" s="3">
        <f>IF(tblFacturasRecibidas[[#This Row],[Categoría]]="Combustible",10%,21%)</f>
        <v>0.21</v>
      </c>
      <c r="L45" s="2">
        <f>IFERROR(tblFacturasRecibidas[[#This Row],[Base imponible (€)]]*tblFacturasRecibidas[[#This Row],[% IVA]],0)</f>
        <v>45.242399999999996</v>
      </c>
      <c r="M45" s="2">
        <f>tblFacturasRecibidas[[#This Row],[Base imponible (€)]]+tblFacturasRecibidas[[#This Row],[IVA (€)]]</f>
        <v>260.68239999999997</v>
      </c>
      <c r="N45">
        <f>YEAR(tblFacturasRecibidas[[#This Row],[Fecha factura]])</f>
        <v>2026</v>
      </c>
      <c r="O45">
        <f>MONTH(tblFacturasRecibidas[[#This Row],[Fecha factura]])</f>
        <v>8</v>
      </c>
      <c r="P45">
        <f>ROUNDUP(MONTH(tblFacturasRecibidas[[#This Row],[Fecha factura]])/3,0)</f>
        <v>3</v>
      </c>
    </row>
    <row r="46" spans="1:17" x14ac:dyDescent="0.35">
      <c r="A46" t="s">
        <v>507</v>
      </c>
      <c r="B46" s="1">
        <v>46247</v>
      </c>
      <c r="C46" t="s">
        <v>505</v>
      </c>
      <c r="D46" t="s">
        <v>508</v>
      </c>
      <c r="E46" t="s">
        <v>388</v>
      </c>
      <c r="F46" t="str">
        <f t="shared" si="2"/>
        <v>Inversión</v>
      </c>
      <c r="G46" t="s">
        <v>334</v>
      </c>
      <c r="H46" s="2" t="s">
        <v>399</v>
      </c>
      <c r="I46" s="2" t="s">
        <v>400</v>
      </c>
      <c r="J46" s="2">
        <v>112.13</v>
      </c>
      <c r="K46" s="3">
        <f>IF(tblFacturasRecibidas[[#This Row],[Categoría]]="Combustible",10%,21%)</f>
        <v>0.21</v>
      </c>
      <c r="L46" s="2">
        <f>IFERROR(tblFacturasRecibidas[[#This Row],[Base imponible (€)]]*tblFacturasRecibidas[[#This Row],[% IVA]],0)</f>
        <v>23.5473</v>
      </c>
      <c r="M46" s="2">
        <f>tblFacturasRecibidas[[#This Row],[Base imponible (€)]]+tblFacturasRecibidas[[#This Row],[IVA (€)]]</f>
        <v>135.6773</v>
      </c>
      <c r="N46">
        <f>YEAR(tblFacturasRecibidas[[#This Row],[Fecha factura]])</f>
        <v>2026</v>
      </c>
      <c r="O46">
        <f>MONTH(tblFacturasRecibidas[[#This Row],[Fecha factura]])</f>
        <v>8</v>
      </c>
      <c r="P46">
        <f>ROUNDUP(MONTH(tblFacturasRecibidas[[#This Row],[Fecha factura]])/3,0)</f>
        <v>3</v>
      </c>
    </row>
    <row r="47" spans="1:17" x14ac:dyDescent="0.35">
      <c r="A47" t="s">
        <v>509</v>
      </c>
      <c r="B47" s="1">
        <v>46241</v>
      </c>
      <c r="C47" t="s">
        <v>510</v>
      </c>
      <c r="D47" t="s">
        <v>511</v>
      </c>
      <c r="E47" t="s">
        <v>388</v>
      </c>
      <c r="F47" t="str">
        <f t="shared" si="2"/>
        <v>Inversión</v>
      </c>
      <c r="G47" t="s">
        <v>334</v>
      </c>
      <c r="H47" s="2" t="s">
        <v>328</v>
      </c>
      <c r="I47" s="2" t="s">
        <v>389</v>
      </c>
      <c r="J47" s="2">
        <v>56.19</v>
      </c>
      <c r="K47" s="3">
        <f>IF(tblFacturasRecibidas[[#This Row],[Categoría]]="Combustible",10%,21%)</f>
        <v>0.21</v>
      </c>
      <c r="L47" s="2">
        <f>IFERROR(tblFacturasRecibidas[[#This Row],[Base imponible (€)]]*tblFacturasRecibidas[[#This Row],[% IVA]],0)</f>
        <v>11.799899999999999</v>
      </c>
      <c r="M47" s="2">
        <f>tblFacturasRecibidas[[#This Row],[Base imponible (€)]]+tblFacturasRecibidas[[#This Row],[IVA (€)]]</f>
        <v>67.989899999999992</v>
      </c>
      <c r="N47">
        <f>YEAR(tblFacturasRecibidas[[#This Row],[Fecha factura]])</f>
        <v>2026</v>
      </c>
      <c r="O47">
        <f>MONTH(tblFacturasRecibidas[[#This Row],[Fecha factura]])</f>
        <v>8</v>
      </c>
      <c r="P47">
        <f>ROUNDUP(MONTH(tblFacturasRecibidas[[#This Row],[Fecha factura]])/3,0)</f>
        <v>3</v>
      </c>
      <c r="Q47" t="s">
        <v>512</v>
      </c>
    </row>
    <row r="48" spans="1:17" x14ac:dyDescent="0.35">
      <c r="A48" t="s">
        <v>513</v>
      </c>
      <c r="B48" s="1">
        <v>46241</v>
      </c>
      <c r="C48" t="s">
        <v>510</v>
      </c>
      <c r="D48" t="s">
        <v>514</v>
      </c>
      <c r="E48" t="s">
        <v>388</v>
      </c>
      <c r="F48" t="str">
        <f t="shared" si="2"/>
        <v>Inversión</v>
      </c>
      <c r="G48" t="s">
        <v>334</v>
      </c>
      <c r="H48" s="2" t="s">
        <v>328</v>
      </c>
      <c r="I48" s="2" t="s">
        <v>389</v>
      </c>
      <c r="J48" s="2">
        <v>11.31</v>
      </c>
      <c r="K48" s="3">
        <f>IF(tblFacturasRecibidas[[#This Row],[Categoría]]="Combustible",10%,21%)</f>
        <v>0.21</v>
      </c>
      <c r="L48" s="2">
        <f>IFERROR(tblFacturasRecibidas[[#This Row],[Base imponible (€)]]*tblFacturasRecibidas[[#This Row],[% IVA]],0)</f>
        <v>2.3751000000000002</v>
      </c>
      <c r="M48" s="2">
        <f>tblFacturasRecibidas[[#This Row],[Base imponible (€)]]+tblFacturasRecibidas[[#This Row],[IVA (€)]]</f>
        <v>13.6851</v>
      </c>
      <c r="N48">
        <f>YEAR(tblFacturasRecibidas[[#This Row],[Fecha factura]])</f>
        <v>2026</v>
      </c>
      <c r="O48">
        <f>MONTH(tblFacturasRecibidas[[#This Row],[Fecha factura]])</f>
        <v>8</v>
      </c>
      <c r="P48">
        <f>ROUNDUP(MONTH(tblFacturasRecibidas[[#This Row],[Fecha factura]])/3,0)</f>
        <v>3</v>
      </c>
    </row>
    <row r="49" spans="1:17" x14ac:dyDescent="0.35">
      <c r="A49" t="s">
        <v>515</v>
      </c>
      <c r="B49" s="1">
        <v>46241</v>
      </c>
      <c r="C49" t="s">
        <v>510</v>
      </c>
      <c r="D49" t="s">
        <v>516</v>
      </c>
      <c r="E49" t="s">
        <v>388</v>
      </c>
      <c r="F49" t="str">
        <f t="shared" si="2"/>
        <v>Inversión</v>
      </c>
      <c r="G49" t="s">
        <v>334</v>
      </c>
      <c r="H49" s="2" t="s">
        <v>328</v>
      </c>
      <c r="I49" s="2" t="s">
        <v>389</v>
      </c>
      <c r="J49" s="2">
        <v>5.7</v>
      </c>
      <c r="K49" s="3">
        <f>IF(tblFacturasRecibidas[[#This Row],[Categoría]]="Combustible",10%,21%)</f>
        <v>0.21</v>
      </c>
      <c r="L49" s="2">
        <f>IFERROR(tblFacturasRecibidas[[#This Row],[Base imponible (€)]]*tblFacturasRecibidas[[#This Row],[% IVA]],0)</f>
        <v>1.1970000000000001</v>
      </c>
      <c r="M49" s="2">
        <f>tblFacturasRecibidas[[#This Row],[Base imponible (€)]]+tblFacturasRecibidas[[#This Row],[IVA (€)]]</f>
        <v>6.8970000000000002</v>
      </c>
      <c r="N49">
        <f>YEAR(tblFacturasRecibidas[[#This Row],[Fecha factura]])</f>
        <v>2026</v>
      </c>
      <c r="O49">
        <f>MONTH(tblFacturasRecibidas[[#This Row],[Fecha factura]])</f>
        <v>8</v>
      </c>
      <c r="P49">
        <f>ROUNDUP(MONTH(tblFacturasRecibidas[[#This Row],[Fecha factura]])/3,0)</f>
        <v>3</v>
      </c>
    </row>
    <row r="50" spans="1:17" x14ac:dyDescent="0.35">
      <c r="A50" t="s">
        <v>517</v>
      </c>
      <c r="B50" s="1">
        <v>46241</v>
      </c>
      <c r="C50" t="s">
        <v>510</v>
      </c>
      <c r="D50" t="s">
        <v>518</v>
      </c>
      <c r="E50" t="s">
        <v>388</v>
      </c>
      <c r="F50" t="str">
        <f t="shared" si="2"/>
        <v>Inversión</v>
      </c>
      <c r="G50" t="s">
        <v>334</v>
      </c>
      <c r="H50" s="2" t="s">
        <v>328</v>
      </c>
      <c r="I50" s="2" t="s">
        <v>389</v>
      </c>
      <c r="J50" s="2">
        <v>-48.76</v>
      </c>
      <c r="K50" s="3">
        <f>IF(tblFacturasRecibidas[[#This Row],[Categoría]]="Combustible",10%,21%)</f>
        <v>0.21</v>
      </c>
      <c r="L50" s="2">
        <f>IFERROR(tblFacturasRecibidas[[#This Row],[Base imponible (€)]]*tblFacturasRecibidas[[#This Row],[% IVA]],0)</f>
        <v>-10.239599999999999</v>
      </c>
      <c r="M50" s="2">
        <f>tblFacturasRecibidas[[#This Row],[Base imponible (€)]]+tblFacturasRecibidas[[#This Row],[IVA (€)]]</f>
        <v>-58.999600000000001</v>
      </c>
      <c r="N50">
        <f>YEAR(tblFacturasRecibidas[[#This Row],[Fecha factura]])</f>
        <v>2026</v>
      </c>
      <c r="O50">
        <f>MONTH(tblFacturasRecibidas[[#This Row],[Fecha factura]])</f>
        <v>8</v>
      </c>
      <c r="P50">
        <f>ROUNDUP(MONTH(tblFacturasRecibidas[[#This Row],[Fecha factura]])/3,0)</f>
        <v>3</v>
      </c>
      <c r="Q50" t="s">
        <v>519</v>
      </c>
    </row>
    <row r="51" spans="1:17" x14ac:dyDescent="0.35">
      <c r="A51" t="s">
        <v>520</v>
      </c>
      <c r="B51" s="1">
        <v>46240</v>
      </c>
      <c r="C51" t="s">
        <v>521</v>
      </c>
      <c r="D51" t="s">
        <v>522</v>
      </c>
      <c r="E51" t="s">
        <v>388</v>
      </c>
      <c r="F51" t="str">
        <f t="shared" si="2"/>
        <v>Inversión</v>
      </c>
      <c r="G51" t="s">
        <v>334</v>
      </c>
      <c r="H51" s="2" t="s">
        <v>328</v>
      </c>
      <c r="I51" s="2" t="s">
        <v>389</v>
      </c>
      <c r="J51" s="2">
        <v>70.59</v>
      </c>
      <c r="K51" s="3">
        <f>IF(tblFacturasRecibidas[[#This Row],[Categoría]]="Combustible",10%,21%)</f>
        <v>0.21</v>
      </c>
      <c r="L51" s="2">
        <f>IFERROR(tblFacturasRecibidas[[#This Row],[Base imponible (€)]]*tblFacturasRecibidas[[#This Row],[% IVA]],0)</f>
        <v>14.8239</v>
      </c>
      <c r="M51" s="2">
        <f>tblFacturasRecibidas[[#This Row],[Base imponible (€)]]+tblFacturasRecibidas[[#This Row],[IVA (€)]]</f>
        <v>85.413899999999998</v>
      </c>
      <c r="N51">
        <f>YEAR(tblFacturasRecibidas[[#This Row],[Fecha factura]])</f>
        <v>2026</v>
      </c>
      <c r="O51">
        <f>MONTH(tblFacturasRecibidas[[#This Row],[Fecha factura]])</f>
        <v>8</v>
      </c>
      <c r="P51">
        <f>ROUNDUP(MONTH(tblFacturasRecibidas[[#This Row],[Fecha factura]])/3,0)</f>
        <v>3</v>
      </c>
    </row>
    <row r="52" spans="1:17" x14ac:dyDescent="0.35">
      <c r="A52" t="s">
        <v>523</v>
      </c>
      <c r="B52" s="1">
        <v>46244</v>
      </c>
      <c r="C52" t="s">
        <v>524</v>
      </c>
      <c r="D52" t="s">
        <v>525</v>
      </c>
      <c r="E52" t="s">
        <v>526</v>
      </c>
      <c r="F52" t="str">
        <f t="shared" si="2"/>
        <v>Operación</v>
      </c>
      <c r="G52" t="s">
        <v>13</v>
      </c>
      <c r="H52" s="2" t="s">
        <v>527</v>
      </c>
      <c r="I52" s="2" t="s">
        <v>389</v>
      </c>
      <c r="J52" s="2">
        <v>40.92</v>
      </c>
      <c r="K52" s="3">
        <f>IF(tblFacturasRecibidas[[#This Row],[Categoría]]="Combustible",10%,21%)</f>
        <v>0.21</v>
      </c>
      <c r="L52" s="2">
        <f>IFERROR(tblFacturasRecibidas[[#This Row],[Base imponible (€)]]*tblFacturasRecibidas[[#This Row],[% IVA]],0)</f>
        <v>8.5931999999999995</v>
      </c>
      <c r="M52" s="2">
        <f>tblFacturasRecibidas[[#This Row],[Base imponible (€)]]+tblFacturasRecibidas[[#This Row],[IVA (€)]]</f>
        <v>49.513199999999998</v>
      </c>
      <c r="N52">
        <f>YEAR(tblFacturasRecibidas[[#This Row],[Fecha factura]])</f>
        <v>2026</v>
      </c>
      <c r="O52">
        <f>MONTH(tblFacturasRecibidas[[#This Row],[Fecha factura]])</f>
        <v>8</v>
      </c>
      <c r="P52">
        <f>ROUNDUP(MONTH(tblFacturasRecibidas[[#This Row],[Fecha factura]])/3,0)</f>
        <v>3</v>
      </c>
      <c r="Q52" t="s">
        <v>528</v>
      </c>
    </row>
    <row r="53" spans="1:17" x14ac:dyDescent="0.35">
      <c r="A53" t="s">
        <v>529</v>
      </c>
      <c r="B53" s="1">
        <v>46241</v>
      </c>
      <c r="C53" t="s">
        <v>530</v>
      </c>
      <c r="D53" t="s">
        <v>531</v>
      </c>
      <c r="E53" t="s">
        <v>526</v>
      </c>
      <c r="F53" t="str">
        <f t="shared" si="2"/>
        <v>Operación</v>
      </c>
      <c r="G53" t="s">
        <v>13</v>
      </c>
      <c r="H53" s="2" t="s">
        <v>373</v>
      </c>
      <c r="I53" s="2" t="s">
        <v>389</v>
      </c>
      <c r="J53" s="2">
        <v>380</v>
      </c>
      <c r="K53" s="3" t="s">
        <v>390</v>
      </c>
      <c r="L53" s="2">
        <f>IFERROR(tblFacturasRecibidas[[#This Row],[Base imponible (€)]]*tblFacturasRecibidas[[#This Row],[% IVA]],0)</f>
        <v>0</v>
      </c>
      <c r="M53" s="2">
        <f>tblFacturasRecibidas[[#This Row],[Base imponible (€)]]+tblFacturasRecibidas[[#This Row],[IVA (€)]]</f>
        <v>380</v>
      </c>
      <c r="N53">
        <f>YEAR(tblFacturasRecibidas[[#This Row],[Fecha factura]])</f>
        <v>2026</v>
      </c>
      <c r="O53">
        <f>MONTH(tblFacturasRecibidas[[#This Row],[Fecha factura]])</f>
        <v>8</v>
      </c>
      <c r="P53">
        <f>ROUNDUP(MONTH(tblFacturasRecibidas[[#This Row],[Fecha factura]])/3,0)</f>
        <v>3</v>
      </c>
      <c r="Q53" t="s">
        <v>532</v>
      </c>
    </row>
    <row r="54" spans="1:17" x14ac:dyDescent="0.35">
      <c r="A54" t="s">
        <v>533</v>
      </c>
      <c r="B54" s="1">
        <v>46239</v>
      </c>
      <c r="C54" t="s">
        <v>392</v>
      </c>
      <c r="D54" t="s">
        <v>534</v>
      </c>
      <c r="E54" t="s">
        <v>526</v>
      </c>
      <c r="F54" t="str">
        <f t="shared" si="2"/>
        <v>Operación</v>
      </c>
      <c r="G54" t="s">
        <v>13</v>
      </c>
      <c r="H54" s="2" t="s">
        <v>399</v>
      </c>
      <c r="I54" s="2" t="s">
        <v>400</v>
      </c>
      <c r="J54" s="2">
        <v>19.059999999999999</v>
      </c>
      <c r="K54" s="3">
        <f>IF(tblFacturasRecibidas[[#This Row],[Categoría]]="Combustible",10%,21%)</f>
        <v>0.21</v>
      </c>
      <c r="L54" s="2">
        <f>IFERROR(tblFacturasRecibidas[[#This Row],[Base imponible (€)]]*tblFacturasRecibidas[[#This Row],[% IVA]],0)</f>
        <v>4.0025999999999993</v>
      </c>
      <c r="M54" s="2">
        <f>tblFacturasRecibidas[[#This Row],[Base imponible (€)]]+tblFacturasRecibidas[[#This Row],[IVA (€)]]</f>
        <v>23.062599999999996</v>
      </c>
      <c r="N54">
        <f>YEAR(tblFacturasRecibidas[[#This Row],[Fecha factura]])</f>
        <v>2026</v>
      </c>
      <c r="O54">
        <f>MONTH(tblFacturasRecibidas[[#This Row],[Fecha factura]])</f>
        <v>8</v>
      </c>
      <c r="P54">
        <f>ROUNDUP(MONTH(tblFacturasRecibidas[[#This Row],[Fecha factura]])/3,0)</f>
        <v>3</v>
      </c>
      <c r="Q54" t="s">
        <v>532</v>
      </c>
    </row>
    <row r="55" spans="1:17" x14ac:dyDescent="0.35">
      <c r="A55" t="s">
        <v>535</v>
      </c>
      <c r="B55" s="1">
        <v>46242</v>
      </c>
      <c r="C55" t="s">
        <v>392</v>
      </c>
      <c r="D55" t="s">
        <v>536</v>
      </c>
      <c r="E55" t="s">
        <v>526</v>
      </c>
      <c r="F55" t="str">
        <f t="shared" si="2"/>
        <v>Operación</v>
      </c>
      <c r="G55" t="s">
        <v>13</v>
      </c>
      <c r="H55" s="2" t="s">
        <v>399</v>
      </c>
      <c r="I55" s="2" t="s">
        <v>400</v>
      </c>
      <c r="J55" s="2">
        <v>5.99</v>
      </c>
      <c r="K55" s="3">
        <f>IF(tblFacturasRecibidas[[#This Row],[Categoría]]="Combustible",10%,21%)</f>
        <v>0.21</v>
      </c>
      <c r="L55" s="2">
        <f>IFERROR(tblFacturasRecibidas[[#This Row],[Base imponible (€)]]*tblFacturasRecibidas[[#This Row],[% IVA]],0)</f>
        <v>1.2579</v>
      </c>
      <c r="M55" s="2">
        <f>tblFacturasRecibidas[[#This Row],[Base imponible (€)]]+tblFacturasRecibidas[[#This Row],[IVA (€)]]</f>
        <v>7.2479000000000005</v>
      </c>
      <c r="N55">
        <f>YEAR(tblFacturasRecibidas[[#This Row],[Fecha factura]])</f>
        <v>2026</v>
      </c>
      <c r="O55">
        <f>MONTH(tblFacturasRecibidas[[#This Row],[Fecha factura]])</f>
        <v>8</v>
      </c>
      <c r="P55">
        <f>ROUNDUP(MONTH(tblFacturasRecibidas[[#This Row],[Fecha factura]])/3,0)</f>
        <v>3</v>
      </c>
      <c r="Q55" t="s">
        <v>532</v>
      </c>
    </row>
    <row r="56" spans="1:17" x14ac:dyDescent="0.35">
      <c r="A56" t="s">
        <v>537</v>
      </c>
      <c r="B56" s="1">
        <v>46241</v>
      </c>
      <c r="C56" t="s">
        <v>392</v>
      </c>
      <c r="D56" t="s">
        <v>538</v>
      </c>
      <c r="E56" t="s">
        <v>526</v>
      </c>
      <c r="F56" t="str">
        <f t="shared" si="2"/>
        <v>Operación</v>
      </c>
      <c r="G56" t="s">
        <v>13</v>
      </c>
      <c r="H56" s="2" t="s">
        <v>399</v>
      </c>
      <c r="I56" s="2" t="s">
        <v>400</v>
      </c>
      <c r="J56" s="2">
        <f>128.36+5.18</f>
        <v>133.54000000000002</v>
      </c>
      <c r="K56" s="3">
        <f>IF(tblFacturasRecibidas[[#This Row],[Categoría]]="Combustible",10%,21%)</f>
        <v>0.21</v>
      </c>
      <c r="L56" s="2">
        <f>IFERROR(tblFacturasRecibidas[[#This Row],[Base imponible (€)]]*tblFacturasRecibidas[[#This Row],[% IVA]],0)</f>
        <v>28.043400000000002</v>
      </c>
      <c r="M56" s="2">
        <f>tblFacturasRecibidas[[#This Row],[Base imponible (€)]]+tblFacturasRecibidas[[#This Row],[IVA (€)]]</f>
        <v>161.58340000000001</v>
      </c>
      <c r="N56">
        <f>YEAR(tblFacturasRecibidas[[#This Row],[Fecha factura]])</f>
        <v>2026</v>
      </c>
      <c r="O56">
        <f>MONTH(tblFacturasRecibidas[[#This Row],[Fecha factura]])</f>
        <v>8</v>
      </c>
      <c r="P56">
        <f>ROUNDUP(MONTH(tblFacturasRecibidas[[#This Row],[Fecha factura]])/3,0)</f>
        <v>3</v>
      </c>
      <c r="Q56" t="s">
        <v>532</v>
      </c>
    </row>
    <row r="57" spans="1:17" x14ac:dyDescent="0.35">
      <c r="A57" t="s">
        <v>539</v>
      </c>
      <c r="B57" s="1">
        <v>46240</v>
      </c>
      <c r="C57" t="s">
        <v>392</v>
      </c>
      <c r="D57" t="s">
        <v>540</v>
      </c>
      <c r="E57" t="s">
        <v>526</v>
      </c>
      <c r="F57" t="str">
        <f t="shared" si="2"/>
        <v>Operación</v>
      </c>
      <c r="G57" t="s">
        <v>13</v>
      </c>
      <c r="H57" s="2" t="s">
        <v>399</v>
      </c>
      <c r="I57" s="2" t="s">
        <v>400</v>
      </c>
      <c r="J57" s="2">
        <v>319.24</v>
      </c>
      <c r="K57" s="3">
        <f>IF(tblFacturasRecibidas[[#This Row],[Categoría]]="Combustible",10%,21%)</f>
        <v>0.21</v>
      </c>
      <c r="L57" s="2">
        <f>IFERROR(tblFacturasRecibidas[[#This Row],[Base imponible (€)]]*tblFacturasRecibidas[[#This Row],[% IVA]],0)</f>
        <v>67.040400000000005</v>
      </c>
      <c r="M57" s="2">
        <f>tblFacturasRecibidas[[#This Row],[Base imponible (€)]]+tblFacturasRecibidas[[#This Row],[IVA (€)]]</f>
        <v>386.28039999999999</v>
      </c>
      <c r="N57">
        <f>YEAR(tblFacturasRecibidas[[#This Row],[Fecha factura]])</f>
        <v>2026</v>
      </c>
      <c r="O57">
        <f>MONTH(tblFacturasRecibidas[[#This Row],[Fecha factura]])</f>
        <v>8</v>
      </c>
      <c r="P57">
        <f>ROUNDUP(MONTH(tblFacturasRecibidas[[#This Row],[Fecha factura]])/3,0)</f>
        <v>3</v>
      </c>
      <c r="Q57" t="s">
        <v>532</v>
      </c>
    </row>
    <row r="58" spans="1:17" x14ac:dyDescent="0.35">
      <c r="A58" t="s">
        <v>541</v>
      </c>
      <c r="B58" s="1">
        <v>46241</v>
      </c>
      <c r="C58" t="s">
        <v>505</v>
      </c>
      <c r="D58" t="s">
        <v>542</v>
      </c>
      <c r="E58" t="s">
        <v>526</v>
      </c>
      <c r="F58" t="str">
        <f t="shared" si="2"/>
        <v>Operación</v>
      </c>
      <c r="G58" t="s">
        <v>13</v>
      </c>
      <c r="H58" s="2" t="s">
        <v>399</v>
      </c>
      <c r="I58" s="2" t="s">
        <v>400</v>
      </c>
      <c r="J58" s="2">
        <v>100.61</v>
      </c>
      <c r="K58" s="3">
        <f>IF(tblFacturasRecibidas[[#This Row],[Categoría]]="Combustible",10%,21%)</f>
        <v>0.21</v>
      </c>
      <c r="L58" s="2">
        <f>IFERROR(tblFacturasRecibidas[[#This Row],[Base imponible (€)]]*tblFacturasRecibidas[[#This Row],[% IVA]],0)</f>
        <v>21.1281</v>
      </c>
      <c r="M58" s="2">
        <f>tblFacturasRecibidas[[#This Row],[Base imponible (€)]]+tblFacturasRecibidas[[#This Row],[IVA (€)]]</f>
        <v>121.7381</v>
      </c>
      <c r="N58">
        <f>YEAR(tblFacturasRecibidas[[#This Row],[Fecha factura]])</f>
        <v>2026</v>
      </c>
      <c r="O58">
        <f>MONTH(tblFacturasRecibidas[[#This Row],[Fecha factura]])</f>
        <v>8</v>
      </c>
      <c r="P58">
        <f>ROUNDUP(MONTH(tblFacturasRecibidas[[#This Row],[Fecha factura]])/3,0)</f>
        <v>3</v>
      </c>
      <c r="Q58" t="s">
        <v>532</v>
      </c>
    </row>
    <row r="59" spans="1:17" x14ac:dyDescent="0.35">
      <c r="A59" t="s">
        <v>543</v>
      </c>
      <c r="B59" s="1">
        <v>46240</v>
      </c>
      <c r="C59" t="s">
        <v>392</v>
      </c>
      <c r="D59" t="s">
        <v>544</v>
      </c>
      <c r="E59" t="s">
        <v>526</v>
      </c>
      <c r="F59" t="str">
        <f t="shared" si="2"/>
        <v>Operación</v>
      </c>
      <c r="G59" t="s">
        <v>13</v>
      </c>
      <c r="H59" s="2" t="s">
        <v>399</v>
      </c>
      <c r="I59" s="2" t="s">
        <v>400</v>
      </c>
      <c r="J59" s="2">
        <v>22</v>
      </c>
      <c r="K59" s="3">
        <f>IF(tblFacturasRecibidas[[#This Row],[Categoría]]="Combustible",10%,21%)</f>
        <v>0.21</v>
      </c>
      <c r="L59" s="2">
        <f>IFERROR(tblFacturasRecibidas[[#This Row],[Base imponible (€)]]*tblFacturasRecibidas[[#This Row],[% IVA]],0)</f>
        <v>4.62</v>
      </c>
      <c r="M59" s="2">
        <f>tblFacturasRecibidas[[#This Row],[Base imponible (€)]]+tblFacturasRecibidas[[#This Row],[IVA (€)]]</f>
        <v>26.62</v>
      </c>
      <c r="N59">
        <f>YEAR(tblFacturasRecibidas[[#This Row],[Fecha factura]])</f>
        <v>2026</v>
      </c>
      <c r="O59">
        <f>MONTH(tblFacturasRecibidas[[#This Row],[Fecha factura]])</f>
        <v>8</v>
      </c>
      <c r="P59">
        <f>ROUNDUP(MONTH(tblFacturasRecibidas[[#This Row],[Fecha factura]])/3,0)</f>
        <v>3</v>
      </c>
      <c r="Q59" t="s">
        <v>532</v>
      </c>
    </row>
    <row r="60" spans="1:17" x14ac:dyDescent="0.35">
      <c r="A60" t="s">
        <v>545</v>
      </c>
      <c r="B60" s="1">
        <v>46238</v>
      </c>
      <c r="C60" t="s">
        <v>510</v>
      </c>
      <c r="D60" t="s">
        <v>546</v>
      </c>
      <c r="E60" t="s">
        <v>388</v>
      </c>
      <c r="F60" t="str">
        <f t="shared" si="2"/>
        <v>Inversión</v>
      </c>
      <c r="G60" t="s">
        <v>334</v>
      </c>
      <c r="H60" s="2" t="s">
        <v>328</v>
      </c>
      <c r="I60" s="2" t="s">
        <v>389</v>
      </c>
      <c r="J60" s="2">
        <v>207.63</v>
      </c>
      <c r="K60" s="3">
        <f>IF(tblFacturasRecibidas[[#This Row],[Categoría]]="Combustible",10%,21%)</f>
        <v>0.21</v>
      </c>
      <c r="L60" s="2">
        <f>IFERROR(tblFacturasRecibidas[[#This Row],[Base imponible (€)]]*tblFacturasRecibidas[[#This Row],[% IVA]],0)</f>
        <v>43.6023</v>
      </c>
      <c r="M60" s="2">
        <f>tblFacturasRecibidas[[#This Row],[Base imponible (€)]]+tblFacturasRecibidas[[#This Row],[IVA (€)]]</f>
        <v>251.23230000000001</v>
      </c>
      <c r="N60">
        <f>YEAR(tblFacturasRecibidas[[#This Row],[Fecha factura]])</f>
        <v>2026</v>
      </c>
      <c r="O60">
        <f>MONTH(tblFacturasRecibidas[[#This Row],[Fecha factura]])</f>
        <v>8</v>
      </c>
      <c r="P60">
        <f>ROUNDUP(MONTH(tblFacturasRecibidas[[#This Row],[Fecha factura]])/3,0)</f>
        <v>3</v>
      </c>
    </row>
    <row r="61" spans="1:17" x14ac:dyDescent="0.35">
      <c r="A61" t="s">
        <v>547</v>
      </c>
      <c r="B61" s="1">
        <v>46238</v>
      </c>
      <c r="C61" t="s">
        <v>510</v>
      </c>
      <c r="D61" t="s">
        <v>548</v>
      </c>
      <c r="E61" t="s">
        <v>388</v>
      </c>
      <c r="F61" t="str">
        <f t="shared" si="2"/>
        <v>Inversión</v>
      </c>
      <c r="G61" t="s">
        <v>334</v>
      </c>
      <c r="H61" s="2" t="s">
        <v>328</v>
      </c>
      <c r="I61" s="2" t="s">
        <v>389</v>
      </c>
      <c r="J61" s="2">
        <v>45.37</v>
      </c>
      <c r="K61" s="3">
        <v>0.21</v>
      </c>
      <c r="L61" s="2">
        <f>IFERROR(tblFacturasRecibidas[[#This Row],[Base imponible (€)]]*tblFacturasRecibidas[[#This Row],[% IVA]],0)</f>
        <v>9.5276999999999994</v>
      </c>
      <c r="M61" s="2">
        <f>tblFacturasRecibidas[[#This Row],[Base imponible (€)]]+tblFacturasRecibidas[[#This Row],[IVA (€)]]</f>
        <v>54.8977</v>
      </c>
      <c r="N61">
        <f>YEAR(tblFacturasRecibidas[[#This Row],[Fecha factura]])</f>
        <v>2026</v>
      </c>
      <c r="O61">
        <f>MONTH(tblFacturasRecibidas[[#This Row],[Fecha factura]])</f>
        <v>8</v>
      </c>
      <c r="P61">
        <f>ROUNDUP(MONTH(tblFacturasRecibidas[[#This Row],[Fecha factura]])/3,0)</f>
        <v>3</v>
      </c>
    </row>
    <row r="62" spans="1:17" x14ac:dyDescent="0.35">
      <c r="A62" t="s">
        <v>549</v>
      </c>
      <c r="B62" s="1">
        <v>46225</v>
      </c>
      <c r="C62" t="s">
        <v>550</v>
      </c>
      <c r="D62" t="s">
        <v>551</v>
      </c>
      <c r="E62" t="s">
        <v>526</v>
      </c>
      <c r="F62" t="str">
        <f t="shared" si="2"/>
        <v>Operación</v>
      </c>
      <c r="G62" t="s">
        <v>13</v>
      </c>
      <c r="H62" s="2" t="s">
        <v>328</v>
      </c>
      <c r="I62" s="2" t="s">
        <v>389</v>
      </c>
      <c r="J62" s="2">
        <v>68</v>
      </c>
      <c r="K62" s="3">
        <f>IF(tblFacturasRecibidas[[#This Row],[Categoría]]="Combustible",10%,21%)</f>
        <v>0.21</v>
      </c>
      <c r="L62" s="2">
        <f>IFERROR(tblFacturasRecibidas[[#This Row],[Base imponible (€)]]*tblFacturasRecibidas[[#This Row],[% IVA]],0)</f>
        <v>14.28</v>
      </c>
      <c r="M62" s="2">
        <f>tblFacturasRecibidas[[#This Row],[Base imponible (€)]]+tblFacturasRecibidas[[#This Row],[IVA (€)]]</f>
        <v>82.28</v>
      </c>
      <c r="N62">
        <f>YEAR(tblFacturasRecibidas[[#This Row],[Fecha factura]])</f>
        <v>2026</v>
      </c>
      <c r="O62">
        <f>MONTH(tblFacturasRecibidas[[#This Row],[Fecha factura]])</f>
        <v>7</v>
      </c>
      <c r="P62">
        <f>ROUNDUP(MONTH(tblFacturasRecibidas[[#This Row],[Fecha factura]])/3,0)</f>
        <v>3</v>
      </c>
    </row>
    <row r="63" spans="1:17" x14ac:dyDescent="0.35">
      <c r="A63" t="s">
        <v>552</v>
      </c>
      <c r="B63" s="1">
        <v>46233</v>
      </c>
      <c r="C63" t="s">
        <v>553</v>
      </c>
      <c r="D63" t="s">
        <v>554</v>
      </c>
      <c r="E63" t="s">
        <v>388</v>
      </c>
      <c r="F63" t="str">
        <f t="shared" si="2"/>
        <v>Inversión</v>
      </c>
      <c r="G63" t="s">
        <v>334</v>
      </c>
      <c r="H63" s="2" t="s">
        <v>373</v>
      </c>
      <c r="I63" s="2" t="s">
        <v>389</v>
      </c>
      <c r="J63" s="2">
        <v>3000</v>
      </c>
      <c r="K63" s="3" t="s">
        <v>390</v>
      </c>
      <c r="L63" s="2">
        <f>IFERROR(tblFacturasRecibidas[[#This Row],[Base imponible (€)]]*tblFacturasRecibidas[[#This Row],[% IVA]],0)</f>
        <v>0</v>
      </c>
      <c r="M63" s="2">
        <f>tblFacturasRecibidas[[#This Row],[Base imponible (€)]]+tblFacturasRecibidas[[#This Row],[IVA (€)]]</f>
        <v>3000</v>
      </c>
      <c r="N63">
        <f>YEAR(tblFacturasRecibidas[[#This Row],[Fecha factura]])</f>
        <v>2026</v>
      </c>
      <c r="O63">
        <f>MONTH(tblFacturasRecibidas[[#This Row],[Fecha factura]])</f>
        <v>7</v>
      </c>
      <c r="P63">
        <f>ROUNDUP(MONTH(tblFacturasRecibidas[[#This Row],[Fecha factura]])/3,0)</f>
        <v>3</v>
      </c>
    </row>
    <row r="64" spans="1:17" x14ac:dyDescent="0.35">
      <c r="A64" t="s">
        <v>555</v>
      </c>
      <c r="B64" s="1">
        <v>46233</v>
      </c>
      <c r="C64" t="s">
        <v>556</v>
      </c>
      <c r="D64" t="s">
        <v>557</v>
      </c>
      <c r="E64" t="s">
        <v>558</v>
      </c>
      <c r="F64" t="str">
        <f t="shared" si="2"/>
        <v>Inversión</v>
      </c>
      <c r="G64" t="s">
        <v>334</v>
      </c>
      <c r="H64" s="2" t="s">
        <v>328</v>
      </c>
      <c r="I64" s="2" t="s">
        <v>389</v>
      </c>
      <c r="J64" s="2">
        <v>38.64</v>
      </c>
      <c r="K64" s="3" t="s">
        <v>390</v>
      </c>
      <c r="L64" s="2">
        <f>IFERROR(tblFacturasRecibidas[[#This Row],[Base imponible (€)]]*tblFacturasRecibidas[[#This Row],[% IVA]],0)</f>
        <v>0</v>
      </c>
      <c r="M64" s="2">
        <f>tblFacturasRecibidas[[#This Row],[Base imponible (€)]]+tblFacturasRecibidas[[#This Row],[IVA (€)]]</f>
        <v>38.64</v>
      </c>
      <c r="N64">
        <f>YEAR(tblFacturasRecibidas[[#This Row],[Fecha factura]])</f>
        <v>2026</v>
      </c>
      <c r="O64">
        <f>MONTH(tblFacturasRecibidas[[#This Row],[Fecha factura]])</f>
        <v>7</v>
      </c>
      <c r="P64">
        <f>ROUNDUP(MONTH(tblFacturasRecibidas[[#This Row],[Fecha factura]])/3,0)</f>
        <v>3</v>
      </c>
      <c r="Q64" t="s">
        <v>559</v>
      </c>
    </row>
    <row r="65" spans="1:17" x14ac:dyDescent="0.35">
      <c r="A65" t="s">
        <v>560</v>
      </c>
      <c r="B65" s="1">
        <v>46231</v>
      </c>
      <c r="C65" t="s">
        <v>392</v>
      </c>
      <c r="D65" t="s">
        <v>561</v>
      </c>
      <c r="E65" t="s">
        <v>388</v>
      </c>
      <c r="F65" t="str">
        <f t="shared" si="2"/>
        <v>Inversión</v>
      </c>
      <c r="G65" t="s">
        <v>334</v>
      </c>
      <c r="H65" s="2" t="s">
        <v>399</v>
      </c>
      <c r="I65" s="2" t="s">
        <v>400</v>
      </c>
      <c r="J65" s="2">
        <v>164.7</v>
      </c>
      <c r="K65" s="3">
        <f>IF(tblFacturasRecibidas[[#This Row],[Categoría]]="Combustible",10%,21%)</f>
        <v>0.21</v>
      </c>
      <c r="L65" s="2">
        <f>IFERROR(tblFacturasRecibidas[[#This Row],[Base imponible (€)]]*tblFacturasRecibidas[[#This Row],[% IVA]],0)</f>
        <v>34.586999999999996</v>
      </c>
      <c r="M65" s="2">
        <f>tblFacturasRecibidas[[#This Row],[Base imponible (€)]]+tblFacturasRecibidas[[#This Row],[IVA (€)]]</f>
        <v>199.28699999999998</v>
      </c>
      <c r="N65">
        <f>YEAR(tblFacturasRecibidas[[#This Row],[Fecha factura]])</f>
        <v>2026</v>
      </c>
      <c r="O65">
        <f>MONTH(tblFacturasRecibidas[[#This Row],[Fecha factura]])</f>
        <v>7</v>
      </c>
      <c r="P65">
        <f>ROUNDUP(MONTH(tblFacturasRecibidas[[#This Row],[Fecha factura]])/3,0)</f>
        <v>3</v>
      </c>
    </row>
    <row r="66" spans="1:17" x14ac:dyDescent="0.35">
      <c r="A66" t="s">
        <v>562</v>
      </c>
      <c r="B66" s="1">
        <v>46266</v>
      </c>
      <c r="C66" t="s">
        <v>563</v>
      </c>
      <c r="D66" t="s">
        <v>564</v>
      </c>
      <c r="E66" t="s">
        <v>565</v>
      </c>
      <c r="F66" t="str">
        <f t="shared" si="2"/>
        <v>Operación</v>
      </c>
      <c r="G66" t="s">
        <v>13</v>
      </c>
      <c r="H66" s="2" t="s">
        <v>373</v>
      </c>
      <c r="I66" s="2" t="s">
        <v>389</v>
      </c>
      <c r="J66" s="2">
        <v>83.33</v>
      </c>
      <c r="K66" s="3" t="s">
        <v>390</v>
      </c>
      <c r="L66" s="2">
        <f>IFERROR(tblFacturasRecibidas[[#This Row],[Base imponible (€)]]*tblFacturasRecibidas[[#This Row],[% IVA]],0)</f>
        <v>0</v>
      </c>
      <c r="M66" s="2">
        <f>tblFacturasRecibidas[[#This Row],[Base imponible (€)]]+tblFacturasRecibidas[[#This Row],[IVA (€)]]</f>
        <v>83.33</v>
      </c>
      <c r="N66">
        <f>YEAR(tblFacturasRecibidas[[#This Row],[Fecha factura]])</f>
        <v>2026</v>
      </c>
      <c r="O66">
        <f>MONTH(tblFacturasRecibidas[[#This Row],[Fecha factura]])</f>
        <v>9</v>
      </c>
      <c r="P66">
        <f>ROUNDUP(MONTH(tblFacturasRecibidas[[#This Row],[Fecha factura]])/3,0)</f>
        <v>3</v>
      </c>
      <c r="Q66" t="s">
        <v>566</v>
      </c>
    </row>
    <row r="67" spans="1:17" x14ac:dyDescent="0.35">
      <c r="A67" t="s">
        <v>567</v>
      </c>
      <c r="B67" s="1">
        <v>46235</v>
      </c>
      <c r="C67" t="s">
        <v>563</v>
      </c>
      <c r="D67" t="s">
        <v>568</v>
      </c>
      <c r="E67" t="s">
        <v>565</v>
      </c>
      <c r="F67" t="str">
        <f t="shared" si="2"/>
        <v>Operación</v>
      </c>
      <c r="G67" t="s">
        <v>13</v>
      </c>
      <c r="H67" s="2" t="s">
        <v>373</v>
      </c>
      <c r="I67" s="2" t="s">
        <v>389</v>
      </c>
      <c r="J67" s="2">
        <v>86.11</v>
      </c>
      <c r="K67" s="3" t="s">
        <v>390</v>
      </c>
      <c r="L67" s="2">
        <f>IFERROR(tblFacturasRecibidas[[#This Row],[Base imponible (€)]]*tblFacturasRecibidas[[#This Row],[% IVA]],0)</f>
        <v>0</v>
      </c>
      <c r="M67" s="2">
        <f>tblFacturasRecibidas[[#This Row],[Base imponible (€)]]+tblFacturasRecibidas[[#This Row],[IVA (€)]]</f>
        <v>86.11</v>
      </c>
      <c r="N67">
        <f>YEAR(tblFacturasRecibidas[[#This Row],[Fecha factura]])</f>
        <v>2026</v>
      </c>
      <c r="O67">
        <f>MONTH(tblFacturasRecibidas[[#This Row],[Fecha factura]])</f>
        <v>8</v>
      </c>
      <c r="P67">
        <f>ROUNDUP(MONTH(tblFacturasRecibidas[[#This Row],[Fecha factura]])/3,0)</f>
        <v>3</v>
      </c>
      <c r="Q67" t="s">
        <v>569</v>
      </c>
    </row>
    <row r="68" spans="1:17" x14ac:dyDescent="0.35">
      <c r="A68" t="s">
        <v>570</v>
      </c>
      <c r="B68" s="1">
        <v>46204</v>
      </c>
      <c r="C68" t="s">
        <v>563</v>
      </c>
      <c r="D68" t="s">
        <v>571</v>
      </c>
      <c r="E68" t="s">
        <v>565</v>
      </c>
      <c r="F68" t="str">
        <f t="shared" si="2"/>
        <v>Operación</v>
      </c>
      <c r="G68" t="s">
        <v>13</v>
      </c>
      <c r="H68" s="2" t="s">
        <v>373</v>
      </c>
      <c r="I68" s="2" t="s">
        <v>389</v>
      </c>
      <c r="J68" s="2">
        <v>86.11</v>
      </c>
      <c r="K68" s="3" t="s">
        <v>390</v>
      </c>
      <c r="L68" s="2">
        <f>IFERROR(tblFacturasRecibidas[[#This Row],[Base imponible (€)]]*tblFacturasRecibidas[[#This Row],[% IVA]],0)</f>
        <v>0</v>
      </c>
      <c r="M68" s="2">
        <f>tblFacturasRecibidas[[#This Row],[Base imponible (€)]]+tblFacturasRecibidas[[#This Row],[IVA (€)]]</f>
        <v>86.11</v>
      </c>
      <c r="N68">
        <f>YEAR(tblFacturasRecibidas[[#This Row],[Fecha factura]])</f>
        <v>2026</v>
      </c>
      <c r="O68">
        <f>MONTH(tblFacturasRecibidas[[#This Row],[Fecha factura]])</f>
        <v>7</v>
      </c>
      <c r="P68">
        <f>ROUNDUP(MONTH(tblFacturasRecibidas[[#This Row],[Fecha factura]])/3,0)</f>
        <v>3</v>
      </c>
      <c r="Q68" t="s">
        <v>572</v>
      </c>
    </row>
    <row r="69" spans="1:17" x14ac:dyDescent="0.35">
      <c r="A69" t="s">
        <v>573</v>
      </c>
      <c r="B69" s="1">
        <v>46188</v>
      </c>
      <c r="C69" t="s">
        <v>563</v>
      </c>
      <c r="D69" t="s">
        <v>574</v>
      </c>
      <c r="E69" t="s">
        <v>565</v>
      </c>
      <c r="F69" t="str">
        <f t="shared" si="2"/>
        <v>Operación</v>
      </c>
      <c r="G69" t="s">
        <v>13</v>
      </c>
      <c r="H69" s="2" t="s">
        <v>373</v>
      </c>
      <c r="I69" s="2" t="s">
        <v>389</v>
      </c>
      <c r="J69" s="2">
        <v>44.44</v>
      </c>
      <c r="K69" s="3" t="s">
        <v>390</v>
      </c>
      <c r="L69" s="2">
        <f>IFERROR(tblFacturasRecibidas[[#This Row],[Base imponible (€)]]*tblFacturasRecibidas[[#This Row],[% IVA]],0)</f>
        <v>0</v>
      </c>
      <c r="M69" s="2">
        <f>tblFacturasRecibidas[[#This Row],[Base imponible (€)]]+tblFacturasRecibidas[[#This Row],[IVA (€)]]</f>
        <v>44.44</v>
      </c>
      <c r="N69">
        <f>YEAR(tblFacturasRecibidas[[#This Row],[Fecha factura]])</f>
        <v>2026</v>
      </c>
      <c r="O69">
        <f>MONTH(tblFacturasRecibidas[[#This Row],[Fecha factura]])</f>
        <v>6</v>
      </c>
      <c r="P69">
        <f>ROUNDUP(MONTH(tblFacturasRecibidas[[#This Row],[Fecha factura]])/3,0)</f>
        <v>2</v>
      </c>
      <c r="Q69" t="s">
        <v>575</v>
      </c>
    </row>
    <row r="70" spans="1:17" x14ac:dyDescent="0.35">
      <c r="A70" t="s">
        <v>576</v>
      </c>
      <c r="B70" s="1">
        <v>46224</v>
      </c>
      <c r="C70" t="s">
        <v>409</v>
      </c>
      <c r="D70" t="s">
        <v>451</v>
      </c>
      <c r="E70" t="s">
        <v>388</v>
      </c>
      <c r="F70" t="str">
        <f t="shared" si="2"/>
        <v>Inversión</v>
      </c>
      <c r="G70" t="s">
        <v>334</v>
      </c>
      <c r="H70" s="2" t="s">
        <v>328</v>
      </c>
      <c r="I70" s="2" t="s">
        <v>389</v>
      </c>
      <c r="J70" s="2">
        <v>49.54</v>
      </c>
      <c r="K70" s="3" t="s">
        <v>390</v>
      </c>
      <c r="L70" s="2">
        <f>IFERROR(tblFacturasRecibidas[[#This Row],[Base imponible (€)]]*tblFacturasRecibidas[[#This Row],[% IVA]],0)</f>
        <v>0</v>
      </c>
      <c r="M70" s="2">
        <f>tblFacturasRecibidas[[#This Row],[Base imponible (€)]]+tblFacturasRecibidas[[#This Row],[IVA (€)]]</f>
        <v>49.54</v>
      </c>
      <c r="N70">
        <f>YEAR(tblFacturasRecibidas[[#This Row],[Fecha factura]])</f>
        <v>2026</v>
      </c>
      <c r="O70">
        <f>MONTH(tblFacturasRecibidas[[#This Row],[Fecha factura]])</f>
        <v>7</v>
      </c>
      <c r="P70">
        <f>ROUNDUP(MONTH(tblFacturasRecibidas[[#This Row],[Fecha factura]])/3,0)</f>
        <v>3</v>
      </c>
    </row>
    <row r="71" spans="1:17" x14ac:dyDescent="0.35">
      <c r="A71" t="s">
        <v>577</v>
      </c>
      <c r="B71" s="1">
        <v>46188</v>
      </c>
      <c r="C71" t="s">
        <v>563</v>
      </c>
      <c r="D71" t="s">
        <v>578</v>
      </c>
      <c r="E71" t="s">
        <v>388</v>
      </c>
      <c r="F71" t="str">
        <f t="shared" si="2"/>
        <v>Inversión</v>
      </c>
      <c r="G71" t="s">
        <v>13</v>
      </c>
      <c r="H71" s="2" t="s">
        <v>527</v>
      </c>
      <c r="I71" s="2" t="s">
        <v>389</v>
      </c>
      <c r="J71" s="2">
        <v>5000</v>
      </c>
      <c r="K71" s="3" t="s">
        <v>390</v>
      </c>
      <c r="L71" s="2">
        <f>IFERROR(tblFacturasRecibidas[[#This Row],[Base imponible (€)]]*tblFacturasRecibidas[[#This Row],[% IVA]],0)</f>
        <v>0</v>
      </c>
      <c r="M71" s="2">
        <f>tblFacturasRecibidas[[#This Row],[Base imponible (€)]]+tblFacturasRecibidas[[#This Row],[IVA (€)]]</f>
        <v>5000</v>
      </c>
      <c r="N71">
        <f>YEAR(tblFacturasRecibidas[[#This Row],[Fecha factura]])</f>
        <v>2026</v>
      </c>
      <c r="O71">
        <f>MONTH(tblFacturasRecibidas[[#This Row],[Fecha factura]])</f>
        <v>6</v>
      </c>
      <c r="P71">
        <f>ROUNDUP(MONTH(tblFacturasRecibidas[[#This Row],[Fecha factura]])/3,0)</f>
        <v>2</v>
      </c>
      <c r="Q71" t="s">
        <v>579</v>
      </c>
    </row>
    <row r="72" spans="1:17" x14ac:dyDescent="0.35">
      <c r="A72" t="s">
        <v>580</v>
      </c>
      <c r="B72" s="1">
        <v>46224</v>
      </c>
      <c r="C72" t="s">
        <v>581</v>
      </c>
      <c r="D72" t="s">
        <v>582</v>
      </c>
      <c r="E72" t="s">
        <v>388</v>
      </c>
      <c r="F72" t="str">
        <f t="shared" si="2"/>
        <v>Inversión</v>
      </c>
      <c r="G72" t="s">
        <v>404</v>
      </c>
      <c r="H72" s="2" t="s">
        <v>527</v>
      </c>
      <c r="I72" s="2" t="s">
        <v>389</v>
      </c>
      <c r="J72" s="2">
        <v>10560</v>
      </c>
      <c r="K72" s="3" t="s">
        <v>390</v>
      </c>
      <c r="L72" s="2">
        <f>IFERROR(tblFacturasRecibidas[[#This Row],[Base imponible (€)]]*tblFacturasRecibidas[[#This Row],[% IVA]],0)</f>
        <v>0</v>
      </c>
      <c r="M72" s="2">
        <f>tblFacturasRecibidas[[#This Row],[Base imponible (€)]]+tblFacturasRecibidas[[#This Row],[IVA (€)]]</f>
        <v>10560</v>
      </c>
      <c r="N72">
        <f>YEAR(tblFacturasRecibidas[[#This Row],[Fecha factura]])</f>
        <v>2026</v>
      </c>
      <c r="O72">
        <f>MONTH(tblFacturasRecibidas[[#This Row],[Fecha factura]])</f>
        <v>7</v>
      </c>
      <c r="P72">
        <f>ROUNDUP(MONTH(tblFacturasRecibidas[[#This Row],[Fecha factura]])/3,0)</f>
        <v>3</v>
      </c>
      <c r="Q72" t="s">
        <v>583</v>
      </c>
    </row>
    <row r="73" spans="1:17" x14ac:dyDescent="0.35">
      <c r="A73" t="s">
        <v>584</v>
      </c>
      <c r="B73" s="1">
        <v>46230</v>
      </c>
      <c r="C73" t="s">
        <v>392</v>
      </c>
      <c r="D73" t="s">
        <v>585</v>
      </c>
      <c r="E73" t="s">
        <v>388</v>
      </c>
      <c r="F73" t="str">
        <f t="shared" ref="F73:F91" si="3">IF(OR(E73="EPIs",E73="Tasas (puesta en marcha)",E73="Acondicionamiento vehículo",E73="Equipamiento vehículo",E73="Maquinaria",E73="Inversión en vehículos"),"Inversión","Operación")</f>
        <v>Inversión</v>
      </c>
      <c r="G73" t="s">
        <v>334</v>
      </c>
      <c r="H73" s="2" t="s">
        <v>399</v>
      </c>
      <c r="I73" s="2" t="s">
        <v>400</v>
      </c>
      <c r="J73" s="2">
        <v>9</v>
      </c>
      <c r="K73" s="3">
        <v>0.21</v>
      </c>
      <c r="L73" s="2">
        <f>IFERROR(tblFacturasRecibidas[[#This Row],[Base imponible (€)]]*tblFacturasRecibidas[[#This Row],[% IVA]],0)</f>
        <v>1.89</v>
      </c>
      <c r="M73" s="2">
        <f>tblFacturasRecibidas[[#This Row],[Base imponible (€)]]+tblFacturasRecibidas[[#This Row],[IVA (€)]]</f>
        <v>10.89</v>
      </c>
      <c r="N73">
        <f>YEAR(tblFacturasRecibidas[[#This Row],[Fecha factura]])</f>
        <v>2026</v>
      </c>
      <c r="O73">
        <f>MONTH(tblFacturasRecibidas[[#This Row],[Fecha factura]])</f>
        <v>7</v>
      </c>
      <c r="P73">
        <f>ROUNDUP(MONTH(tblFacturasRecibidas[[#This Row],[Fecha factura]])/3,0)</f>
        <v>3</v>
      </c>
      <c r="Q73" t="s">
        <v>585</v>
      </c>
    </row>
    <row r="74" spans="1:17" x14ac:dyDescent="0.35">
      <c r="A74" t="s">
        <v>586</v>
      </c>
      <c r="B74" s="1">
        <v>46227</v>
      </c>
      <c r="C74" t="s">
        <v>392</v>
      </c>
      <c r="D74" t="s">
        <v>587</v>
      </c>
      <c r="E74" t="s">
        <v>388</v>
      </c>
      <c r="F74" t="str">
        <f t="shared" si="3"/>
        <v>Inversión</v>
      </c>
      <c r="G74" t="s">
        <v>334</v>
      </c>
      <c r="H74" s="2" t="s">
        <v>399</v>
      </c>
      <c r="I74" s="2" t="s">
        <v>400</v>
      </c>
      <c r="J74" s="2">
        <v>122.79</v>
      </c>
      <c r="K74" s="3">
        <f>IF(tblFacturasRecibidas[[#This Row],[Categoría]]="Combustible",10%,21%)</f>
        <v>0.21</v>
      </c>
      <c r="L74" s="2">
        <f>IFERROR(tblFacturasRecibidas[[#This Row],[Base imponible (€)]]*tblFacturasRecibidas[[#This Row],[% IVA]],0)</f>
        <v>25.785900000000002</v>
      </c>
      <c r="M74" s="2">
        <f>tblFacturasRecibidas[[#This Row],[Base imponible (€)]]+tblFacturasRecibidas[[#This Row],[IVA (€)]]</f>
        <v>148.57590000000002</v>
      </c>
      <c r="N74">
        <f>YEAR(tblFacturasRecibidas[[#This Row],[Fecha factura]])</f>
        <v>2026</v>
      </c>
      <c r="O74">
        <f>MONTH(tblFacturasRecibidas[[#This Row],[Fecha factura]])</f>
        <v>7</v>
      </c>
      <c r="P74">
        <f>ROUNDUP(MONTH(tblFacturasRecibidas[[#This Row],[Fecha factura]])/3,0)</f>
        <v>3</v>
      </c>
      <c r="Q74" t="s">
        <v>587</v>
      </c>
    </row>
    <row r="75" spans="1:17" x14ac:dyDescent="0.35">
      <c r="A75" t="s">
        <v>588</v>
      </c>
      <c r="B75" s="1">
        <v>46226</v>
      </c>
      <c r="C75" t="s">
        <v>392</v>
      </c>
      <c r="D75" t="s">
        <v>589</v>
      </c>
      <c r="E75" t="s">
        <v>388</v>
      </c>
      <c r="F75" t="str">
        <f t="shared" si="3"/>
        <v>Inversión</v>
      </c>
      <c r="G75" t="s">
        <v>334</v>
      </c>
      <c r="H75" s="2" t="s">
        <v>399</v>
      </c>
      <c r="I75" s="2" t="s">
        <v>400</v>
      </c>
      <c r="J75" s="2">
        <v>37.01</v>
      </c>
      <c r="K75" s="3">
        <f>IF(tblFacturasRecibidas[[#This Row],[Categoría]]="Combustible",10%,21%)</f>
        <v>0.21</v>
      </c>
      <c r="L75" s="2">
        <f>IFERROR(tblFacturasRecibidas[[#This Row],[Base imponible (€)]]*tblFacturasRecibidas[[#This Row],[% IVA]],0)</f>
        <v>7.7720999999999991</v>
      </c>
      <c r="M75" s="2">
        <f>tblFacturasRecibidas[[#This Row],[Base imponible (€)]]+tblFacturasRecibidas[[#This Row],[IVA (€)]]</f>
        <v>44.7821</v>
      </c>
      <c r="N75">
        <f>YEAR(tblFacturasRecibidas[[#This Row],[Fecha factura]])</f>
        <v>2026</v>
      </c>
      <c r="O75">
        <f>MONTH(tblFacturasRecibidas[[#This Row],[Fecha factura]])</f>
        <v>7</v>
      </c>
      <c r="P75">
        <f>ROUNDUP(MONTH(tblFacturasRecibidas[[#This Row],[Fecha factura]])/3,0)</f>
        <v>3</v>
      </c>
      <c r="Q75" t="s">
        <v>590</v>
      </c>
    </row>
    <row r="76" spans="1:17" x14ac:dyDescent="0.35">
      <c r="A76" t="s">
        <v>591</v>
      </c>
      <c r="B76" s="1">
        <v>46228</v>
      </c>
      <c r="C76" t="s">
        <v>524</v>
      </c>
      <c r="D76" t="s">
        <v>525</v>
      </c>
      <c r="E76" t="s">
        <v>526</v>
      </c>
      <c r="F76" t="str">
        <f t="shared" si="3"/>
        <v>Operación</v>
      </c>
      <c r="G76" t="s">
        <v>13</v>
      </c>
      <c r="H76" s="2" t="s">
        <v>527</v>
      </c>
      <c r="I76" s="2" t="s">
        <v>389</v>
      </c>
      <c r="J76" s="2">
        <v>40.92</v>
      </c>
      <c r="K76" s="3">
        <f>IF(tblFacturasRecibidas[[#This Row],[Categoría]]="Combustible",10%,21%)</f>
        <v>0.21</v>
      </c>
      <c r="L76" s="2">
        <f>IFERROR(tblFacturasRecibidas[[#This Row],[Base imponible (€)]]*tblFacturasRecibidas[[#This Row],[% IVA]],0)</f>
        <v>8.5931999999999995</v>
      </c>
      <c r="M76" s="2">
        <f>tblFacturasRecibidas[[#This Row],[Base imponible (€)]]+tblFacturasRecibidas[[#This Row],[IVA (€)]]</f>
        <v>49.513199999999998</v>
      </c>
      <c r="N76">
        <f>YEAR(tblFacturasRecibidas[[#This Row],[Fecha factura]])</f>
        <v>2026</v>
      </c>
      <c r="O76">
        <f>MONTH(tblFacturasRecibidas[[#This Row],[Fecha factura]])</f>
        <v>7</v>
      </c>
      <c r="P76">
        <f>ROUNDUP(MONTH(tblFacturasRecibidas[[#This Row],[Fecha factura]])/3,0)</f>
        <v>3</v>
      </c>
      <c r="Q76" t="s">
        <v>592</v>
      </c>
    </row>
    <row r="77" spans="1:17" x14ac:dyDescent="0.35">
      <c r="A77" t="s">
        <v>593</v>
      </c>
      <c r="B77" s="1">
        <v>46228</v>
      </c>
      <c r="C77" t="s">
        <v>392</v>
      </c>
      <c r="D77" t="s">
        <v>590</v>
      </c>
      <c r="E77" t="s">
        <v>526</v>
      </c>
      <c r="F77" t="str">
        <f t="shared" si="3"/>
        <v>Operación</v>
      </c>
      <c r="G77" t="s">
        <v>13</v>
      </c>
      <c r="H77" s="2" t="s">
        <v>399</v>
      </c>
      <c r="I77" s="2" t="s">
        <v>400</v>
      </c>
      <c r="J77" s="2">
        <v>6.96</v>
      </c>
      <c r="K77" s="3">
        <f>IF(tblFacturasRecibidas[[#This Row],[Categoría]]="Combustible",10%,21%)</f>
        <v>0.21</v>
      </c>
      <c r="L77" s="2">
        <f>IFERROR(tblFacturasRecibidas[[#This Row],[Base imponible (€)]]*tblFacturasRecibidas[[#This Row],[% IVA]],0)</f>
        <v>1.4616</v>
      </c>
      <c r="M77" s="2">
        <f>tblFacturasRecibidas[[#This Row],[Base imponible (€)]]+tblFacturasRecibidas[[#This Row],[IVA (€)]]</f>
        <v>8.4215999999999998</v>
      </c>
      <c r="N77">
        <f>YEAR(tblFacturasRecibidas[[#This Row],[Fecha factura]])</f>
        <v>2026</v>
      </c>
      <c r="O77">
        <f>MONTH(tblFacturasRecibidas[[#This Row],[Fecha factura]])</f>
        <v>7</v>
      </c>
      <c r="P77">
        <f>ROUNDUP(MONTH(tblFacturasRecibidas[[#This Row],[Fecha factura]])/3,0)</f>
        <v>3</v>
      </c>
      <c r="Q77" t="s">
        <v>594</v>
      </c>
    </row>
    <row r="78" spans="1:17" x14ac:dyDescent="0.35">
      <c r="A78" t="s">
        <v>595</v>
      </c>
      <c r="B78" s="1">
        <v>46224</v>
      </c>
      <c r="C78" t="s">
        <v>596</v>
      </c>
      <c r="D78" t="s">
        <v>597</v>
      </c>
      <c r="E78" t="s">
        <v>388</v>
      </c>
      <c r="F78" t="str">
        <f t="shared" si="3"/>
        <v>Inversión</v>
      </c>
      <c r="G78" t="s">
        <v>334</v>
      </c>
      <c r="H78" s="2" t="s">
        <v>328</v>
      </c>
      <c r="I78" s="2" t="s">
        <v>389</v>
      </c>
      <c r="J78" s="2">
        <v>155.36000000000001</v>
      </c>
      <c r="K78" s="3">
        <f>IF(tblFacturasRecibidas[[#This Row],[Categoría]]="Combustible",10%,21%)</f>
        <v>0.21</v>
      </c>
      <c r="L78" s="2">
        <f>IFERROR(tblFacturasRecibidas[[#This Row],[Base imponible (€)]]*tblFacturasRecibidas[[#This Row],[% IVA]],0)</f>
        <v>32.625599999999999</v>
      </c>
      <c r="M78" s="2">
        <f>tblFacturasRecibidas[[#This Row],[Base imponible (€)]]+tblFacturasRecibidas[[#This Row],[IVA (€)]]</f>
        <v>187.98560000000001</v>
      </c>
      <c r="N78">
        <f>YEAR(tblFacturasRecibidas[[#This Row],[Fecha factura]])</f>
        <v>2026</v>
      </c>
      <c r="O78">
        <f>MONTH(tblFacturasRecibidas[[#This Row],[Fecha factura]])</f>
        <v>7</v>
      </c>
      <c r="P78">
        <f>ROUNDUP(MONTH(tblFacturasRecibidas[[#This Row],[Fecha factura]])/3,0)</f>
        <v>3</v>
      </c>
      <c r="Q78" t="s">
        <v>598</v>
      </c>
    </row>
    <row r="79" spans="1:17" x14ac:dyDescent="0.35">
      <c r="A79" t="s">
        <v>599</v>
      </c>
      <c r="B79" s="1">
        <v>46224</v>
      </c>
      <c r="C79" t="s">
        <v>600</v>
      </c>
      <c r="D79" t="s">
        <v>601</v>
      </c>
      <c r="E79" t="s">
        <v>388</v>
      </c>
      <c r="F79" t="str">
        <f t="shared" si="3"/>
        <v>Inversión</v>
      </c>
      <c r="G79" t="s">
        <v>334</v>
      </c>
      <c r="H79" s="2" t="s">
        <v>527</v>
      </c>
      <c r="I79" s="2" t="s">
        <v>389</v>
      </c>
      <c r="J79" s="2">
        <v>96.17</v>
      </c>
      <c r="K79" s="3">
        <v>0.21</v>
      </c>
      <c r="L79" s="2">
        <f>IFERROR(tblFacturasRecibidas[[#This Row],[Base imponible (€)]]*tblFacturasRecibidas[[#This Row],[% IVA]],0)</f>
        <v>20.195699999999999</v>
      </c>
      <c r="M79" s="2">
        <v>105</v>
      </c>
      <c r="N79">
        <f>YEAR(tblFacturasRecibidas[[#This Row],[Fecha factura]])</f>
        <v>2026</v>
      </c>
      <c r="O79">
        <f>MONTH(tblFacturasRecibidas[[#This Row],[Fecha factura]])</f>
        <v>7</v>
      </c>
      <c r="P79">
        <f>ROUNDUP(MONTH(tblFacturasRecibidas[[#This Row],[Fecha factura]])/3,0)</f>
        <v>3</v>
      </c>
      <c r="Q79" t="s">
        <v>602</v>
      </c>
    </row>
    <row r="80" spans="1:17" x14ac:dyDescent="0.35">
      <c r="A80" t="s">
        <v>603</v>
      </c>
      <c r="B80" s="1">
        <v>46224</v>
      </c>
      <c r="C80" t="s">
        <v>604</v>
      </c>
      <c r="D80" t="s">
        <v>605</v>
      </c>
      <c r="E80" t="s">
        <v>388</v>
      </c>
      <c r="F80" t="str">
        <f t="shared" si="3"/>
        <v>Inversión</v>
      </c>
      <c r="G80" t="s">
        <v>334</v>
      </c>
      <c r="H80" s="2" t="s">
        <v>373</v>
      </c>
      <c r="I80" s="2" t="s">
        <v>389</v>
      </c>
      <c r="J80" s="2">
        <v>850</v>
      </c>
      <c r="K80" s="3" t="s">
        <v>390</v>
      </c>
      <c r="L80" s="2">
        <f>IFERROR(tblFacturasRecibidas[[#This Row],[Base imponible (€)]]*tblFacturasRecibidas[[#This Row],[% IVA]],0)</f>
        <v>0</v>
      </c>
      <c r="M80" s="2">
        <f>tblFacturasRecibidas[[#This Row],[Base imponible (€)]]+tblFacturasRecibidas[[#This Row],[IVA (€)]]</f>
        <v>850</v>
      </c>
      <c r="N80">
        <f>YEAR(tblFacturasRecibidas[[#This Row],[Fecha factura]])</f>
        <v>2026</v>
      </c>
      <c r="O80">
        <f>MONTH(tblFacturasRecibidas[[#This Row],[Fecha factura]])</f>
        <v>7</v>
      </c>
      <c r="P80">
        <f>ROUNDUP(MONTH(tblFacturasRecibidas[[#This Row],[Fecha factura]])/3,0)</f>
        <v>3</v>
      </c>
      <c r="Q80" t="s">
        <v>606</v>
      </c>
    </row>
    <row r="81" spans="1:17" x14ac:dyDescent="0.35">
      <c r="A81" t="s">
        <v>607</v>
      </c>
      <c r="B81" s="1">
        <v>46224</v>
      </c>
      <c r="C81" t="s">
        <v>608</v>
      </c>
      <c r="D81" t="s">
        <v>582</v>
      </c>
      <c r="E81" t="s">
        <v>388</v>
      </c>
      <c r="F81" t="str">
        <f t="shared" si="3"/>
        <v>Inversión</v>
      </c>
      <c r="G81" t="s">
        <v>334</v>
      </c>
      <c r="H81" s="2" t="s">
        <v>527</v>
      </c>
      <c r="I81" s="2" t="s">
        <v>389</v>
      </c>
      <c r="J81" s="2">
        <v>3500</v>
      </c>
      <c r="K81" s="3" t="s">
        <v>390</v>
      </c>
      <c r="L81" s="2">
        <f>IFERROR(tblFacturasRecibidas[[#This Row],[Base imponible (€)]]*tblFacturasRecibidas[[#This Row],[% IVA]],0)</f>
        <v>0</v>
      </c>
      <c r="M81" s="2">
        <f>tblFacturasRecibidas[[#This Row],[Base imponible (€)]]+tblFacturasRecibidas[[#This Row],[IVA (€)]]</f>
        <v>3500</v>
      </c>
      <c r="N81">
        <f>YEAR(tblFacturasRecibidas[[#This Row],[Fecha factura]])</f>
        <v>2026</v>
      </c>
      <c r="O81">
        <f>MONTH(tblFacturasRecibidas[[#This Row],[Fecha factura]])</f>
        <v>7</v>
      </c>
      <c r="P81">
        <f>ROUNDUP(MONTH(tblFacturasRecibidas[[#This Row],[Fecha factura]])/3,0)</f>
        <v>3</v>
      </c>
      <c r="Q81" t="s">
        <v>609</v>
      </c>
    </row>
    <row r="82" spans="1:17" x14ac:dyDescent="0.35">
      <c r="A82" t="s">
        <v>610</v>
      </c>
      <c r="B82" s="1">
        <v>46214</v>
      </c>
      <c r="C82" t="s">
        <v>611</v>
      </c>
      <c r="D82" t="s">
        <v>612</v>
      </c>
      <c r="E82" t="s">
        <v>526</v>
      </c>
      <c r="F82" t="str">
        <f t="shared" si="3"/>
        <v>Operación</v>
      </c>
      <c r="G82" t="s">
        <v>13</v>
      </c>
      <c r="H82" s="2" t="s">
        <v>373</v>
      </c>
      <c r="I82" s="2" t="s">
        <v>389</v>
      </c>
      <c r="J82" s="2">
        <v>100</v>
      </c>
      <c r="K82" s="3" t="s">
        <v>390</v>
      </c>
      <c r="L82" s="2">
        <f>IFERROR(tblFacturasRecibidas[[#This Row],[Base imponible (€)]]*tblFacturasRecibidas[[#This Row],[% IVA]],0)</f>
        <v>0</v>
      </c>
      <c r="M82" s="2">
        <f>tblFacturasRecibidas[[#This Row],[Base imponible (€)]]+tblFacturasRecibidas[[#This Row],[IVA (€)]]</f>
        <v>100</v>
      </c>
      <c r="N82">
        <f>YEAR(tblFacturasRecibidas[[#This Row],[Fecha factura]])</f>
        <v>2026</v>
      </c>
      <c r="O82">
        <f>MONTH(tblFacturasRecibidas[[#This Row],[Fecha factura]])</f>
        <v>7</v>
      </c>
      <c r="P82">
        <f>ROUNDUP(MONTH(tblFacturasRecibidas[[#This Row],[Fecha factura]])/3,0)</f>
        <v>3</v>
      </c>
      <c r="Q82" t="s">
        <v>613</v>
      </c>
    </row>
    <row r="83" spans="1:17" x14ac:dyDescent="0.35">
      <c r="A83" t="s">
        <v>614</v>
      </c>
      <c r="B83" s="1">
        <v>46214</v>
      </c>
      <c r="C83" t="s">
        <v>392</v>
      </c>
      <c r="D83" t="s">
        <v>615</v>
      </c>
      <c r="E83" t="s">
        <v>526</v>
      </c>
      <c r="F83" t="str">
        <f t="shared" si="3"/>
        <v>Operación</v>
      </c>
      <c r="G83" t="s">
        <v>13</v>
      </c>
      <c r="H83" s="2" t="s">
        <v>399</v>
      </c>
      <c r="I83" s="2" t="s">
        <v>400</v>
      </c>
      <c r="J83" s="2">
        <v>84.44</v>
      </c>
      <c r="K83" s="3">
        <f>IF(tblFacturasRecibidas[[#This Row],[Categoría]]="Combustible",10%,21%)</f>
        <v>0.21</v>
      </c>
      <c r="L83" s="2">
        <f>IFERROR(tblFacturasRecibidas[[#This Row],[Base imponible (€)]]*tblFacturasRecibidas[[#This Row],[% IVA]],0)</f>
        <v>17.732399999999998</v>
      </c>
      <c r="M83" s="2">
        <f>tblFacturasRecibidas[[#This Row],[Base imponible (€)]]+tblFacturasRecibidas[[#This Row],[IVA (€)]]</f>
        <v>102.1724</v>
      </c>
      <c r="N83">
        <f>YEAR(tblFacturasRecibidas[[#This Row],[Fecha factura]])</f>
        <v>2026</v>
      </c>
      <c r="O83">
        <f>MONTH(tblFacturasRecibidas[[#This Row],[Fecha factura]])</f>
        <v>7</v>
      </c>
      <c r="P83">
        <f>ROUNDUP(MONTH(tblFacturasRecibidas[[#This Row],[Fecha factura]])/3,0)</f>
        <v>3</v>
      </c>
      <c r="Q83" t="s">
        <v>616</v>
      </c>
    </row>
    <row r="84" spans="1:17" x14ac:dyDescent="0.35">
      <c r="A84" t="s">
        <v>617</v>
      </c>
      <c r="B84" s="1">
        <v>46204</v>
      </c>
      <c r="C84" t="s">
        <v>443</v>
      </c>
      <c r="D84" t="s">
        <v>618</v>
      </c>
      <c r="E84" t="s">
        <v>394</v>
      </c>
      <c r="F84" t="str">
        <f t="shared" si="3"/>
        <v>Inversión</v>
      </c>
      <c r="G84" t="s">
        <v>395</v>
      </c>
      <c r="H84" s="2" t="s">
        <v>328</v>
      </c>
      <c r="I84" s="2" t="s">
        <v>389</v>
      </c>
      <c r="J84" s="2">
        <v>63.45</v>
      </c>
      <c r="K84" s="3">
        <v>0.21</v>
      </c>
      <c r="L84" s="2">
        <f>IFERROR(tblFacturasRecibidas[[#This Row],[Base imponible (€)]]*tblFacturasRecibidas[[#This Row],[% IVA]],0)</f>
        <v>13.3245</v>
      </c>
      <c r="M84" s="2">
        <f>tblFacturasRecibidas[[#This Row],[Base imponible (€)]]+tblFacturasRecibidas[[#This Row],[IVA (€)]]</f>
        <v>76.774500000000003</v>
      </c>
      <c r="N84">
        <f>YEAR(tblFacturasRecibidas[[#This Row],[Fecha factura]])</f>
        <v>2026</v>
      </c>
      <c r="O84">
        <f>MONTH(tblFacturasRecibidas[[#This Row],[Fecha factura]])</f>
        <v>7</v>
      </c>
      <c r="P84">
        <f>ROUNDUP(MONTH(tblFacturasRecibidas[[#This Row],[Fecha factura]])/3,0)</f>
        <v>3</v>
      </c>
      <c r="Q84" t="s">
        <v>619</v>
      </c>
    </row>
    <row r="85" spans="1:17" x14ac:dyDescent="0.35">
      <c r="A85" t="s">
        <v>620</v>
      </c>
      <c r="B85" s="1">
        <v>46203</v>
      </c>
      <c r="C85" t="s">
        <v>621</v>
      </c>
      <c r="D85" t="s">
        <v>622</v>
      </c>
      <c r="E85" t="s">
        <v>256</v>
      </c>
      <c r="F85" t="str">
        <f t="shared" si="3"/>
        <v>Operación</v>
      </c>
      <c r="G85" t="s">
        <v>623</v>
      </c>
      <c r="H85" s="2" t="s">
        <v>328</v>
      </c>
      <c r="I85" s="2" t="s">
        <v>389</v>
      </c>
      <c r="J85" s="2">
        <v>586.36</v>
      </c>
      <c r="K85" s="3">
        <f>IF(tblFacturasRecibidas[[#This Row],[Categoría]]="Combustible",10%,21%)</f>
        <v>0.1</v>
      </c>
      <c r="L85" s="2">
        <f>IFERROR(tblFacturasRecibidas[[#This Row],[Base imponible (€)]]*tblFacturasRecibidas[[#This Row],[% IVA]],0)</f>
        <v>58.636000000000003</v>
      </c>
      <c r="M85" s="2">
        <f>tblFacturasRecibidas[[#This Row],[Base imponible (€)]]+tblFacturasRecibidas[[#This Row],[IVA (€)]]</f>
        <v>644.99599999999998</v>
      </c>
      <c r="N85">
        <f>YEAR(tblFacturasRecibidas[[#This Row],[Fecha factura]])</f>
        <v>2026</v>
      </c>
      <c r="O85">
        <f>MONTH(tblFacturasRecibidas[[#This Row],[Fecha factura]])</f>
        <v>6</v>
      </c>
      <c r="P85">
        <f>ROUNDUP(MONTH(tblFacturasRecibidas[[#This Row],[Fecha factura]])/3,0)</f>
        <v>2</v>
      </c>
      <c r="Q85" t="s">
        <v>624</v>
      </c>
    </row>
    <row r="86" spans="1:17" x14ac:dyDescent="0.35">
      <c r="A86" t="s">
        <v>625</v>
      </c>
      <c r="B86" s="1">
        <v>46202</v>
      </c>
      <c r="C86" t="s">
        <v>392</v>
      </c>
      <c r="D86" t="s">
        <v>626</v>
      </c>
      <c r="E86" t="s">
        <v>526</v>
      </c>
      <c r="F86" t="str">
        <f t="shared" si="3"/>
        <v>Operación</v>
      </c>
      <c r="G86" t="s">
        <v>13</v>
      </c>
      <c r="H86" s="2" t="s">
        <v>399</v>
      </c>
      <c r="I86" s="2" t="s">
        <v>389</v>
      </c>
      <c r="J86" s="2">
        <v>15.53</v>
      </c>
      <c r="K86" s="3">
        <v>0.21</v>
      </c>
      <c r="L86" s="2">
        <f>IFERROR(tblFacturasRecibidas[[#This Row],[Base imponible (€)]]*tblFacturasRecibidas[[#This Row],[% IVA]],0)</f>
        <v>3.2612999999999999</v>
      </c>
      <c r="M86" s="2">
        <f>tblFacturasRecibidas[[#This Row],[Base imponible (€)]]+tblFacturasRecibidas[[#This Row],[IVA (€)]]</f>
        <v>18.7913</v>
      </c>
      <c r="N86">
        <f>YEAR(tblFacturasRecibidas[[#This Row],[Fecha factura]])</f>
        <v>2026</v>
      </c>
      <c r="O86">
        <f>MONTH(tblFacturasRecibidas[[#This Row],[Fecha factura]])</f>
        <v>6</v>
      </c>
      <c r="P86">
        <f>ROUNDUP(MONTH(tblFacturasRecibidas[[#This Row],[Fecha factura]])/3,0)</f>
        <v>2</v>
      </c>
      <c r="Q86" t="s">
        <v>627</v>
      </c>
    </row>
    <row r="87" spans="1:17" x14ac:dyDescent="0.35">
      <c r="A87" t="s">
        <v>628</v>
      </c>
      <c r="B87" s="1">
        <v>46196</v>
      </c>
      <c r="C87" t="s">
        <v>392</v>
      </c>
      <c r="D87" t="s">
        <v>629</v>
      </c>
      <c r="E87" t="s">
        <v>526</v>
      </c>
      <c r="F87" t="str">
        <f t="shared" si="3"/>
        <v>Operación</v>
      </c>
      <c r="G87" t="s">
        <v>13</v>
      </c>
      <c r="H87" s="2" t="s">
        <v>399</v>
      </c>
      <c r="I87" s="2" t="s">
        <v>389</v>
      </c>
      <c r="J87" s="2">
        <v>37.04</v>
      </c>
      <c r="K87" s="3">
        <f>IF(tblFacturasRecibidas[[#This Row],[Categoría]]="Combustible",10%,21%)</f>
        <v>0.21</v>
      </c>
      <c r="L87" s="2">
        <f>IFERROR(tblFacturasRecibidas[[#This Row],[Base imponible (€)]]*tblFacturasRecibidas[[#This Row],[% IVA]],0)</f>
        <v>7.7783999999999995</v>
      </c>
      <c r="M87" s="2">
        <f>tblFacturasRecibidas[[#This Row],[Base imponible (€)]]+tblFacturasRecibidas[[#This Row],[IVA (€)]]</f>
        <v>44.818399999999997</v>
      </c>
      <c r="N87">
        <f>YEAR(tblFacturasRecibidas[[#This Row],[Fecha factura]])</f>
        <v>2026</v>
      </c>
      <c r="O87">
        <f>MONTH(tblFacturasRecibidas[[#This Row],[Fecha factura]])</f>
        <v>6</v>
      </c>
      <c r="P87">
        <f>ROUNDUP(MONTH(tblFacturasRecibidas[[#This Row],[Fecha factura]])/3,0)</f>
        <v>2</v>
      </c>
      <c r="Q87" t="s">
        <v>630</v>
      </c>
    </row>
    <row r="88" spans="1:17" x14ac:dyDescent="0.35">
      <c r="A88" t="s">
        <v>631</v>
      </c>
      <c r="B88" s="1">
        <v>46192</v>
      </c>
      <c r="C88" t="s">
        <v>632</v>
      </c>
      <c r="D88" t="s">
        <v>622</v>
      </c>
      <c r="E88" t="s">
        <v>256</v>
      </c>
      <c r="F88" t="str">
        <f t="shared" si="3"/>
        <v>Operación</v>
      </c>
      <c r="G88" t="s">
        <v>623</v>
      </c>
      <c r="H88" s="2" t="s">
        <v>373</v>
      </c>
      <c r="I88" s="2" t="s">
        <v>389</v>
      </c>
      <c r="J88" s="2">
        <v>90.91</v>
      </c>
      <c r="K88" s="3">
        <f>IF(tblFacturasRecibidas[[#This Row],[Categoría]]="Combustible",10%,21%)</f>
        <v>0.1</v>
      </c>
      <c r="L88" s="2">
        <f>IFERROR(tblFacturasRecibidas[[#This Row],[Base imponible (€)]]*tblFacturasRecibidas[[#This Row],[% IVA]],0)</f>
        <v>9.0909999999999993</v>
      </c>
      <c r="M88" s="2">
        <f>tblFacturasRecibidas[[#This Row],[Base imponible (€)]]+tblFacturasRecibidas[[#This Row],[IVA (€)]]</f>
        <v>100.00099999999999</v>
      </c>
      <c r="N88">
        <f>YEAR(tblFacturasRecibidas[[#This Row],[Fecha factura]])</f>
        <v>2026</v>
      </c>
      <c r="O88">
        <f>MONTH(tblFacturasRecibidas[[#This Row],[Fecha factura]])</f>
        <v>6</v>
      </c>
      <c r="P88">
        <f>ROUNDUP(MONTH(tblFacturasRecibidas[[#This Row],[Fecha factura]])/3,0)</f>
        <v>2</v>
      </c>
    </row>
    <row r="89" spans="1:17" x14ac:dyDescent="0.35">
      <c r="A89" t="s">
        <v>633</v>
      </c>
      <c r="B89" s="1">
        <v>46189</v>
      </c>
      <c r="C89" t="s">
        <v>621</v>
      </c>
      <c r="D89" t="s">
        <v>622</v>
      </c>
      <c r="E89" t="s">
        <v>256</v>
      </c>
      <c r="F89" t="str">
        <f t="shared" si="3"/>
        <v>Operación</v>
      </c>
      <c r="G89" t="s">
        <v>623</v>
      </c>
      <c r="H89" s="2" t="s">
        <v>373</v>
      </c>
      <c r="I89" s="2" t="s">
        <v>389</v>
      </c>
      <c r="J89" s="2">
        <v>45.45</v>
      </c>
      <c r="K89" s="3">
        <f>IF(tblFacturasRecibidas[[#This Row],[Categoría]]="Combustible",10%,21%)</f>
        <v>0.1</v>
      </c>
      <c r="L89" s="2">
        <f>IFERROR(tblFacturasRecibidas[[#This Row],[Base imponible (€)]]*tblFacturasRecibidas[[#This Row],[% IVA]],0)</f>
        <v>4.5450000000000008</v>
      </c>
      <c r="M89" s="2">
        <f>tblFacturasRecibidas[[#This Row],[Base imponible (€)]]+tblFacturasRecibidas[[#This Row],[IVA (€)]]</f>
        <v>49.995000000000005</v>
      </c>
      <c r="N89">
        <f>YEAR(tblFacturasRecibidas[[#This Row],[Fecha factura]])</f>
        <v>2026</v>
      </c>
      <c r="O89">
        <f>MONTH(tblFacturasRecibidas[[#This Row],[Fecha factura]])</f>
        <v>6</v>
      </c>
      <c r="P89">
        <f>ROUNDUP(MONTH(tblFacturasRecibidas[[#This Row],[Fecha factura]])/3,0)</f>
        <v>2</v>
      </c>
    </row>
    <row r="90" spans="1:17" x14ac:dyDescent="0.35">
      <c r="A90" t="s">
        <v>634</v>
      </c>
      <c r="B90" s="1">
        <v>46187</v>
      </c>
      <c r="C90" t="s">
        <v>443</v>
      </c>
      <c r="D90" t="s">
        <v>635</v>
      </c>
      <c r="E90" t="s">
        <v>394</v>
      </c>
      <c r="F90" t="str">
        <f t="shared" si="3"/>
        <v>Inversión</v>
      </c>
      <c r="G90" t="s">
        <v>395</v>
      </c>
      <c r="H90" s="2" t="s">
        <v>328</v>
      </c>
      <c r="I90" s="2" t="s">
        <v>389</v>
      </c>
      <c r="J90" s="2">
        <v>93.86</v>
      </c>
      <c r="K90" s="3">
        <f>IF(tblFacturasRecibidas[[#This Row],[Categoría]]="Combustible",10%,21%)</f>
        <v>0.21</v>
      </c>
      <c r="L90" s="2">
        <f>IFERROR(tblFacturasRecibidas[[#This Row],[Base imponible (€)]]*tblFacturasRecibidas[[#This Row],[% IVA]],0)</f>
        <v>19.710599999999999</v>
      </c>
      <c r="M90" s="2">
        <f>tblFacturasRecibidas[[#This Row],[Base imponible (€)]]+tblFacturasRecibidas[[#This Row],[IVA (€)]]</f>
        <v>113.5706</v>
      </c>
      <c r="N90">
        <f>YEAR(tblFacturasRecibidas[[#This Row],[Fecha factura]])</f>
        <v>2026</v>
      </c>
      <c r="O90">
        <f>MONTH(tblFacturasRecibidas[[#This Row],[Fecha factura]])</f>
        <v>6</v>
      </c>
      <c r="P90">
        <f>ROUNDUP(MONTH(tblFacturasRecibidas[[#This Row],[Fecha factura]])/3,0)</f>
        <v>2</v>
      </c>
      <c r="Q90" t="s">
        <v>636</v>
      </c>
    </row>
    <row r="91" spans="1:17" x14ac:dyDescent="0.35">
      <c r="A91" t="s">
        <v>637</v>
      </c>
      <c r="B91" s="1">
        <v>46186</v>
      </c>
      <c r="C91" t="s">
        <v>510</v>
      </c>
      <c r="D91" t="s">
        <v>638</v>
      </c>
      <c r="E91" t="s">
        <v>639</v>
      </c>
      <c r="F91" t="str">
        <f t="shared" si="3"/>
        <v>Inversión</v>
      </c>
      <c r="G91" t="s">
        <v>395</v>
      </c>
      <c r="H91" s="2" t="s">
        <v>328</v>
      </c>
      <c r="I91" s="2" t="s">
        <v>389</v>
      </c>
      <c r="J91" s="2">
        <v>267.77</v>
      </c>
      <c r="K91" s="3">
        <f>IF(tblFacturasRecibidas[[#This Row],[Categoría]]="Combustible",10%,21%)</f>
        <v>0.21</v>
      </c>
      <c r="L91" s="2">
        <f>IFERROR(tblFacturasRecibidas[[#This Row],[Base imponible (€)]]*tblFacturasRecibidas[[#This Row],[% IVA]],0)</f>
        <v>56.231699999999996</v>
      </c>
      <c r="M91" s="2">
        <f>tblFacturasRecibidas[[#This Row],[Base imponible (€)]]+tblFacturasRecibidas[[#This Row],[IVA (€)]]</f>
        <v>324.00169999999997</v>
      </c>
      <c r="N91">
        <f>YEAR(tblFacturasRecibidas[[#This Row],[Fecha factura]])</f>
        <v>2026</v>
      </c>
      <c r="O91">
        <f>MONTH(tblFacturasRecibidas[[#This Row],[Fecha factura]])</f>
        <v>6</v>
      </c>
      <c r="P91">
        <f>ROUNDUP(MONTH(tblFacturasRecibidas[[#This Row],[Fecha factura]])/3,0)</f>
        <v>2</v>
      </c>
      <c r="Q91" t="s">
        <v>638</v>
      </c>
    </row>
    <row r="94" spans="1:17" x14ac:dyDescent="0.35">
      <c r="K9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NuevaFacturaRecibida.NuevaFacturaRecibida">
                <anchor moveWithCells="1" sizeWithCells="1">
                  <from>
                    <xdr:col>18</xdr:col>
                    <xdr:colOff>12700</xdr:colOff>
                    <xdr:row>0</xdr:row>
                    <xdr:rowOff>171450</xdr:rowOff>
                  </from>
                  <to>
                    <xdr:col>21</xdr:col>
                    <xdr:colOff>19050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45F8C2C-9059-4004-8B81-8B68CDC233A4}">
          <x14:formula1>
            <xm:f>'99_Listas'!$N$2:$N$5</xm:f>
          </x14:formula1>
          <xm:sqref>K2:K91</xm:sqref>
        </x14:dataValidation>
        <x14:dataValidation type="list" allowBlank="1" showInputMessage="1" showErrorMessage="1" xr:uid="{3CA5DD92-B9E1-458A-8069-7CCA5C9BEAE9}">
          <x14:formula1>
            <xm:f>'99_Listas'!$O$2:$O$5</xm:f>
          </x14:formula1>
          <xm:sqref>H2:H91</xm:sqref>
        </x14:dataValidation>
        <x14:dataValidation type="list" allowBlank="1" showInputMessage="1" showErrorMessage="1" xr:uid="{F95EEA49-74E0-4A85-ACED-F82F51875507}">
          <x14:formula1>
            <xm:f>'99_Listas'!$M$2:$M$3</xm:f>
          </x14:formula1>
          <xm:sqref>I2:I91</xm:sqref>
        </x14:dataValidation>
        <x14:dataValidation type="list" allowBlank="1" showInputMessage="1" showErrorMessage="1" xr:uid="{EE33E485-83EB-434C-B132-0F6C2AB392BE}">
          <x14:formula1>
            <xm:f>'99_Listas'!$C$2:$C$6</xm:f>
          </x14:formula1>
          <xm:sqref>G2:G91</xm:sqref>
        </x14:dataValidation>
        <x14:dataValidation type="list" allowBlank="1" showInputMessage="1" showErrorMessage="1" xr:uid="{33AA3E35-BC4F-4E9D-BF37-787EB6393349}">
          <x14:formula1>
            <xm:f>'99_Listas'!$K$2:$K$24</xm:f>
          </x14:formula1>
          <xm:sqref>E2:F91</xm:sqref>
        </x14:dataValidation>
        <x14:dataValidation type="list" allowBlank="1" showInputMessage="1" showErrorMessage="1" xr:uid="{B593F654-2B22-448A-8D19-4D6E2F893ECD}">
          <x14:formula1>
            <xm:f>'99_Listas'!$J$2:$J$32</xm:f>
          </x14:formula1>
          <xm:sqref>C2:C91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5106E-EEDC-4446-ACCD-5295A68DE5C4}">
  <sheetPr codeName="Hoja10"/>
  <dimension ref="A1:BD1236"/>
  <sheetViews>
    <sheetView zoomScale="101" workbookViewId="0">
      <selection activeCell="E8" sqref="E8"/>
    </sheetView>
  </sheetViews>
  <sheetFormatPr baseColWidth="10" defaultColWidth="11.453125" defaultRowHeight="14.5" x14ac:dyDescent="0.35"/>
  <cols>
    <col min="1" max="1" width="6.7265625" bestFit="1" customWidth="1"/>
    <col min="2" max="2" width="6.81640625" bestFit="1" customWidth="1"/>
    <col min="3" max="3" width="26.453125" bestFit="1" customWidth="1"/>
    <col min="4" max="4" width="19.54296875" bestFit="1" customWidth="1"/>
    <col min="5" max="5" width="14.453125" style="2" bestFit="1" customWidth="1"/>
    <col min="6" max="6" width="15.54296875" bestFit="1" customWidth="1"/>
    <col min="7" max="7" width="11.26953125" bestFit="1" customWidth="1"/>
    <col min="8" max="8" width="10.54296875" bestFit="1" customWidth="1"/>
    <col min="9" max="9" width="15.1796875" bestFit="1" customWidth="1"/>
    <col min="10" max="10" width="19.1796875" bestFit="1" customWidth="1"/>
    <col min="11" max="11" width="9.1796875" bestFit="1" customWidth="1"/>
    <col min="12" max="12" width="11.1796875" hidden="1" customWidth="1"/>
    <col min="13" max="13" width="15.453125" bestFit="1" customWidth="1"/>
    <col min="14" max="14" width="11.1796875" customWidth="1"/>
    <col min="16" max="16" width="22.54296875" bestFit="1" customWidth="1"/>
    <col min="17" max="17" width="19.54296875" bestFit="1" customWidth="1"/>
    <col min="18" max="18" width="12.453125" bestFit="1" customWidth="1"/>
    <col min="19" max="19" width="10.81640625" customWidth="1"/>
    <col min="20" max="20" width="24.1796875" bestFit="1" customWidth="1"/>
    <col min="21" max="21" width="9" bestFit="1" customWidth="1"/>
    <col min="22" max="22" width="16.1796875" bestFit="1" customWidth="1"/>
    <col min="24" max="24" width="20.54296875" bestFit="1" customWidth="1"/>
    <col min="27" max="27" width="25.81640625" bestFit="1" customWidth="1"/>
    <col min="53" max="53" width="9.453125" bestFit="1" customWidth="1"/>
  </cols>
  <sheetData>
    <row r="1" spans="1:56" x14ac:dyDescent="0.35">
      <c r="A1" t="s">
        <v>8</v>
      </c>
      <c r="B1" t="s">
        <v>9</v>
      </c>
      <c r="C1" t="s">
        <v>640</v>
      </c>
      <c r="D1" t="s">
        <v>3</v>
      </c>
      <c r="E1" s="2" t="s">
        <v>641</v>
      </c>
      <c r="F1" t="s">
        <v>642</v>
      </c>
      <c r="G1" t="s">
        <v>643</v>
      </c>
      <c r="H1" t="s">
        <v>644</v>
      </c>
      <c r="I1" t="s">
        <v>645</v>
      </c>
      <c r="J1" t="s">
        <v>646</v>
      </c>
      <c r="K1" t="s">
        <v>647</v>
      </c>
      <c r="L1" t="s">
        <v>42</v>
      </c>
      <c r="M1" t="s">
        <v>44</v>
      </c>
      <c r="O1" s="71" t="s">
        <v>648</v>
      </c>
      <c r="P1" s="71"/>
      <c r="Q1" s="71"/>
      <c r="R1" s="71"/>
      <c r="S1" s="71"/>
      <c r="T1" s="71"/>
      <c r="U1" s="71"/>
      <c r="V1" s="71"/>
      <c r="X1" s="85" t="s">
        <v>649</v>
      </c>
      <c r="Y1" s="85"/>
      <c r="Z1" s="85"/>
      <c r="AA1" s="85"/>
      <c r="AB1" s="85"/>
    </row>
    <row r="2" spans="1:56" x14ac:dyDescent="0.35">
      <c r="A2">
        <v>2026</v>
      </c>
      <c r="B2">
        <v>9</v>
      </c>
      <c r="C2" t="s">
        <v>14</v>
      </c>
      <c r="D2" t="s">
        <v>13</v>
      </c>
      <c r="E2" s="2">
        <v>1050</v>
      </c>
      <c r="I2" s="2">
        <f>tblPersonal[[#This Row],[Coste real (€)]]+tblPersonal[[#This Row],[Horas extra (€)]]+tblPersonal[[#This Row],[Dietas (€)]]+tblPersonal[[#This Row],[Otros (€)]]</f>
        <v>1050</v>
      </c>
      <c r="J2" s="2">
        <f>IFERROR(tblPersonal[[#This Row],[Coste total (€)]]/DAY(EOMONTH(DATE(tblPersonal[[#This Row],[Año]],tblPersonal[[#This Row],[Mes]],1),0)),0)</f>
        <v>35</v>
      </c>
      <c r="K2" s="2" t="s">
        <v>400</v>
      </c>
      <c r="L2">
        <f>ROUNDUP(tblPersonal[[#This Row],[Mes]]/3,0)</f>
        <v>3</v>
      </c>
      <c r="O2" s="23" t="s">
        <v>8</v>
      </c>
      <c r="P2">
        <v>2026</v>
      </c>
      <c r="Q2" s="23" t="s">
        <v>9</v>
      </c>
      <c r="R2" t="s">
        <v>650</v>
      </c>
      <c r="S2" s="23" t="s">
        <v>640</v>
      </c>
      <c r="T2" t="s">
        <v>17</v>
      </c>
      <c r="X2" s="71" t="s">
        <v>651</v>
      </c>
      <c r="Y2" s="71"/>
      <c r="AA2" s="86" t="s">
        <v>652</v>
      </c>
      <c r="AB2" s="86"/>
      <c r="BA2" t="s">
        <v>32</v>
      </c>
    </row>
    <row r="3" spans="1:56" x14ac:dyDescent="0.35">
      <c r="A3">
        <v>2026</v>
      </c>
      <c r="B3">
        <v>9</v>
      </c>
      <c r="C3" t="s">
        <v>14</v>
      </c>
      <c r="D3" t="s">
        <v>13</v>
      </c>
      <c r="E3" s="2">
        <v>1373.92</v>
      </c>
      <c r="I3" s="2">
        <f>tblPersonal[[#This Row],[Coste real (€)]]+tblPersonal[[#This Row],[Horas extra (€)]]+tblPersonal[[#This Row],[Dietas (€)]]+tblPersonal[[#This Row],[Otros (€)]]</f>
        <v>1373.92</v>
      </c>
      <c r="J3" s="2">
        <f>IFERROR(tblPersonal[[#This Row],[Coste total (€)]]/DAY(EOMONTH(DATE(tblPersonal[[#This Row],[Año]],tblPersonal[[#This Row],[Mes]],1),0)),0)</f>
        <v>45.797333333333334</v>
      </c>
      <c r="K3" s="2" t="s">
        <v>389</v>
      </c>
      <c r="L3">
        <f>ROUNDUP(tblPersonal[[#This Row],[Mes]]/3,0)</f>
        <v>3</v>
      </c>
      <c r="X3" t="s">
        <v>653</v>
      </c>
      <c r="Y3" s="34">
        <f>SUM(R6:R100001)</f>
        <v>1960</v>
      </c>
      <c r="AA3" t="s">
        <v>654</v>
      </c>
      <c r="AB3">
        <f>COUNT(O6:O1001)</f>
        <v>18</v>
      </c>
      <c r="BA3" s="33" cm="1">
        <f t="array" ref="BA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adicional]=$T$2))&gt;0)),ROW(A1)),"")</f>
        <v>14</v>
      </c>
      <c r="BB3" s="1"/>
    </row>
    <row r="4" spans="1:56" x14ac:dyDescent="0.35">
      <c r="A4">
        <v>2026</v>
      </c>
      <c r="B4">
        <v>8</v>
      </c>
      <c r="C4" t="s">
        <v>17</v>
      </c>
      <c r="D4" t="s">
        <v>13</v>
      </c>
      <c r="E4" s="2">
        <v>1000</v>
      </c>
      <c r="I4" s="2">
        <f>tblPersonal[[#This Row],[Coste real (€)]]+tblPersonal[[#This Row],[Horas extra (€)]]+tblPersonal[[#This Row],[Dietas (€)]]+tblPersonal[[#This Row],[Otros (€)]]</f>
        <v>1000</v>
      </c>
      <c r="J4" s="2">
        <f>IFERROR(tblPersonal[[#This Row],[Coste total (€)]]/DAY(EOMONTH(DATE(tblPersonal[[#This Row],[Año]],tblPersonal[[#This Row],[Mes]],1),0)),0)</f>
        <v>32.258064516129032</v>
      </c>
      <c r="K4" s="2" t="s">
        <v>400</v>
      </c>
      <c r="L4">
        <f>ROUNDUP(tblPersonal[[#This Row],[Mes]]/3,0)</f>
        <v>3</v>
      </c>
      <c r="X4" s="35" t="s">
        <v>655</v>
      </c>
      <c r="Y4" s="34">
        <f>SUM(S6:S50000)</f>
        <v>0</v>
      </c>
      <c r="AA4" t="s">
        <v>656</v>
      </c>
      <c r="AB4" cm="1">
        <f t="array" ref="AB4">SUMPRODUCT((O6:O1000&lt;&gt;"")/COUNTIF(O6:O1000,O6:O1000&amp;""))</f>
        <v>14</v>
      </c>
      <c r="BA4" s="33" cm="1">
        <f t="array" ref="BA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adicional]=$T$2))&gt;0)),ROW(A5)),"")</f>
        <v>23</v>
      </c>
    </row>
    <row r="5" spans="1:56" x14ac:dyDescent="0.35">
      <c r="A5">
        <v>2026</v>
      </c>
      <c r="B5">
        <v>8</v>
      </c>
      <c r="C5" t="s">
        <v>14</v>
      </c>
      <c r="D5" t="s">
        <v>13</v>
      </c>
      <c r="E5" s="2">
        <v>1050</v>
      </c>
      <c r="I5" s="2">
        <f>tblPersonal[[#This Row],[Coste real (€)]]+tblPersonal[[#This Row],[Horas extra (€)]]+tblPersonal[[#This Row],[Dietas (€)]]+tblPersonal[[#This Row],[Otros (€)]]</f>
        <v>1050</v>
      </c>
      <c r="J5" s="2">
        <f>IFERROR(tblPersonal[[#This Row],[Coste total (€)]]/DAY(EOMONTH(DATE(tblPersonal[[#This Row],[Año]],tblPersonal[[#This Row],[Mes]],1),0)),0)</f>
        <v>33.87096774193548</v>
      </c>
      <c r="K5" s="2" t="s">
        <v>400</v>
      </c>
      <c r="L5">
        <f>ROUNDUP(tblPersonal[[#This Row],[Mes]]/3,0)</f>
        <v>3</v>
      </c>
      <c r="O5" t="s">
        <v>1</v>
      </c>
      <c r="P5" t="s">
        <v>2</v>
      </c>
      <c r="Q5" t="s">
        <v>3</v>
      </c>
      <c r="R5" t="s">
        <v>657</v>
      </c>
      <c r="S5" t="s">
        <v>658</v>
      </c>
      <c r="T5" t="s">
        <v>39</v>
      </c>
      <c r="U5" t="s">
        <v>659</v>
      </c>
      <c r="V5" t="s">
        <v>660</v>
      </c>
      <c r="X5" t="s">
        <v>275</v>
      </c>
      <c r="Y5" s="34">
        <f>SUM(U6:U10000)</f>
        <v>1960</v>
      </c>
      <c r="AA5" t="s">
        <v>661</v>
      </c>
      <c r="AB5" cm="1">
        <f t="array" ref="AB5">SUMPRODUCT(tblKmReales[Km reales]*(YEAR(tblKmReales[Fecha])=$P$2)*(IF(_xlfn.XLOOKUP($R$2,tblMeses[MESES],tblMeses[Nº Mes])=0,1,MONTH(tblKmReales[Fecha])=_xlfn.XLOOKUP($R$2,tblMeses[MESES],tblMeses[Nº Mes]))*(((tblKmReales[Conductor]=$T$2)+(tblKmReales[Personal adicional]=$T$2))&gt;0)))</f>
        <v>3008.0999999999995</v>
      </c>
      <c r="BA5" s="33" cm="1">
        <f t="array" ref="BA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adicional]=$T$2))&gt;0)),ROW(A6)),"")</f>
        <v>24</v>
      </c>
    </row>
    <row r="6" spans="1:56" x14ac:dyDescent="0.35">
      <c r="A6">
        <v>2026</v>
      </c>
      <c r="B6">
        <v>8</v>
      </c>
      <c r="C6" t="s">
        <v>14</v>
      </c>
      <c r="D6" t="s">
        <v>13</v>
      </c>
      <c r="E6" s="2">
        <v>1373.92</v>
      </c>
      <c r="I6" s="2">
        <f>tblPersonal[[#This Row],[Coste real (€)]]+tblPersonal[[#This Row],[Horas extra (€)]]+tblPersonal[[#This Row],[Dietas (€)]]+tblPersonal[[#This Row],[Otros (€)]]</f>
        <v>1373.92</v>
      </c>
      <c r="J6" s="2">
        <f>IFERROR(tblPersonal[[#This Row],[Coste total (€)]]/DAY(EOMONTH(DATE(tblPersonal[[#This Row],[Año]],tblPersonal[[#This Row],[Mes]],1),0)),0)</f>
        <v>44.32</v>
      </c>
      <c r="K6" s="2" t="s">
        <v>389</v>
      </c>
      <c r="L6">
        <f>ROUNDUP(tblPersonal[[#This Row],[Mes]]/3,0)</f>
        <v>3</v>
      </c>
      <c r="O6" s="1" cm="1">
        <f t="array" ref="O6">IF($BA3="","",INDEX(tblServicios[Fecha],$BA3))</f>
        <v>46265</v>
      </c>
      <c r="P6" s="1" t="str" cm="1">
        <f t="array" ref="P6">IF($BA3="","",INDEX(tblServicios[Contrato],$BA3))</f>
        <v>Ruta Guadalajara mañana</v>
      </c>
      <c r="Q6" s="1" t="str" cm="1">
        <f t="array" ref="Q6">IF($BA3="","",INDEX(tblServicios[Vehículo],$BA3))</f>
        <v>Vehículo 01</v>
      </c>
      <c r="R6" s="34" cm="1">
        <f t="array" ref="R6">IF($BA3="","",INDEX(tblServicios[Base imponible (€)],$BA3)-INDEX(tblServicios[Imp. suplemento (€)],$BA3))</f>
        <v>120</v>
      </c>
      <c r="S6" s="34" cm="1">
        <f t="array" ref="S6">IF($BA3="","",INDEX(tblServicios[Imp. suplemento (€)],$BA3))</f>
        <v>0</v>
      </c>
      <c r="T6" cm="1">
        <f t="array" ref="T6">IF($BA3="","",INDEX(tblServicios[Tipo suplemento],$BA3))</f>
        <v>0</v>
      </c>
      <c r="U6" s="34">
        <f t="shared" ref="U6:U12" si="0">IF($BA3="","",R6+S6)</f>
        <v>120</v>
      </c>
      <c r="V6" s="1" t="str" cm="1">
        <f t="array" ref="V6">IF($BA3="","",IF(INDEX(tblServicios[Conductor],$BA3)=$T$2,"Conductor","Personal adicional"))</f>
        <v>Conductor</v>
      </c>
      <c r="X6" t="s">
        <v>662</v>
      </c>
      <c r="Y6" s="34">
        <f>IF(AB5=0,0,Y5/AB5)</f>
        <v>0.65157408330840072</v>
      </c>
      <c r="AA6" t="s">
        <v>663</v>
      </c>
      <c r="AB6" cm="1">
        <f t="array" ref="AB6">SUMPRODUCT(tblServicios[Km servicio]*(YEAR(tblServicios[Fecha])=$P$2)*(IF(_xlfn.XLOOKUP($R$2,tblMeses[MESES],tblMeses[Nº Mes])=0,1,MONTH(tblServicios[Fecha])=_xlfn.XLOOKUP($R$2,tblMeses[MESES],tblMeses[Nº Mes]))*(((tblServicios[Conductor]=$T$2)+(tblServicios[Personal adicional]=$T$2))&gt;0)))</f>
        <v>1819.6999999999998</v>
      </c>
      <c r="BA6" s="33" cm="1">
        <f t="array" ref="BA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adicional]=$T$2))&gt;0)),ROW(A7)),"")</f>
        <v>26</v>
      </c>
      <c r="BD6" s="1"/>
    </row>
    <row r="7" spans="1:56" x14ac:dyDescent="0.35">
      <c r="A7">
        <v>2026</v>
      </c>
      <c r="B7">
        <v>8</v>
      </c>
      <c r="C7" t="s">
        <v>23</v>
      </c>
      <c r="D7" t="s">
        <v>13</v>
      </c>
      <c r="E7" s="2">
        <v>100</v>
      </c>
      <c r="I7" s="2">
        <f>tblPersonal[[#This Row],[Coste real (€)]]+tblPersonal[[#This Row],[Horas extra (€)]]+tblPersonal[[#This Row],[Dietas (€)]]+tblPersonal[[#This Row],[Otros (€)]]</f>
        <v>100</v>
      </c>
      <c r="J7" s="2">
        <f>IFERROR(tblPersonal[[#This Row],[Coste total (€)]]/DAY(EOMONTH(DATE(tblPersonal[[#This Row],[Año]],tblPersonal[[#This Row],[Mes]],1),0)),0)</f>
        <v>3.225806451612903</v>
      </c>
      <c r="K7" s="2" t="s">
        <v>400</v>
      </c>
      <c r="L7">
        <f>ROUNDUP(tblPersonal[[#This Row],[Mes]]/3,0)</f>
        <v>3</v>
      </c>
      <c r="O7" s="1" cm="1">
        <f t="array" ref="O7">IF($BA4="","",INDEX(tblServicios[Fecha],$BA4))</f>
        <v>46260</v>
      </c>
      <c r="P7" s="1" t="str" cm="1">
        <f t="array" ref="P7">IF($BA4="","",INDEX(tblServicios[Contrato],$BA4))</f>
        <v>Ruta extras mañana</v>
      </c>
      <c r="Q7" s="1" t="str" cm="1">
        <f t="array" ref="Q7">IF($BA4="","",INDEX(tblServicios[Vehículo],$BA4))</f>
        <v>Vehículo 01</v>
      </c>
      <c r="R7" s="34" cm="1">
        <f t="array" ref="R7">IF($BA4="","",INDEX(tblServicios[Base imponible (€)],$BA4)-INDEX(tblServicios[Imp. suplemento (€)],$BA4))</f>
        <v>120</v>
      </c>
      <c r="S7" s="34" cm="1">
        <f t="array" ref="S7">IF($BA4="","",INDEX(tblServicios[Imp. suplemento (€)],$BA4))</f>
        <v>0</v>
      </c>
      <c r="T7" cm="1">
        <f t="array" ref="T7">IF($BA4="","",INDEX(tblServicios[Tipo suplemento],$BA4))</f>
        <v>0</v>
      </c>
      <c r="U7" s="34">
        <f t="shared" si="0"/>
        <v>120</v>
      </c>
      <c r="V7" s="1" t="str" cm="1">
        <f t="array" ref="V7">IF($BA4="","",IF(INDEX(tblServicios[Conductor],$BA4)=$T$2,"Conductor","Personal adicional"))</f>
        <v>Conductor</v>
      </c>
      <c r="BA7" s="33" cm="1">
        <f t="array" ref="BA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adicional]=$T$2))&gt;0)),ROW(A8)),"")</f>
        <v>27</v>
      </c>
    </row>
    <row r="8" spans="1:56" x14ac:dyDescent="0.35">
      <c r="A8">
        <v>2026</v>
      </c>
      <c r="B8">
        <v>7</v>
      </c>
      <c r="C8" t="s">
        <v>17</v>
      </c>
      <c r="D8" t="s">
        <v>13</v>
      </c>
      <c r="E8" s="2">
        <v>960</v>
      </c>
      <c r="I8" s="2">
        <f>tblPersonal[[#This Row],[Coste real (€)]]+tblPersonal[[#This Row],[Horas extra (€)]]+tblPersonal[[#This Row],[Dietas (€)]]+tblPersonal[[#This Row],[Otros (€)]]</f>
        <v>960</v>
      </c>
      <c r="J8" s="2">
        <f>IFERROR(tblPersonal[[#This Row],[Coste total (€)]]/DAY(EOMONTH(DATE(tblPersonal[[#This Row],[Año]],tblPersonal[[#This Row],[Mes]],1),0)),0)</f>
        <v>30.967741935483872</v>
      </c>
      <c r="K8" s="2" t="s">
        <v>400</v>
      </c>
      <c r="L8">
        <f>ROUNDUP(tblPersonal[[#This Row],[Mes]]/3,0)</f>
        <v>3</v>
      </c>
      <c r="O8" s="1" cm="1">
        <f t="array" ref="O8">IF($BA5="","",INDEX(tblServicios[Fecha],$BA5))</f>
        <v>46260</v>
      </c>
      <c r="P8" s="1" t="str" cm="1">
        <f t="array" ref="P8">IF($BA5="","",INDEX(tblServicios[Contrato],$BA5))</f>
        <v>Ruta Guadalajara mañana</v>
      </c>
      <c r="Q8" s="1" t="str" cm="1">
        <f t="array" ref="Q8">IF($BA5="","",INDEX(tblServicios[Vehículo],$BA5))</f>
        <v>Vehículo 01</v>
      </c>
      <c r="R8" s="34" cm="1">
        <f t="array" ref="R8">IF($BA5="","",INDEX(tblServicios[Base imponible (€)],$BA5)-INDEX(tblServicios[Imp. suplemento (€)],$BA5))</f>
        <v>80</v>
      </c>
      <c r="S8" s="34" cm="1">
        <f t="array" ref="S8">IF($BA5="","",INDEX(tblServicios[Imp. suplemento (€)],$BA5))</f>
        <v>0</v>
      </c>
      <c r="T8" cm="1">
        <f t="array" ref="T8">IF($BA5="","",INDEX(tblServicios[Tipo suplemento],$BA5))</f>
        <v>0</v>
      </c>
      <c r="U8" s="34">
        <f t="shared" si="0"/>
        <v>80</v>
      </c>
      <c r="V8" s="1" t="str" cm="1">
        <f t="array" ref="V8">IF($BA5="","",IF(INDEX(tblServicios[Conductor],$BA5)=$T$2,"Conductor","Personal adicional"))</f>
        <v>Conductor</v>
      </c>
      <c r="X8" s="84" t="s">
        <v>664</v>
      </c>
      <c r="Y8" s="84"/>
      <c r="AA8" s="87" t="s">
        <v>665</v>
      </c>
      <c r="AB8" s="87"/>
      <c r="BA8" s="33" cm="1">
        <f t="array" ref="BA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adicional]=$T$2))&gt;0)),ROW(A9)),"")</f>
        <v>29</v>
      </c>
    </row>
    <row r="9" spans="1:56" x14ac:dyDescent="0.35">
      <c r="A9">
        <v>2026</v>
      </c>
      <c r="B9">
        <v>7</v>
      </c>
      <c r="C9" t="s">
        <v>14</v>
      </c>
      <c r="D9" t="s">
        <v>13</v>
      </c>
      <c r="E9" s="2">
        <v>567.5</v>
      </c>
      <c r="I9" s="2">
        <f>tblPersonal[[#This Row],[Coste real (€)]]+tblPersonal[[#This Row],[Horas extra (€)]]+tblPersonal[[#This Row],[Dietas (€)]]+tblPersonal[[#This Row],[Otros (€)]]</f>
        <v>567.5</v>
      </c>
      <c r="J9" s="2">
        <f>IFERROR(tblPersonal[[#This Row],[Coste total (€)]]/DAY(EOMONTH(DATE(tblPersonal[[#This Row],[Año]],tblPersonal[[#This Row],[Mes]],1),0)),0)</f>
        <v>18.306451612903224</v>
      </c>
      <c r="K9" s="2" t="s">
        <v>400</v>
      </c>
      <c r="L9">
        <f>ROUNDUP(tblPersonal[[#This Row],[Mes]]/3,0)</f>
        <v>3</v>
      </c>
      <c r="O9" s="1" cm="1">
        <f t="array" ref="O9">IF($BA6="","",INDEX(tblServicios[Fecha],$BA6))</f>
        <v>46259</v>
      </c>
      <c r="P9" s="1" t="str" cm="1">
        <f t="array" ref="P9">IF($BA6="","",INDEX(tblServicios[Contrato],$BA6))</f>
        <v>Ruta extras mañana</v>
      </c>
      <c r="Q9" s="1" t="str" cm="1">
        <f t="array" ref="Q9">IF($BA6="","",INDEX(tblServicios[Vehículo],$BA6))</f>
        <v>Vehículo 01</v>
      </c>
      <c r="R9" s="34" cm="1">
        <f t="array" ref="R9">IF($BA6="","",INDEX(tblServicios[Base imponible (€)],$BA6)-INDEX(tblServicios[Imp. suplemento (€)],$BA6))</f>
        <v>120</v>
      </c>
      <c r="S9" s="34" cm="1">
        <f t="array" ref="S9">IF($BA6="","",INDEX(tblServicios[Imp. suplemento (€)],$BA6))</f>
        <v>0</v>
      </c>
      <c r="T9" cm="1">
        <f t="array" ref="T9">IF($BA6="","",INDEX(tblServicios[Tipo suplemento],$BA6))</f>
        <v>0</v>
      </c>
      <c r="U9" s="34">
        <f t="shared" si="0"/>
        <v>120</v>
      </c>
      <c r="V9" s="1" t="str" cm="1">
        <f t="array" ref="V9">IF($BA6="","",IF(INDEX(tblServicios[Conductor],$BA6)=$T$2,"Conductor","Personal adicional"))</f>
        <v>Conductor</v>
      </c>
      <c r="X9" t="s">
        <v>666</v>
      </c>
      <c r="AA9" t="s">
        <v>667</v>
      </c>
      <c r="AB9">
        <f>COUNTIF(V6:V1000,"Conductor")</f>
        <v>18</v>
      </c>
      <c r="BA9" s="33" cm="1">
        <f t="array" ref="BA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adicional]=$T$2))&gt;0)),ROW(A10)),"")</f>
        <v>33</v>
      </c>
    </row>
    <row r="10" spans="1:56" x14ac:dyDescent="0.35">
      <c r="A10">
        <v>2026</v>
      </c>
      <c r="B10">
        <v>7</v>
      </c>
      <c r="C10" t="s">
        <v>23</v>
      </c>
      <c r="D10" t="s">
        <v>13</v>
      </c>
      <c r="E10" s="2">
        <v>50</v>
      </c>
      <c r="I10" s="2">
        <f>tblPersonal[[#This Row],[Coste real (€)]]+tblPersonal[[#This Row],[Horas extra (€)]]+tblPersonal[[#This Row],[Dietas (€)]]+tblPersonal[[#This Row],[Otros (€)]]</f>
        <v>50</v>
      </c>
      <c r="J10" s="2">
        <f>IFERROR(tblPersonal[[#This Row],[Coste total (€)]]/DAY(EOMONTH(DATE(tblPersonal[[#This Row],[Año]],tblPersonal[[#This Row],[Mes]],1),0)),0)</f>
        <v>1.6129032258064515</v>
      </c>
      <c r="K10" s="2" t="s">
        <v>400</v>
      </c>
      <c r="L10">
        <f>ROUNDUP(tblPersonal[[#This Row],[Mes]]/3,0)</f>
        <v>3</v>
      </c>
      <c r="O10" s="1" cm="1">
        <f t="array" ref="O10">IF($BA7="","",INDEX(tblServicios[Fecha],$BA7))</f>
        <v>46259</v>
      </c>
      <c r="P10" s="1" t="str" cm="1">
        <f t="array" ref="P10">IF($BA7="","",INDEX(tblServicios[Contrato],$BA7))</f>
        <v>Ruta Guadalajara mañana</v>
      </c>
      <c r="Q10" s="1" t="str" cm="1">
        <f t="array" ref="Q10">IF($BA7="","",INDEX(tblServicios[Vehículo],$BA7))</f>
        <v>Vehículo 01</v>
      </c>
      <c r="R10" s="34" cm="1">
        <f t="array" ref="R10">IF($BA7="","",INDEX(tblServicios[Base imponible (€)],$BA7)-INDEX(tblServicios[Imp. suplemento (€)],$BA7))</f>
        <v>80</v>
      </c>
      <c r="S10" s="34" cm="1">
        <f t="array" ref="S10">IF($BA7="","",INDEX(tblServicios[Imp. suplemento (€)],$BA7))</f>
        <v>0</v>
      </c>
      <c r="T10" cm="1">
        <f t="array" ref="T10">IF($BA7="","",INDEX(tblServicios[Tipo suplemento],$BA7))</f>
        <v>0</v>
      </c>
      <c r="U10" s="34">
        <f t="shared" si="0"/>
        <v>80</v>
      </c>
      <c r="V10" s="1" t="str" cm="1">
        <f t="array" ref="V10">IF($BA7="","",IF(INDEX(tblServicios[Conductor],$BA7)=$T$2,"Conductor","Personal adicional"))</f>
        <v>Conductor</v>
      </c>
      <c r="X10" t="s">
        <v>668</v>
      </c>
      <c r="Y10" s="34">
        <f>IF(COUNT(O6:O1000)=0,0,SUM(U6:U1000)/COUNT(O6:O1000))</f>
        <v>108.88888888888889</v>
      </c>
      <c r="AA10" t="s">
        <v>669</v>
      </c>
      <c r="AB10">
        <f>COUNTIF(V6:V1000,"Personal adicional")</f>
        <v>0</v>
      </c>
      <c r="BA10" s="33" cm="1">
        <f t="array" ref="BA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adicional]=$T$2))&gt;0)),ROW(A11)),"")</f>
        <v>34</v>
      </c>
    </row>
    <row r="11" spans="1:56" x14ac:dyDescent="0.35">
      <c r="A11">
        <v>2026</v>
      </c>
      <c r="B11">
        <v>7</v>
      </c>
      <c r="C11" t="s">
        <v>28</v>
      </c>
      <c r="D11" t="s">
        <v>13</v>
      </c>
      <c r="E11" s="2">
        <v>100</v>
      </c>
      <c r="F11">
        <v>0</v>
      </c>
      <c r="G11">
        <v>0</v>
      </c>
      <c r="H11">
        <v>0</v>
      </c>
      <c r="I11" s="2">
        <f>tblPersonal[[#This Row],[Coste real (€)]]+tblPersonal[[#This Row],[Horas extra (€)]]+tblPersonal[[#This Row],[Dietas (€)]]+tblPersonal[[#This Row],[Otros (€)]]</f>
        <v>100</v>
      </c>
      <c r="J11" s="2">
        <f>IFERROR(tblPersonal[[#This Row],[Coste total (€)]]/DAY(EOMONTH(DATE(tblPersonal[[#This Row],[Año]],tblPersonal[[#This Row],[Mes]],1),0)),0)</f>
        <v>3.225806451612903</v>
      </c>
      <c r="K11" s="2" t="s">
        <v>400</v>
      </c>
      <c r="L11">
        <f>ROUNDUP(tblPersonal[[#This Row],[Mes]]/3,0)</f>
        <v>3</v>
      </c>
      <c r="O11" s="1" cm="1">
        <f t="array" ref="O11">IF($BA8="","",INDEX(tblServicios[Fecha],$BA8))</f>
        <v>46258</v>
      </c>
      <c r="P11" s="1" t="str" cm="1">
        <f t="array" ref="P11">IF($BA8="","",INDEX(tblServicios[Contrato],$BA8))</f>
        <v>Ruta Guadalajara mañana</v>
      </c>
      <c r="Q11" s="1" t="str" cm="1">
        <f t="array" ref="Q11">IF($BA8="","",INDEX(tblServicios[Vehículo],$BA8))</f>
        <v>Vehículo 01</v>
      </c>
      <c r="R11" s="34" cm="1">
        <f t="array" ref="R11">IF($BA8="","",INDEX(tblServicios[Base imponible (€)],$BA8)-INDEX(tblServicios[Imp. suplemento (€)],$BA8))</f>
        <v>120</v>
      </c>
      <c r="S11" s="34" cm="1">
        <f t="array" ref="S11">IF($BA8="","",INDEX(tblServicios[Imp. suplemento (€)],$BA8))</f>
        <v>0</v>
      </c>
      <c r="T11" cm="1">
        <f t="array" ref="T11">IF($BA8="","",INDEX(tblServicios[Tipo suplemento],$BA8))</f>
        <v>0</v>
      </c>
      <c r="U11" s="34">
        <f t="shared" si="0"/>
        <v>120</v>
      </c>
      <c r="V11" s="1" t="str" cm="1">
        <f t="array" ref="V11">IF($BA8="","",IF(INDEX(tblServicios[Conductor],$BA8)=$T$2,"Conductor","Personal adicional"))</f>
        <v>Conductor</v>
      </c>
      <c r="X11" t="s">
        <v>670</v>
      </c>
      <c r="Y11" s="34" cm="1">
        <f t="array" ref="Y11">IF(SUMPRODUCT((O6:O1000&lt;&gt;"")/COUNTIF(O6:O1000,O6:O1000&amp;""))=0,0,SUM(U6:U1000)/SUMPRODUCT((O6:O1000&lt;&gt;"")/COUNTIF(O6:O1000,O6:O1000&amp;"")))</f>
        <v>140</v>
      </c>
      <c r="BA11" s="33" cm="1">
        <f t="array" ref="BA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adicional]=$T$2))&gt;0)),ROW(A12)),"")</f>
        <v>36</v>
      </c>
    </row>
    <row r="12" spans="1:56" x14ac:dyDescent="0.35">
      <c r="A12">
        <v>2026</v>
      </c>
      <c r="B12">
        <v>7</v>
      </c>
      <c r="C12" t="s">
        <v>14</v>
      </c>
      <c r="D12" t="s">
        <v>13</v>
      </c>
      <c r="E12" s="2">
        <v>1373.92</v>
      </c>
      <c r="I12" s="2">
        <f>tblPersonal[[#This Row],[Coste real (€)]]+tblPersonal[[#This Row],[Horas extra (€)]]+tblPersonal[[#This Row],[Dietas (€)]]+tblPersonal[[#This Row],[Otros (€)]]</f>
        <v>1373.92</v>
      </c>
      <c r="J12" s="2">
        <f>IFERROR(tblPersonal[[#This Row],[Coste total (€)]]/DAY(EOMONTH(DATE(tblPersonal[[#This Row],[Año]],tblPersonal[[#This Row],[Mes]],1),0)),0)</f>
        <v>44.32</v>
      </c>
      <c r="K12" s="2" t="s">
        <v>389</v>
      </c>
      <c r="L12">
        <f>ROUNDUP(tblPersonal[[#This Row],[Mes]]/3,0)</f>
        <v>3</v>
      </c>
      <c r="O12" s="1" cm="1">
        <f t="array" ref="O12">IF($BA9="","",INDEX(tblServicios[Fecha],$BA9))</f>
        <v>46255</v>
      </c>
      <c r="P12" s="1" t="str" cm="1">
        <f t="array" ref="P12">IF($BA9="","",INDEX(tblServicios[Contrato],$BA9))</f>
        <v>Ruta extras mañana</v>
      </c>
      <c r="Q12" s="1" t="str" cm="1">
        <f t="array" ref="Q12">IF($BA9="","",INDEX(tblServicios[Vehículo],$BA9))</f>
        <v>Vehículo 01</v>
      </c>
      <c r="R12" s="34" cm="1">
        <f t="array" ref="R12">IF($BA9="","",INDEX(tblServicios[Base imponible (€)],$BA9)-INDEX(tblServicios[Imp. suplemento (€)],$BA9))</f>
        <v>120</v>
      </c>
      <c r="S12" s="34" cm="1">
        <f t="array" ref="S12">IF($BA9="","",INDEX(tblServicios[Imp. suplemento (€)],$BA9))</f>
        <v>0</v>
      </c>
      <c r="T12" cm="1">
        <f t="array" ref="T12">IF($BA9="","",INDEX(tblServicios[Tipo suplemento],$BA9))</f>
        <v>0</v>
      </c>
      <c r="U12" s="34">
        <f t="shared" si="0"/>
        <v>120</v>
      </c>
      <c r="V12" s="1" t="str" cm="1">
        <f t="array" ref="V12">IF($BA9="","",IF(INDEX(tblServicios[Conductor],$BA9)=$T$2,"Conductor","Personal adicional"))</f>
        <v>Conductor</v>
      </c>
      <c r="BA12" s="33" cm="1">
        <f t="array" ref="BA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adicional]=$T$2))&gt;0)),ROW(A13)),"")</f>
        <v>37</v>
      </c>
    </row>
    <row r="13" spans="1:56" x14ac:dyDescent="0.35">
      <c r="A13">
        <v>2026</v>
      </c>
      <c r="B13">
        <v>7</v>
      </c>
      <c r="C13" t="s">
        <v>14</v>
      </c>
      <c r="D13" t="s">
        <v>13</v>
      </c>
      <c r="E13" s="2">
        <v>1050</v>
      </c>
      <c r="F13">
        <v>0</v>
      </c>
      <c r="G13">
        <v>0</v>
      </c>
      <c r="H13">
        <v>0</v>
      </c>
      <c r="I13" s="2">
        <f>tblPersonal[[#This Row],[Coste real (€)]]+tblPersonal[[#This Row],[Horas extra (€)]]+tblPersonal[[#This Row],[Dietas (€)]]+tblPersonal[[#This Row],[Otros (€)]]</f>
        <v>1050</v>
      </c>
      <c r="J13" s="2">
        <f>IFERROR(tblPersonal[[#This Row],[Coste total (€)]]/DAY(EOMONTH(DATE(tblPersonal[[#This Row],[Año]],tblPersonal[[#This Row],[Mes]],1),0)),0)</f>
        <v>33.87096774193548</v>
      </c>
      <c r="K13" s="2" t="s">
        <v>400</v>
      </c>
      <c r="L13">
        <f>ROUNDUP(tblPersonal[[#This Row],[Mes]]/3,0)</f>
        <v>3</v>
      </c>
      <c r="O13" s="1" cm="1">
        <f t="array" ref="O13">IF($BA10="","",INDEX(tblServicios[Fecha],$BA10))</f>
        <v>46255</v>
      </c>
      <c r="P13" s="1" t="str" cm="1">
        <f t="array" ref="P13">IF($BA10="","",INDEX(tblServicios[Contrato],$BA10))</f>
        <v>Ruta Guadalajara mañana</v>
      </c>
      <c r="Q13" s="1" t="str" cm="1">
        <f t="array" ref="Q13">IF($BA10="","",INDEX(tblServicios[Vehículo],$BA10))</f>
        <v>Vehículo 01</v>
      </c>
      <c r="R13" s="34" cm="1">
        <f t="array" ref="R13">IF($BA10="","",INDEX(tblServicios[Base imponible (€)],$BA10)-INDEX(tblServicios[Imp. suplemento (€)],$BA10))</f>
        <v>80</v>
      </c>
      <c r="S13" s="34" cm="1">
        <f t="array" ref="S13">IF($BA10="","",INDEX(tblServicios[Imp. suplemento (€)],$BA10))</f>
        <v>0</v>
      </c>
      <c r="T13" cm="1">
        <f t="array" ref="T13">IF($BA10="","",INDEX(tblServicios[Tipo suplemento],$BA10))</f>
        <v>0</v>
      </c>
      <c r="U13" s="34">
        <f t="shared" ref="U13:U70" si="1">IF($BA10="","",R13+S13)</f>
        <v>80</v>
      </c>
      <c r="V13" s="1" t="str" cm="1">
        <f t="array" ref="V13">IF($BA10="","",IF(INDEX(tblServicios[Conductor],$BA10)=$T$2,"Conductor","Personal adicional"))</f>
        <v>Conductor</v>
      </c>
      <c r="BA13" s="33" cm="1">
        <f t="array" ref="BA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adicional]=$T$2))&gt;0)),ROW(A14)),"")</f>
        <v>39</v>
      </c>
    </row>
    <row r="14" spans="1:56" x14ac:dyDescent="0.35">
      <c r="A14">
        <v>2026</v>
      </c>
      <c r="B14">
        <v>6</v>
      </c>
      <c r="C14" t="s">
        <v>28</v>
      </c>
      <c r="D14" t="s">
        <v>13</v>
      </c>
      <c r="E14" s="2">
        <v>100</v>
      </c>
      <c r="F14">
        <v>0</v>
      </c>
      <c r="G14">
        <v>0</v>
      </c>
      <c r="H14">
        <v>0</v>
      </c>
      <c r="I14" s="2">
        <f>tblPersonal[[#This Row],[Coste real (€)]]+tblPersonal[[#This Row],[Horas extra (€)]]+tblPersonal[[#This Row],[Dietas (€)]]+tblPersonal[[#This Row],[Otros (€)]]</f>
        <v>100</v>
      </c>
      <c r="J14" s="2">
        <f>IFERROR(tblPersonal[[#This Row],[Coste total (€)]]/DAY(EOMONTH(DATE(tblPersonal[[#This Row],[Año]],tblPersonal[[#This Row],[Mes]],1),0)),0)</f>
        <v>3.3333333333333335</v>
      </c>
      <c r="K14" s="2" t="s">
        <v>400</v>
      </c>
      <c r="L14">
        <f>ROUNDUP(tblPersonal[[#This Row],[Mes]]/3,0)</f>
        <v>2</v>
      </c>
      <c r="O14" s="1" cm="1">
        <f t="array" ref="O14">IF($BA11="","",INDEX(tblServicios[Fecha],$BA11))</f>
        <v>46254</v>
      </c>
      <c r="P14" s="1" t="str" cm="1">
        <f t="array" ref="P14">IF($BA11="","",INDEX(tblServicios[Contrato],$BA11))</f>
        <v>Ruta extras mañana</v>
      </c>
      <c r="Q14" s="1" t="str" cm="1">
        <f t="array" ref="Q14">IF($BA11="","",INDEX(tblServicios[Vehículo],$BA11))</f>
        <v>Vehículo 01</v>
      </c>
      <c r="R14" s="34" cm="1">
        <f t="array" ref="R14">IF($BA11="","",INDEX(tblServicios[Base imponible (€)],$BA11)-INDEX(tblServicios[Imp. suplemento (€)],$BA11))</f>
        <v>120</v>
      </c>
      <c r="S14" s="34" cm="1">
        <f t="array" ref="S14">IF($BA11="","",INDEX(tblServicios[Imp. suplemento (€)],$BA11))</f>
        <v>0</v>
      </c>
      <c r="T14" cm="1">
        <f t="array" ref="T14">IF($BA11="","",INDEX(tblServicios[Tipo suplemento],$BA11))</f>
        <v>0</v>
      </c>
      <c r="U14" s="34">
        <f t="shared" si="1"/>
        <v>120</v>
      </c>
      <c r="V14" s="1" t="str" cm="1">
        <f t="array" ref="V14">IF($BA11="","",IF(INDEX(tblServicios[Conductor],$BA11)=$T$2,"Conductor","Personal adicional"))</f>
        <v>Conductor</v>
      </c>
      <c r="BA14" s="33" cm="1">
        <f t="array" ref="BA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adicional]=$T$2))&gt;0)),ROW(A15)),"")</f>
        <v>41</v>
      </c>
    </row>
    <row r="15" spans="1:56" x14ac:dyDescent="0.35">
      <c r="A15">
        <v>2026</v>
      </c>
      <c r="B15">
        <v>6</v>
      </c>
      <c r="C15" t="s">
        <v>14</v>
      </c>
      <c r="D15" t="s">
        <v>13</v>
      </c>
      <c r="E15" s="2">
        <v>900</v>
      </c>
      <c r="F15">
        <v>0</v>
      </c>
      <c r="G15">
        <v>0</v>
      </c>
      <c r="H15">
        <v>0</v>
      </c>
      <c r="I15" s="2">
        <f>tblPersonal[[#This Row],[Coste real (€)]]+tblPersonal[[#This Row],[Horas extra (€)]]+tblPersonal[[#This Row],[Dietas (€)]]+tblPersonal[[#This Row],[Otros (€)]]</f>
        <v>900</v>
      </c>
      <c r="J15" s="2">
        <f>IFERROR(tblPersonal[[#This Row],[Coste total (€)]]/DAY(EOMONTH(DATE(tblPersonal[[#This Row],[Año]],tblPersonal[[#This Row],[Mes]],1),0)),0)</f>
        <v>30</v>
      </c>
      <c r="K15" s="2" t="s">
        <v>400</v>
      </c>
      <c r="L15">
        <f>ROUNDUP(tblPersonal[[#This Row],[Mes]]/3,0)</f>
        <v>2</v>
      </c>
      <c r="O15" s="1" cm="1">
        <f t="array" ref="O15">IF($BA12="","",INDEX(tblServicios[Fecha],$BA12))</f>
        <v>46254</v>
      </c>
      <c r="P15" s="1" t="str" cm="1">
        <f t="array" ref="P15">IF($BA12="","",INDEX(tblServicios[Contrato],$BA12))</f>
        <v>Ruta Guadalajara mañana</v>
      </c>
      <c r="Q15" s="1" t="str" cm="1">
        <f t="array" ref="Q15">IF($BA12="","",INDEX(tblServicios[Vehículo],$BA12))</f>
        <v>Vehículo 01</v>
      </c>
      <c r="R15" s="34" cm="1">
        <f t="array" ref="R15">IF($BA12="","",INDEX(tblServicios[Base imponible (€)],$BA12)-INDEX(tblServicios[Imp. suplemento (€)],$BA12))</f>
        <v>80</v>
      </c>
      <c r="S15" s="34" cm="1">
        <f t="array" ref="S15">IF($BA12="","",INDEX(tblServicios[Imp. suplemento (€)],$BA12))</f>
        <v>0</v>
      </c>
      <c r="T15" cm="1">
        <f t="array" ref="T15">IF($BA12="","",INDEX(tblServicios[Tipo suplemento],$BA12))</f>
        <v>0</v>
      </c>
      <c r="U15" s="34">
        <f t="shared" si="1"/>
        <v>80</v>
      </c>
      <c r="V15" s="1" t="str" cm="1">
        <f t="array" ref="V15">IF($BA12="","",IF(INDEX(tblServicios[Conductor],$BA12)=$T$2,"Conductor","Personal adicional"))</f>
        <v>Conductor</v>
      </c>
      <c r="BA15" s="33" cm="1">
        <f t="array" ref="BA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adicional]=$T$2))&gt;0)),ROW(A16)),"")</f>
        <v>43</v>
      </c>
    </row>
    <row r="16" spans="1:56" x14ac:dyDescent="0.35">
      <c r="O16" s="1" cm="1">
        <f t="array" ref="O16">IF($BA13="","",INDEX(tblServicios[Fecha],$BA13))</f>
        <v>46253</v>
      </c>
      <c r="P16" s="1" t="str" cm="1">
        <f t="array" ref="P16">IF($BA13="","",INDEX(tblServicios[Contrato],$BA13))</f>
        <v>Ruta Guadalajara mañana</v>
      </c>
      <c r="Q16" s="1" t="str" cm="1">
        <f t="array" ref="Q16">IF($BA13="","",INDEX(tblServicios[Vehículo],$BA13))</f>
        <v>Vehículo 01</v>
      </c>
      <c r="R16" s="34" cm="1">
        <f t="array" ref="R16">IF($BA13="","",INDEX(tblServicios[Base imponible (€)],$BA13)-INDEX(tblServicios[Imp. suplemento (€)],$BA13))</f>
        <v>120</v>
      </c>
      <c r="S16" s="34" cm="1">
        <f t="array" ref="S16">IF($BA13="","",INDEX(tblServicios[Imp. suplemento (€)],$BA13))</f>
        <v>0</v>
      </c>
      <c r="T16" cm="1">
        <f t="array" ref="T16">IF($BA13="","",INDEX(tblServicios[Tipo suplemento],$BA13))</f>
        <v>0</v>
      </c>
      <c r="U16" s="34">
        <f t="shared" si="1"/>
        <v>120</v>
      </c>
      <c r="V16" s="1" t="str" cm="1">
        <f t="array" ref="V16">IF($BA13="","",IF(INDEX(tblServicios[Conductor],$BA13)=$T$2,"Conductor","Personal adicional"))</f>
        <v>Conductor</v>
      </c>
      <c r="BA16" s="33" cm="1">
        <f t="array" ref="BA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adicional]=$T$2))&gt;0)),ROW(A17)),"")</f>
        <v>47</v>
      </c>
    </row>
    <row r="17" spans="15:53" x14ac:dyDescent="0.35">
      <c r="O17" s="1" cm="1">
        <f t="array" ref="O17">IF($BA14="","",INDEX(tblServicios[Fecha],$BA14))</f>
        <v>46252</v>
      </c>
      <c r="P17" s="1" t="str" cm="1">
        <f t="array" ref="P17">IF($BA14="","",INDEX(tblServicios[Contrato],$BA14))</f>
        <v>Ruta Guadalajara mañana</v>
      </c>
      <c r="Q17" s="1" t="str" cm="1">
        <f t="array" ref="Q17">IF($BA14="","",INDEX(tblServicios[Vehículo],$BA14))</f>
        <v>Vehículo 01</v>
      </c>
      <c r="R17" s="34" cm="1">
        <f t="array" ref="R17">IF($BA14="","",INDEX(tblServicios[Base imponible (€)],$BA14)-INDEX(tblServicios[Imp. suplemento (€)],$BA14))</f>
        <v>120</v>
      </c>
      <c r="S17" s="34" cm="1">
        <f t="array" ref="S17">IF($BA14="","",INDEX(tblServicios[Imp. suplemento (€)],$BA14))</f>
        <v>0</v>
      </c>
      <c r="T17" cm="1">
        <f t="array" ref="T17">IF($BA14="","",INDEX(tblServicios[Tipo suplemento],$BA14))</f>
        <v>0</v>
      </c>
      <c r="U17" s="34">
        <f t="shared" si="1"/>
        <v>120</v>
      </c>
      <c r="V17" s="1" t="str" cm="1">
        <f t="array" ref="V17">IF($BA14="","",IF(INDEX(tblServicios[Conductor],$BA14)=$T$2,"Conductor","Personal adicional"))</f>
        <v>Conductor</v>
      </c>
      <c r="BA17" s="33" cm="1">
        <f t="array" ref="BA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adicional]=$T$2))&gt;0)),ROW(A18)),"")</f>
        <v>49</v>
      </c>
    </row>
    <row r="18" spans="15:53" x14ac:dyDescent="0.35">
      <c r="O18" s="1" cm="1">
        <f t="array" ref="O18">IF($BA15="","",INDEX(tblServicios[Fecha],$BA15))</f>
        <v>46251</v>
      </c>
      <c r="P18" s="1" t="str" cm="1">
        <f t="array" ref="P18">IF($BA15="","",INDEX(tblServicios[Contrato],$BA15))</f>
        <v>Ruta Guadalajara mañana</v>
      </c>
      <c r="Q18" s="1" t="str" cm="1">
        <f t="array" ref="Q18">IF($BA15="","",INDEX(tblServicios[Vehículo],$BA15))</f>
        <v>Vehículo 01</v>
      </c>
      <c r="R18" s="34" cm="1">
        <f t="array" ref="R18">IF($BA15="","",INDEX(tblServicios[Base imponible (€)],$BA15)-INDEX(tblServicios[Imp. suplemento (€)],$BA15))</f>
        <v>120</v>
      </c>
      <c r="S18" s="34" cm="1">
        <f t="array" ref="S18">IF($BA15="","",INDEX(tblServicios[Imp. suplemento (€)],$BA15))</f>
        <v>0</v>
      </c>
      <c r="T18" cm="1">
        <f t="array" ref="T18">IF($BA15="","",INDEX(tblServicios[Tipo suplemento],$BA15))</f>
        <v>0</v>
      </c>
      <c r="U18" s="34">
        <f t="shared" si="1"/>
        <v>120</v>
      </c>
      <c r="V18" s="1" t="str" cm="1">
        <f t="array" ref="V18">IF($BA15="","",IF(INDEX(tblServicios[Conductor],$BA15)=$T$2,"Conductor","Personal adicional"))</f>
        <v>Conductor</v>
      </c>
      <c r="BA18" s="33" cm="1">
        <f t="array" ref="BA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adicional]=$T$2))&gt;0)),ROW(A19)),"")</f>
        <v>52</v>
      </c>
    </row>
    <row r="19" spans="15:53" x14ac:dyDescent="0.35">
      <c r="O19" s="1" cm="1">
        <f t="array" ref="O19">IF($BA16="","",INDEX(tblServicios[Fecha],$BA16))</f>
        <v>46248</v>
      </c>
      <c r="P19" s="1" t="str" cm="1">
        <f t="array" ref="P19">IF($BA16="","",INDEX(tblServicios[Contrato],$BA16))</f>
        <v>Ruta Guadalajara mañana</v>
      </c>
      <c r="Q19" s="1" t="str" cm="1">
        <f t="array" ref="Q19">IF($BA16="","",INDEX(tblServicios[Vehículo],$BA16))</f>
        <v>Vehículo 01</v>
      </c>
      <c r="R19" s="34" cm="1">
        <f t="array" ref="R19">IF($BA16="","",INDEX(tblServicios[Base imponible (€)],$BA16)-INDEX(tblServicios[Imp. suplemento (€)],$BA16))</f>
        <v>120</v>
      </c>
      <c r="S19" s="34" cm="1">
        <f t="array" ref="S19">IF($BA16="","",INDEX(tblServicios[Imp. suplemento (€)],$BA16))</f>
        <v>0</v>
      </c>
      <c r="T19" cm="1">
        <f t="array" ref="T19">IF($BA16="","",INDEX(tblServicios[Tipo suplemento],$BA16))</f>
        <v>0</v>
      </c>
      <c r="U19" s="34">
        <f t="shared" si="1"/>
        <v>120</v>
      </c>
      <c r="V19" s="1" t="str" cm="1">
        <f t="array" ref="V19">IF($BA16="","",IF(INDEX(tblServicios[Conductor],$BA16)=$T$2,"Conductor","Personal adicional"))</f>
        <v>Conductor</v>
      </c>
      <c r="BA19" s="33" cm="1">
        <f t="array" ref="BA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adicional]=$T$2))&gt;0)),ROW(A20)),"")</f>
        <v>54</v>
      </c>
    </row>
    <row r="20" spans="15:53" x14ac:dyDescent="0.35">
      <c r="O20" s="1" cm="1">
        <f t="array" ref="O20">IF($BA17="","",INDEX(tblServicios[Fecha],$BA17))</f>
        <v>46247</v>
      </c>
      <c r="P20" s="1" t="str" cm="1">
        <f t="array" ref="P20">IF($BA17="","",INDEX(tblServicios[Contrato],$BA17))</f>
        <v>Ruta extras mañana</v>
      </c>
      <c r="Q20" s="1" t="str" cm="1">
        <f t="array" ref="Q20">IF($BA17="","",INDEX(tblServicios[Vehículo],$BA17))</f>
        <v>Vehículo 01</v>
      </c>
      <c r="R20" s="34" cm="1">
        <f t="array" ref="R20">IF($BA17="","",INDEX(tblServicios[Base imponible (€)],$BA17)-INDEX(tblServicios[Imp. suplemento (€)],$BA17))</f>
        <v>120</v>
      </c>
      <c r="S20" s="34" cm="1">
        <f t="array" ref="S20">IF($BA17="","",INDEX(tblServicios[Imp. suplemento (€)],$BA17))</f>
        <v>0</v>
      </c>
      <c r="T20" cm="1">
        <f t="array" ref="T20">IF($BA17="","",INDEX(tblServicios[Tipo suplemento],$BA17))</f>
        <v>0</v>
      </c>
      <c r="U20" s="34">
        <f t="shared" si="1"/>
        <v>120</v>
      </c>
      <c r="V20" s="1" t="str" cm="1">
        <f t="array" ref="V20">IF($BA17="","",IF(INDEX(tblServicios[Conductor],$BA17)=$T$2,"Conductor","Personal adicional"))</f>
        <v>Conductor</v>
      </c>
      <c r="BA20" s="33" cm="1">
        <f t="array" ref="BA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adicional]=$T$2))&gt;0)),ROW(A21)),"")</f>
        <v>57</v>
      </c>
    </row>
    <row r="21" spans="15:53" x14ac:dyDescent="0.35">
      <c r="O21" s="1" cm="1">
        <f t="array" ref="O21">IF($BA18="","",INDEX(tblServicios[Fecha],$BA18))</f>
        <v>46245</v>
      </c>
      <c r="P21" s="1" t="str" cm="1">
        <f t="array" ref="P21">IF($BA18="","",INDEX(tblServicios[Contrato],$BA18))</f>
        <v>Ruta extras mañana</v>
      </c>
      <c r="Q21" s="1" t="str" cm="1">
        <f t="array" ref="Q21">IF($BA18="","",INDEX(tblServicios[Vehículo],$BA18))</f>
        <v>Vehículo 01</v>
      </c>
      <c r="R21" s="34" cm="1">
        <f t="array" ref="R21">IF($BA18="","",INDEX(tblServicios[Base imponible (€)],$BA18)-INDEX(tblServicios[Imp. suplemento (€)],$BA18))</f>
        <v>120</v>
      </c>
      <c r="S21" s="34" cm="1">
        <f t="array" ref="S21">IF($BA18="","",INDEX(tblServicios[Imp. suplemento (€)],$BA18))</f>
        <v>0</v>
      </c>
      <c r="T21" cm="1">
        <f t="array" ref="T21">IF($BA18="","",INDEX(tblServicios[Tipo suplemento],$BA18))</f>
        <v>0</v>
      </c>
      <c r="U21" s="34">
        <f t="shared" si="1"/>
        <v>120</v>
      </c>
      <c r="V21" s="1" t="str" cm="1">
        <f t="array" ref="V21">IF($BA18="","",IF(INDEX(tblServicios[Conductor],$BA18)=$T$2,"Conductor","Personal adicional"))</f>
        <v>Conductor</v>
      </c>
      <c r="BA21" s="33" t="str" cm="1">
        <f t="array" ref="BA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adicional]=$T$2))&gt;0)),ROW(A22)),"")</f>
        <v/>
      </c>
    </row>
    <row r="22" spans="15:53" x14ac:dyDescent="0.35">
      <c r="O22" s="1" cm="1">
        <f t="array" ref="O22">IF($BA19="","",INDEX(tblServicios[Fecha],$BA19))</f>
        <v>46244</v>
      </c>
      <c r="P22" s="1" t="str" cm="1">
        <f t="array" ref="P22">IF($BA19="","",INDEX(tblServicios[Contrato],$BA19))</f>
        <v>Ruta extras mañana</v>
      </c>
      <c r="Q22" s="1" t="str" cm="1">
        <f t="array" ref="Q22">IF($BA19="","",INDEX(tblServicios[Vehículo],$BA19))</f>
        <v>Vehículo 01</v>
      </c>
      <c r="R22" s="34" cm="1">
        <f t="array" ref="R22">IF($BA19="","",INDEX(tblServicios[Base imponible (€)],$BA19)-INDEX(tblServicios[Imp. suplemento (€)],$BA19))</f>
        <v>120</v>
      </c>
      <c r="S22" s="34" cm="1">
        <f t="array" ref="S22">IF($BA19="","",INDEX(tblServicios[Imp. suplemento (€)],$BA19))</f>
        <v>0</v>
      </c>
      <c r="T22" cm="1">
        <f t="array" ref="T22">IF($BA19="","",INDEX(tblServicios[Tipo suplemento],$BA19))</f>
        <v>0</v>
      </c>
      <c r="U22" s="34">
        <f t="shared" si="1"/>
        <v>120</v>
      </c>
      <c r="V22" s="1" t="str" cm="1">
        <f t="array" ref="V22">IF($BA19="","",IF(INDEX(tblServicios[Conductor],$BA19)=$T$2,"Conductor","Personal adicional"))</f>
        <v>Conductor</v>
      </c>
      <c r="BA22" s="33" t="str" cm="1">
        <f t="array" ref="BA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adicional]=$T$2))&gt;0)),ROW(A23)),"")</f>
        <v/>
      </c>
    </row>
    <row r="23" spans="15:53" x14ac:dyDescent="0.35">
      <c r="O23" s="1" cm="1">
        <f t="array" ref="O23">IF($BA20="","",INDEX(tblServicios[Fecha],$BA20))</f>
        <v>46237</v>
      </c>
      <c r="P23" s="1" t="str" cm="1">
        <f t="array" ref="P23">IF($BA20="","",INDEX(tblServicios[Contrato],$BA20))</f>
        <v>Ruta extras mañana</v>
      </c>
      <c r="Q23" s="1" t="str" cm="1">
        <f t="array" ref="Q23">IF($BA20="","",INDEX(tblServicios[Vehículo],$BA20))</f>
        <v>Vehículo 01</v>
      </c>
      <c r="R23" s="34" cm="1">
        <f t="array" ref="R23">IF($BA20="","",INDEX(tblServicios[Base imponible (€)],$BA20)-INDEX(tblServicios[Imp. suplemento (€)],$BA20))</f>
        <v>80</v>
      </c>
      <c r="S23" s="34" cm="1">
        <f t="array" ref="S23">IF($BA20="","",INDEX(tblServicios[Imp. suplemento (€)],$BA20))</f>
        <v>0</v>
      </c>
      <c r="T23" cm="1">
        <f t="array" ref="T23">IF($BA20="","",INDEX(tblServicios[Tipo suplemento],$BA20))</f>
        <v>0</v>
      </c>
      <c r="U23" s="34">
        <f t="shared" si="1"/>
        <v>80</v>
      </c>
      <c r="V23" s="1" t="str" cm="1">
        <f t="array" ref="V23">IF($BA20="","",IF(INDEX(tblServicios[Conductor],$BA20)=$T$2,"Conductor","Personal adicional"))</f>
        <v>Conductor</v>
      </c>
      <c r="BA23" s="33" t="str" cm="1">
        <f t="array" ref="BA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adicional]=$T$2))&gt;0)),ROW(A24)),"")</f>
        <v/>
      </c>
    </row>
    <row r="24" spans="15:53" x14ac:dyDescent="0.35">
      <c r="O24" s="1" t="str" cm="1">
        <f t="array" ref="O24">IF($BA21="","",INDEX(tblServicios[Fecha],$BA21))</f>
        <v/>
      </c>
      <c r="P24" s="1" t="str" cm="1">
        <f t="array" ref="P24">IF($BA21="","",INDEX(tblServicios[Contrato],$BA21))</f>
        <v/>
      </c>
      <c r="Q24" s="1" t="str" cm="1">
        <f t="array" ref="Q24">IF($BA21="","",INDEX(tblServicios[Vehículo],$BA21))</f>
        <v/>
      </c>
      <c r="R24" s="34" t="str" cm="1">
        <f t="array" ref="R24">IF($BA21="","",INDEX(tblServicios[Base imponible (€)],$BA21)-INDEX(tblServicios[Imp. suplemento (€)],$BA21))</f>
        <v/>
      </c>
      <c r="S24" s="34" t="str" cm="1">
        <f t="array" ref="S24">IF($BA21="","",INDEX(tblServicios[Imp. suplemento (€)],$BA21))</f>
        <v/>
      </c>
      <c r="T24" t="str" cm="1">
        <f t="array" ref="T24">IF($BA21="","",INDEX(tblServicios[Tipo suplemento],$BA21))</f>
        <v/>
      </c>
      <c r="U24" s="34" t="str">
        <f t="shared" si="1"/>
        <v/>
      </c>
      <c r="V24" s="1" t="str" cm="1">
        <f t="array" ref="V24">IF($BA21="","",IF(INDEX(tblServicios[Conductor],$BA21)=$T$2,"Conductor","Personal adicional"))</f>
        <v/>
      </c>
      <c r="BA24" s="33" t="str" cm="1">
        <f t="array" ref="BA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adicional]=$T$2))&gt;0)),ROW(A25)),"")</f>
        <v/>
      </c>
    </row>
    <row r="25" spans="15:53" x14ac:dyDescent="0.35">
      <c r="O25" s="1" t="str" cm="1">
        <f t="array" ref="O25">IF($BA22="","",INDEX(tblServicios[Fecha],$BA22))</f>
        <v/>
      </c>
      <c r="P25" s="1" t="str" cm="1">
        <f t="array" ref="P25">IF($BA22="","",INDEX(tblServicios[Contrato],$BA22))</f>
        <v/>
      </c>
      <c r="Q25" s="1" t="str" cm="1">
        <f t="array" ref="Q25">IF($BA22="","",INDEX(tblServicios[Vehículo],$BA22))</f>
        <v/>
      </c>
      <c r="R25" s="34" t="str" cm="1">
        <f t="array" ref="R25">IF($BA22="","",INDEX(tblServicios[Base imponible (€)],$BA22)-INDEX(tblServicios[Imp. suplemento (€)],$BA22))</f>
        <v/>
      </c>
      <c r="S25" s="34" t="str" cm="1">
        <f t="array" ref="S25">IF($BA22="","",INDEX(tblServicios[Imp. suplemento (€)],$BA22))</f>
        <v/>
      </c>
      <c r="T25" t="str" cm="1">
        <f t="array" ref="T25">IF($BA22="","",INDEX(tblServicios[Tipo suplemento],$BA22))</f>
        <v/>
      </c>
      <c r="U25" s="34" t="str">
        <f t="shared" si="1"/>
        <v/>
      </c>
      <c r="V25" s="1" t="str" cm="1">
        <f t="array" ref="V25">IF($BA22="","",IF(INDEX(tblServicios[Conductor],$BA22)=$T$2,"Conductor","Personal adicional"))</f>
        <v/>
      </c>
      <c r="BA25" s="33" t="str" cm="1">
        <f t="array" ref="BA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adicional]=$T$2))&gt;0)),ROW(A26)),"")</f>
        <v/>
      </c>
    </row>
    <row r="26" spans="15:53" x14ac:dyDescent="0.35">
      <c r="O26" s="1" t="str" cm="1">
        <f t="array" ref="O26">IF($BA23="","",INDEX(tblServicios[Fecha],$BA23))</f>
        <v/>
      </c>
      <c r="P26" s="1" t="str" cm="1">
        <f t="array" ref="P26">IF($BA23="","",INDEX(tblServicios[Contrato],$BA23))</f>
        <v/>
      </c>
      <c r="Q26" s="1" t="str" cm="1">
        <f t="array" ref="Q26">IF($BA23="","",INDEX(tblServicios[Vehículo],$BA23))</f>
        <v/>
      </c>
      <c r="R26" s="34" t="str" cm="1">
        <f t="array" ref="R26">IF($BA23="","",INDEX(tblServicios[Base imponible (€)],$BA23)-INDEX(tblServicios[Imp. suplemento (€)],$BA23))</f>
        <v/>
      </c>
      <c r="S26" s="34" t="str" cm="1">
        <f t="array" ref="S26">IF($BA23="","",INDEX(tblServicios[Imp. suplemento (€)],$BA23))</f>
        <v/>
      </c>
      <c r="T26" t="str" cm="1">
        <f t="array" ref="T26">IF($BA23="","",INDEX(tblServicios[Tipo suplemento],$BA23))</f>
        <v/>
      </c>
      <c r="U26" s="34" t="str">
        <f t="shared" si="1"/>
        <v/>
      </c>
      <c r="V26" s="1" t="str" cm="1">
        <f t="array" ref="V26">IF($BA23="","",IF(INDEX(tblServicios[Conductor],$BA23)=$T$2,"Conductor","Personal adicional"))</f>
        <v/>
      </c>
      <c r="BA26" s="33" t="str" cm="1">
        <f t="array" ref="BA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adicional]=$T$2))&gt;0)),ROW(A27)),"")</f>
        <v/>
      </c>
    </row>
    <row r="27" spans="15:53" x14ac:dyDescent="0.35">
      <c r="O27" s="1" t="str" cm="1">
        <f t="array" ref="O27">IF($BA24="","",INDEX(tblServicios[Fecha],$BA24))</f>
        <v/>
      </c>
      <c r="P27" s="1" t="str" cm="1">
        <f t="array" ref="P27">IF($BA24="","",INDEX(tblServicios[Contrato],$BA24))</f>
        <v/>
      </c>
      <c r="Q27" s="1" t="str" cm="1">
        <f t="array" ref="Q27">IF($BA24="","",INDEX(tblServicios[Vehículo],$BA24))</f>
        <v/>
      </c>
      <c r="R27" s="34" t="str" cm="1">
        <f t="array" ref="R27">IF($BA24="","",INDEX(tblServicios[Base imponible (€)],$BA24)-INDEX(tblServicios[Imp. suplemento (€)],$BA24))</f>
        <v/>
      </c>
      <c r="S27" s="34" t="str" cm="1">
        <f t="array" ref="S27">IF($BA24="","",INDEX(tblServicios[Imp. suplemento (€)],$BA24))</f>
        <v/>
      </c>
      <c r="T27" t="str" cm="1">
        <f t="array" ref="T27">IF($BA24="","",INDEX(tblServicios[Tipo suplemento],$BA24))</f>
        <v/>
      </c>
      <c r="U27" s="34" t="str">
        <f t="shared" si="1"/>
        <v/>
      </c>
      <c r="V27" s="1" t="str" cm="1">
        <f t="array" ref="V27">IF($BA24="","",IF(INDEX(tblServicios[Conductor],$BA24)=$T$2,"Conductor","Personal adicional"))</f>
        <v/>
      </c>
      <c r="BA27" s="33" t="str" cm="1">
        <f t="array" ref="BA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adicional]=$T$2))&gt;0)),ROW(A28)),"")</f>
        <v/>
      </c>
    </row>
    <row r="28" spans="15:53" x14ac:dyDescent="0.35">
      <c r="O28" s="1" t="str" cm="1">
        <f t="array" ref="O28">IF($BA25="","",INDEX(tblServicios[Fecha],$BA25))</f>
        <v/>
      </c>
      <c r="P28" s="1" t="str" cm="1">
        <f t="array" ref="P28">IF($BA25="","",INDEX(tblServicios[Contrato],$BA25))</f>
        <v/>
      </c>
      <c r="Q28" s="1" t="str" cm="1">
        <f t="array" ref="Q28">IF($BA25="","",INDEX(tblServicios[Vehículo],$BA25))</f>
        <v/>
      </c>
      <c r="R28" s="34" t="str" cm="1">
        <f t="array" ref="R28">IF($BA25="","",INDEX(tblServicios[Base imponible (€)],$BA25)-INDEX(tblServicios[Imp. suplemento (€)],$BA25))</f>
        <v/>
      </c>
      <c r="S28" s="34" t="str" cm="1">
        <f t="array" ref="S28">IF($BA25="","",INDEX(tblServicios[Imp. suplemento (€)],$BA25))</f>
        <v/>
      </c>
      <c r="T28" t="str" cm="1">
        <f t="array" ref="T28">IF($BA25="","",INDEX(tblServicios[Tipo suplemento],$BA25))</f>
        <v/>
      </c>
      <c r="U28" s="34" t="str">
        <f t="shared" si="1"/>
        <v/>
      </c>
      <c r="V28" s="1" t="str" cm="1">
        <f t="array" ref="V28">IF($BA25="","",IF(INDEX(tblServicios[Conductor],$BA25)=$T$2,"Conductor","Personal adicional"))</f>
        <v/>
      </c>
      <c r="BA28" s="33" t="str" cm="1">
        <f t="array" ref="BA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adicional]=$T$2))&gt;0)),ROW(A29)),"")</f>
        <v/>
      </c>
    </row>
    <row r="29" spans="15:53" x14ac:dyDescent="0.35">
      <c r="O29" s="1" t="str" cm="1">
        <f t="array" ref="O29">IF($BA26="","",INDEX(tblServicios[Fecha],$BA26))</f>
        <v/>
      </c>
      <c r="P29" s="1" t="str" cm="1">
        <f t="array" ref="P29">IF($BA26="","",INDEX(tblServicios[Contrato],$BA26))</f>
        <v/>
      </c>
      <c r="Q29" s="1" t="str" cm="1">
        <f t="array" ref="Q29">IF($BA26="","",INDEX(tblServicios[Vehículo],$BA26))</f>
        <v/>
      </c>
      <c r="R29" s="34" t="str" cm="1">
        <f t="array" ref="R29">IF($BA26="","",INDEX(tblServicios[Base imponible (€)],$BA26)-INDEX(tblServicios[Imp. suplemento (€)],$BA26))</f>
        <v/>
      </c>
      <c r="S29" s="34" t="str" cm="1">
        <f t="array" ref="S29">IF($BA26="","",INDEX(tblServicios[Imp. suplemento (€)],$BA26))</f>
        <v/>
      </c>
      <c r="T29" t="str" cm="1">
        <f t="array" ref="T29">IF($BA26="","",INDEX(tblServicios[Tipo suplemento],$BA26))</f>
        <v/>
      </c>
      <c r="U29" s="34" t="str">
        <f t="shared" si="1"/>
        <v/>
      </c>
      <c r="V29" s="1" t="str" cm="1">
        <f t="array" ref="V29">IF($BA26="","",IF(INDEX(tblServicios[Conductor],$BA26)=$T$2,"Conductor","Personal adicional"))</f>
        <v/>
      </c>
      <c r="BA29" s="33" t="str" cm="1">
        <f t="array" ref="BA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adicional]=$T$2))&gt;0)),ROW(A30)),"")</f>
        <v/>
      </c>
    </row>
    <row r="30" spans="15:53" x14ac:dyDescent="0.35">
      <c r="O30" s="1" t="str" cm="1">
        <f t="array" ref="O30">IF($BA27="","",INDEX(tblServicios[Fecha],$BA27))</f>
        <v/>
      </c>
      <c r="P30" s="1" t="str" cm="1">
        <f t="array" ref="P30">IF($BA27="","",INDEX(tblServicios[Contrato],$BA27))</f>
        <v/>
      </c>
      <c r="Q30" s="1" t="str" cm="1">
        <f t="array" ref="Q30">IF($BA27="","",INDEX(tblServicios[Vehículo],$BA27))</f>
        <v/>
      </c>
      <c r="R30" s="34" t="str" cm="1">
        <f t="array" ref="R30">IF($BA27="","",INDEX(tblServicios[Base imponible (€)],$BA27)-INDEX(tblServicios[Imp. suplemento (€)],$BA27))</f>
        <v/>
      </c>
      <c r="S30" s="34" t="str" cm="1">
        <f t="array" ref="S30">IF($BA27="","",INDEX(tblServicios[Imp. suplemento (€)],$BA27))</f>
        <v/>
      </c>
      <c r="T30" t="str" cm="1">
        <f t="array" ref="T30">IF($BA27="","",INDEX(tblServicios[Tipo suplemento],$BA27))</f>
        <v/>
      </c>
      <c r="U30" s="34" t="str">
        <f t="shared" si="1"/>
        <v/>
      </c>
      <c r="V30" s="1" t="str" cm="1">
        <f t="array" ref="V30">IF($BA27="","",IF(INDEX(tblServicios[Conductor],$BA27)=$T$2,"Conductor","Personal adicional"))</f>
        <v/>
      </c>
      <c r="BA30" s="33" t="str" cm="1">
        <f t="array" ref="BA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adicional]=$T$2))&gt;0)),ROW(A31)),"")</f>
        <v/>
      </c>
    </row>
    <row r="31" spans="15:53" x14ac:dyDescent="0.35">
      <c r="O31" s="1" t="str" cm="1">
        <f t="array" ref="O31">IF($BA28="","",INDEX(tblServicios[Fecha],$BA28))</f>
        <v/>
      </c>
      <c r="P31" s="1" t="str" cm="1">
        <f t="array" ref="P31">IF($BA28="","",INDEX(tblServicios[Contrato],$BA28))</f>
        <v/>
      </c>
      <c r="Q31" s="1" t="str" cm="1">
        <f t="array" ref="Q31">IF($BA28="","",INDEX(tblServicios[Vehículo],$BA28))</f>
        <v/>
      </c>
      <c r="R31" s="34" t="str" cm="1">
        <f t="array" ref="R31">IF($BA28="","",INDEX(tblServicios[Base imponible (€)],$BA28)-INDEX(tblServicios[Imp. suplemento (€)],$BA28))</f>
        <v/>
      </c>
      <c r="S31" s="34" t="str" cm="1">
        <f t="array" ref="S31">IF($BA28="","",INDEX(tblServicios[Imp. suplemento (€)],$BA28))</f>
        <v/>
      </c>
      <c r="T31" t="str" cm="1">
        <f t="array" ref="T31">IF($BA28="","",INDEX(tblServicios[Tipo suplemento],$BA28))</f>
        <v/>
      </c>
      <c r="U31" s="34" t="str">
        <f t="shared" si="1"/>
        <v/>
      </c>
      <c r="V31" s="1" t="str" cm="1">
        <f t="array" ref="V31">IF($BA28="","",IF(INDEX(tblServicios[Conductor],$BA28)=$T$2,"Conductor","Personal adicional"))</f>
        <v/>
      </c>
      <c r="BA31" s="33" t="str" cm="1">
        <f t="array" ref="BA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adicional]=$T$2))&gt;0)),ROW(A32)),"")</f>
        <v/>
      </c>
    </row>
    <row r="32" spans="15:53" x14ac:dyDescent="0.35">
      <c r="O32" s="1" t="str" cm="1">
        <f t="array" ref="O32">IF($BA29="","",INDEX(tblServicios[Fecha],$BA29))</f>
        <v/>
      </c>
      <c r="P32" s="1" t="str" cm="1">
        <f t="array" ref="P32">IF($BA29="","",INDEX(tblServicios[Contrato],$BA29))</f>
        <v/>
      </c>
      <c r="Q32" s="1" t="str" cm="1">
        <f t="array" ref="Q32">IF($BA29="","",INDEX(tblServicios[Vehículo],$BA29))</f>
        <v/>
      </c>
      <c r="R32" s="34" t="str" cm="1">
        <f t="array" ref="R32">IF($BA29="","",INDEX(tblServicios[Base imponible (€)],$BA29)-INDEX(tblServicios[Imp. suplemento (€)],$BA29))</f>
        <v/>
      </c>
      <c r="S32" s="34" t="str" cm="1">
        <f t="array" ref="S32">IF($BA29="","",INDEX(tblServicios[Imp. suplemento (€)],$BA29))</f>
        <v/>
      </c>
      <c r="T32" t="str" cm="1">
        <f t="array" ref="T32">IF($BA29="","",INDEX(tblServicios[Tipo suplemento],$BA29))</f>
        <v/>
      </c>
      <c r="U32" s="34" t="str">
        <f t="shared" si="1"/>
        <v/>
      </c>
      <c r="V32" s="1" t="str" cm="1">
        <f t="array" ref="V32">IF($BA29="","",IF(INDEX(tblServicios[Conductor],$BA29)=$T$2,"Conductor","Personal adicional"))</f>
        <v/>
      </c>
      <c r="BA32" s="33" t="str" cm="1">
        <f t="array" ref="BA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adicional]=$T$2))&gt;0)),ROW(A33)),"")</f>
        <v/>
      </c>
    </row>
    <row r="33" spans="15:53" x14ac:dyDescent="0.35">
      <c r="O33" s="1" t="str" cm="1">
        <f t="array" ref="O33">IF($BA30="","",INDEX(tblServicios[Fecha],$BA30))</f>
        <v/>
      </c>
      <c r="P33" s="1" t="str" cm="1">
        <f t="array" ref="P33">IF($BA30="","",INDEX(tblServicios[Contrato],$BA30))</f>
        <v/>
      </c>
      <c r="Q33" s="1" t="str" cm="1">
        <f t="array" ref="Q33">IF($BA30="","",INDEX(tblServicios[Vehículo],$BA30))</f>
        <v/>
      </c>
      <c r="R33" s="34" t="str" cm="1">
        <f t="array" ref="R33">IF($BA30="","",INDEX(tblServicios[Base imponible (€)],$BA30)-INDEX(tblServicios[Imp. suplemento (€)],$BA30))</f>
        <v/>
      </c>
      <c r="S33" s="34" t="str" cm="1">
        <f t="array" ref="S33">IF($BA30="","",INDEX(tblServicios[Imp. suplemento (€)],$BA30))</f>
        <v/>
      </c>
      <c r="T33" t="str" cm="1">
        <f t="array" ref="T33">IF($BA30="","",INDEX(tblServicios[Tipo suplemento],$BA30))</f>
        <v/>
      </c>
      <c r="U33" s="34" t="str">
        <f t="shared" si="1"/>
        <v/>
      </c>
      <c r="V33" s="1" t="str" cm="1">
        <f t="array" ref="V33">IF($BA30="","",IF(INDEX(tblServicios[Conductor],$BA30)=$T$2,"Conductor","Personal adicional"))</f>
        <v/>
      </c>
      <c r="BA33" s="33" t="str" cm="1">
        <f t="array" ref="BA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adicional]=$T$2))&gt;0)),ROW(A34)),"")</f>
        <v/>
      </c>
    </row>
    <row r="34" spans="15:53" x14ac:dyDescent="0.35">
      <c r="O34" s="1" t="str" cm="1">
        <f t="array" ref="O34">IF($BA31="","",INDEX(tblServicios[Fecha],$BA31))</f>
        <v/>
      </c>
      <c r="P34" s="1" t="str" cm="1">
        <f t="array" ref="P34">IF($BA31="","",INDEX(tblServicios[Contrato],$BA31))</f>
        <v/>
      </c>
      <c r="Q34" s="1" t="str" cm="1">
        <f t="array" ref="Q34">IF($BA31="","",INDEX(tblServicios[Vehículo],$BA31))</f>
        <v/>
      </c>
      <c r="R34" s="34" t="str" cm="1">
        <f t="array" ref="R34">IF($BA31="","",INDEX(tblServicios[Base imponible (€)],$BA31)-INDEX(tblServicios[Imp. suplemento (€)],$BA31))</f>
        <v/>
      </c>
      <c r="S34" s="34" t="str" cm="1">
        <f t="array" ref="S34">IF($BA31="","",INDEX(tblServicios[Imp. suplemento (€)],$BA31))</f>
        <v/>
      </c>
      <c r="T34" t="str" cm="1">
        <f t="array" ref="T34">IF($BA31="","",INDEX(tblServicios[Tipo suplemento],$BA31))</f>
        <v/>
      </c>
      <c r="U34" s="34" t="str">
        <f t="shared" si="1"/>
        <v/>
      </c>
      <c r="V34" s="1" t="str" cm="1">
        <f t="array" ref="V34">IF($BA31="","",IF(INDEX(tblServicios[Conductor],$BA31)=$T$2,"Conductor","Personal adicional"))</f>
        <v/>
      </c>
      <c r="BA34" s="33" t="str" cm="1">
        <f t="array" ref="BA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adicional]=$T$2))&gt;0)),ROW(A35)),"")</f>
        <v/>
      </c>
    </row>
    <row r="35" spans="15:53" x14ac:dyDescent="0.35">
      <c r="O35" s="1" t="str" cm="1">
        <f t="array" ref="O35">IF($BA32="","",INDEX(tblServicios[Fecha],$BA32))</f>
        <v/>
      </c>
      <c r="P35" s="1" t="str" cm="1">
        <f t="array" ref="P35">IF($BA32="","",INDEX(tblServicios[Contrato],$BA32))</f>
        <v/>
      </c>
      <c r="Q35" s="1" t="str" cm="1">
        <f t="array" ref="Q35">IF($BA32="","",INDEX(tblServicios[Vehículo],$BA32))</f>
        <v/>
      </c>
      <c r="R35" s="34" t="str" cm="1">
        <f t="array" ref="R35">IF($BA32="","",INDEX(tblServicios[Base imponible (€)],$BA32)-INDEX(tblServicios[Imp. suplemento (€)],$BA32))</f>
        <v/>
      </c>
      <c r="S35" s="34" t="str" cm="1">
        <f t="array" ref="S35">IF($BA32="","",INDEX(tblServicios[Imp. suplemento (€)],$BA32))</f>
        <v/>
      </c>
      <c r="T35" t="str" cm="1">
        <f t="array" ref="T35">IF($BA32="","",INDEX(tblServicios[Tipo suplemento],$BA32))</f>
        <v/>
      </c>
      <c r="U35" s="34" t="str">
        <f t="shared" si="1"/>
        <v/>
      </c>
      <c r="V35" s="1" t="str" cm="1">
        <f t="array" ref="V35">IF($BA32="","",IF(INDEX(tblServicios[Conductor],$BA32)=$T$2,"Conductor","Personal adicional"))</f>
        <v/>
      </c>
      <c r="BA35" s="33" t="str" cm="1">
        <f t="array" ref="BA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adicional]=$T$2))&gt;0)),ROW(A36)),"")</f>
        <v/>
      </c>
    </row>
    <row r="36" spans="15:53" x14ac:dyDescent="0.35">
      <c r="O36" s="1" t="str" cm="1">
        <f t="array" ref="O36">IF($BA33="","",INDEX(tblServicios[Fecha],$BA33))</f>
        <v/>
      </c>
      <c r="P36" s="1" t="str" cm="1">
        <f t="array" ref="P36">IF($BA33="","",INDEX(tblServicios[Contrato],$BA33))</f>
        <v/>
      </c>
      <c r="Q36" s="1" t="str" cm="1">
        <f t="array" ref="Q36">IF($BA33="","",INDEX(tblServicios[Vehículo],$BA33))</f>
        <v/>
      </c>
      <c r="R36" s="34" t="str" cm="1">
        <f t="array" ref="R36">IF($BA33="","",INDEX(tblServicios[Base imponible (€)],$BA33)-INDEX(tblServicios[Imp. suplemento (€)],$BA33))</f>
        <v/>
      </c>
      <c r="S36" s="34" t="str" cm="1">
        <f t="array" ref="S36">IF($BA33="","",INDEX(tblServicios[Imp. suplemento (€)],$BA33))</f>
        <v/>
      </c>
      <c r="T36" t="str" cm="1">
        <f t="array" ref="T36">IF($BA33="","",INDEX(tblServicios[Tipo suplemento],$BA33))</f>
        <v/>
      </c>
      <c r="U36" s="34" t="str">
        <f t="shared" si="1"/>
        <v/>
      </c>
      <c r="V36" s="1" t="str" cm="1">
        <f t="array" ref="V36">IF($BA33="","",IF(INDEX(tblServicios[Conductor],$BA33)=$T$2,"Conductor","Personal adicional"))</f>
        <v/>
      </c>
      <c r="BA36" s="33" t="str" cm="1">
        <f t="array" ref="BA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adicional]=$T$2))&gt;0)),ROW(A37)),"")</f>
        <v/>
      </c>
    </row>
    <row r="37" spans="15:53" x14ac:dyDescent="0.35">
      <c r="O37" s="1" t="str" cm="1">
        <f t="array" ref="O37">IF($BA34="","",INDEX(tblServicios[Fecha],$BA34))</f>
        <v/>
      </c>
      <c r="P37" s="1" t="str" cm="1">
        <f t="array" ref="P37">IF($BA34="","",INDEX(tblServicios[Contrato],$BA34))</f>
        <v/>
      </c>
      <c r="Q37" s="1" t="str" cm="1">
        <f t="array" ref="Q37">IF($BA34="","",INDEX(tblServicios[Vehículo],$BA34))</f>
        <v/>
      </c>
      <c r="R37" s="34" t="str" cm="1">
        <f t="array" ref="R37">IF($BA34="","",INDEX(tblServicios[Base imponible (€)],$BA34)-INDEX(tblServicios[Imp. suplemento (€)],$BA34))</f>
        <v/>
      </c>
      <c r="S37" s="34" t="str" cm="1">
        <f t="array" ref="S37">IF($BA34="","",INDEX(tblServicios[Imp. suplemento (€)],$BA34))</f>
        <v/>
      </c>
      <c r="T37" t="str" cm="1">
        <f t="array" ref="T37">IF($BA34="","",INDEX(tblServicios[Tipo suplemento],$BA34))</f>
        <v/>
      </c>
      <c r="U37" s="34" t="str">
        <f t="shared" si="1"/>
        <v/>
      </c>
      <c r="V37" s="1" t="str" cm="1">
        <f t="array" ref="V37">IF($BA34="","",IF(INDEX(tblServicios[Conductor],$BA34)=$T$2,"Conductor","Personal adicional"))</f>
        <v/>
      </c>
      <c r="BA37" s="33" t="str" cm="1">
        <f t="array" ref="BA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adicional]=$T$2))&gt;0)),ROW(A38)),"")</f>
        <v/>
      </c>
    </row>
    <row r="38" spans="15:53" x14ac:dyDescent="0.35">
      <c r="O38" s="1" t="str" cm="1">
        <f t="array" ref="O38">IF($BA35="","",INDEX(tblServicios[Fecha],$BA35))</f>
        <v/>
      </c>
      <c r="P38" s="1" t="str" cm="1">
        <f t="array" ref="P38">IF($BA35="","",INDEX(tblServicios[Contrato],$BA35))</f>
        <v/>
      </c>
      <c r="Q38" s="1" t="str" cm="1">
        <f t="array" ref="Q38">IF($BA35="","",INDEX(tblServicios[Vehículo],$BA35))</f>
        <v/>
      </c>
      <c r="R38" s="34" t="str" cm="1">
        <f t="array" ref="R38">IF($BA35="","",INDEX(tblServicios[Base imponible (€)],$BA35)-INDEX(tblServicios[Imp. suplemento (€)],$BA35))</f>
        <v/>
      </c>
      <c r="S38" s="34" t="str" cm="1">
        <f t="array" ref="S38">IF($BA35="","",INDEX(tblServicios[Imp. suplemento (€)],$BA35))</f>
        <v/>
      </c>
      <c r="T38" t="str" cm="1">
        <f t="array" ref="T38">IF($BA35="","",INDEX(tblServicios[Tipo suplemento],$BA35))</f>
        <v/>
      </c>
      <c r="U38" s="34" t="str">
        <f t="shared" si="1"/>
        <v/>
      </c>
      <c r="V38" s="1" t="str" cm="1">
        <f t="array" ref="V38">IF($BA35="","",IF(INDEX(tblServicios[Conductor],$BA35)=$T$2,"Conductor","Personal adicional"))</f>
        <v/>
      </c>
      <c r="BA38" s="33" t="str" cm="1">
        <f t="array" ref="BA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adicional]=$T$2))&gt;0)),ROW(A39)),"")</f>
        <v/>
      </c>
    </row>
    <row r="39" spans="15:53" x14ac:dyDescent="0.35">
      <c r="O39" s="1" t="str" cm="1">
        <f t="array" ref="O39">IF($BA36="","",INDEX(tblServicios[Fecha],$BA36))</f>
        <v/>
      </c>
      <c r="P39" s="1" t="str" cm="1">
        <f t="array" ref="P39">IF($BA36="","",INDEX(tblServicios[Contrato],$BA36))</f>
        <v/>
      </c>
      <c r="Q39" s="1" t="str" cm="1">
        <f t="array" ref="Q39">IF($BA36="","",INDEX(tblServicios[Vehículo],$BA36))</f>
        <v/>
      </c>
      <c r="R39" s="34" t="str" cm="1">
        <f t="array" ref="R39">IF($BA36="","",INDEX(tblServicios[Base imponible (€)],$BA36)-INDEX(tblServicios[Imp. suplemento (€)],$BA36))</f>
        <v/>
      </c>
      <c r="S39" s="34" t="str" cm="1">
        <f t="array" ref="S39">IF($BA36="","",INDEX(tblServicios[Imp. suplemento (€)],$BA36))</f>
        <v/>
      </c>
      <c r="T39" t="str" cm="1">
        <f t="array" ref="T39">IF($BA36="","",INDEX(tblServicios[Tipo suplemento],$BA36))</f>
        <v/>
      </c>
      <c r="U39" s="34" t="str">
        <f t="shared" si="1"/>
        <v/>
      </c>
      <c r="V39" s="1" t="str" cm="1">
        <f t="array" ref="V39">IF($BA36="","",IF(INDEX(tblServicios[Conductor],$BA36)=$T$2,"Conductor","Personal adicional"))</f>
        <v/>
      </c>
      <c r="BA39" s="33" t="str" cm="1">
        <f t="array" ref="BA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adicional]=$T$2))&gt;0)),ROW(A40)),"")</f>
        <v/>
      </c>
    </row>
    <row r="40" spans="15:53" x14ac:dyDescent="0.35">
      <c r="O40" s="1" t="str" cm="1">
        <f t="array" ref="O40">IF($BA37="","",INDEX(tblServicios[Fecha],$BA37))</f>
        <v/>
      </c>
      <c r="P40" s="1" t="str" cm="1">
        <f t="array" ref="P40">IF($BA37="","",INDEX(tblServicios[Contrato],$BA37))</f>
        <v/>
      </c>
      <c r="Q40" s="1" t="str" cm="1">
        <f t="array" ref="Q40">IF($BA37="","",INDEX(tblServicios[Vehículo],$BA37))</f>
        <v/>
      </c>
      <c r="R40" s="34" t="str" cm="1">
        <f t="array" ref="R40">IF($BA37="","",INDEX(tblServicios[Base imponible (€)],$BA37)-INDEX(tblServicios[Imp. suplemento (€)],$BA37))</f>
        <v/>
      </c>
      <c r="S40" s="34" t="str" cm="1">
        <f t="array" ref="S40">IF($BA37="","",INDEX(tblServicios[Imp. suplemento (€)],$BA37))</f>
        <v/>
      </c>
      <c r="T40" t="str" cm="1">
        <f t="array" ref="T40">IF($BA37="","",INDEX(tblServicios[Tipo suplemento],$BA37))</f>
        <v/>
      </c>
      <c r="U40" s="34" t="str">
        <f t="shared" si="1"/>
        <v/>
      </c>
      <c r="V40" s="1" t="str" cm="1">
        <f t="array" ref="V40">IF($BA37="","",IF(INDEX(tblServicios[Conductor],$BA37)=$T$2,"Conductor","Personal adicional"))</f>
        <v/>
      </c>
      <c r="BA40" s="33" t="str" cm="1">
        <f t="array" ref="BA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adicional]=$T$2))&gt;0)),ROW(A41)),"")</f>
        <v/>
      </c>
    </row>
    <row r="41" spans="15:53" x14ac:dyDescent="0.35">
      <c r="O41" s="1" t="str" cm="1">
        <f t="array" ref="O41">IF($BA38="","",INDEX(tblServicios[Fecha],$BA38))</f>
        <v/>
      </c>
      <c r="P41" s="1" t="str" cm="1">
        <f t="array" ref="P41">IF($BA38="","",INDEX(tblServicios[Contrato],$BA38))</f>
        <v/>
      </c>
      <c r="Q41" s="1" t="str" cm="1">
        <f t="array" ref="Q41">IF($BA38="","",INDEX(tblServicios[Vehículo],$BA38))</f>
        <v/>
      </c>
      <c r="R41" s="34" t="str" cm="1">
        <f t="array" ref="R41">IF($BA38="","",INDEX(tblServicios[Base imponible (€)],$BA38)-INDEX(tblServicios[Imp. suplemento (€)],$BA38))</f>
        <v/>
      </c>
      <c r="S41" s="34" t="str" cm="1">
        <f t="array" ref="S41">IF($BA38="","",INDEX(tblServicios[Imp. suplemento (€)],$BA38))</f>
        <v/>
      </c>
      <c r="T41" t="str" cm="1">
        <f t="array" ref="T41">IF($BA38="","",INDEX(tblServicios[Tipo suplemento],$BA38))</f>
        <v/>
      </c>
      <c r="U41" s="34" t="str">
        <f t="shared" si="1"/>
        <v/>
      </c>
      <c r="V41" s="1" t="str" cm="1">
        <f t="array" ref="V41">IF($BA38="","",IF(INDEX(tblServicios[Conductor],$BA38)=$T$2,"Conductor","Personal adicional"))</f>
        <v/>
      </c>
      <c r="BA41" s="33" t="str" cm="1">
        <f t="array" ref="BA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adicional]=$T$2))&gt;0)),ROW(A42)),"")</f>
        <v/>
      </c>
    </row>
    <row r="42" spans="15:53" x14ac:dyDescent="0.35">
      <c r="O42" s="1" t="str" cm="1">
        <f t="array" ref="O42">IF($BA39="","",INDEX(tblServicios[Fecha],$BA39))</f>
        <v/>
      </c>
      <c r="P42" s="1" t="str" cm="1">
        <f t="array" ref="P42">IF($BA39="","",INDEX(tblServicios[Contrato],$BA39))</f>
        <v/>
      </c>
      <c r="Q42" s="1" t="str" cm="1">
        <f t="array" ref="Q42">IF($BA39="","",INDEX(tblServicios[Vehículo],$BA39))</f>
        <v/>
      </c>
      <c r="R42" s="34" t="str" cm="1">
        <f t="array" ref="R42">IF($BA39="","",INDEX(tblServicios[Base imponible (€)],$BA39)-INDEX(tblServicios[Imp. suplemento (€)],$BA39))</f>
        <v/>
      </c>
      <c r="S42" s="34" t="str" cm="1">
        <f t="array" ref="S42">IF($BA39="","",INDEX(tblServicios[Imp. suplemento (€)],$BA39))</f>
        <v/>
      </c>
      <c r="T42" t="str" cm="1">
        <f t="array" ref="T42">IF($BA39="","",INDEX(tblServicios[Tipo suplemento],$BA39))</f>
        <v/>
      </c>
      <c r="U42" s="34" t="str">
        <f t="shared" si="1"/>
        <v/>
      </c>
      <c r="V42" s="1" t="str" cm="1">
        <f t="array" ref="V42">IF($BA39="","",IF(INDEX(tblServicios[Conductor],$BA39)=$T$2,"Conductor","Personal adicional"))</f>
        <v/>
      </c>
      <c r="BA42" s="33" t="str" cm="1">
        <f t="array" ref="BA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adicional]=$T$2))&gt;0)),ROW(A43)),"")</f>
        <v/>
      </c>
    </row>
    <row r="43" spans="15:53" x14ac:dyDescent="0.35">
      <c r="O43" s="1" t="str" cm="1">
        <f t="array" ref="O43">IF($BA40="","",INDEX(tblServicios[Fecha],$BA40))</f>
        <v/>
      </c>
      <c r="P43" s="1" t="str" cm="1">
        <f t="array" ref="P43">IF($BA40="","",INDEX(tblServicios[Contrato],$BA40))</f>
        <v/>
      </c>
      <c r="Q43" s="1" t="str" cm="1">
        <f t="array" ref="Q43">IF($BA40="","",INDEX(tblServicios[Vehículo],$BA40))</f>
        <v/>
      </c>
      <c r="R43" s="34" t="str" cm="1">
        <f t="array" ref="R43">IF($BA40="","",INDEX(tblServicios[Base imponible (€)],$BA40)-INDEX(tblServicios[Imp. suplemento (€)],$BA40))</f>
        <v/>
      </c>
      <c r="S43" s="34" t="str" cm="1">
        <f t="array" ref="S43">IF($BA40="","",INDEX(tblServicios[Imp. suplemento (€)],$BA40))</f>
        <v/>
      </c>
      <c r="T43" t="str" cm="1">
        <f t="array" ref="T43">IF($BA40="","",INDEX(tblServicios[Tipo suplemento],$BA40))</f>
        <v/>
      </c>
      <c r="U43" s="34" t="str">
        <f t="shared" si="1"/>
        <v/>
      </c>
      <c r="V43" s="1" t="str" cm="1">
        <f t="array" ref="V43">IF($BA40="","",IF(INDEX(tblServicios[Conductor],$BA40)=$T$2,"Conductor","Personal adicional"))</f>
        <v/>
      </c>
      <c r="BA43" s="33" t="str" cm="1">
        <f t="array" ref="BA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adicional]=$T$2))&gt;0)),ROW(A44)),"")</f>
        <v/>
      </c>
    </row>
    <row r="44" spans="15:53" x14ac:dyDescent="0.35">
      <c r="O44" s="1" t="str" cm="1">
        <f t="array" ref="O44">IF($BA41="","",INDEX(tblServicios[Fecha],$BA41))</f>
        <v/>
      </c>
      <c r="P44" s="1" t="str" cm="1">
        <f t="array" ref="P44">IF($BA41="","",INDEX(tblServicios[Contrato],$BA41))</f>
        <v/>
      </c>
      <c r="Q44" s="1" t="str" cm="1">
        <f t="array" ref="Q44">IF($BA41="","",INDEX(tblServicios[Vehículo],$BA41))</f>
        <v/>
      </c>
      <c r="R44" s="34" t="str" cm="1">
        <f t="array" ref="R44">IF($BA41="","",INDEX(tblServicios[Base imponible (€)],$BA41)-INDEX(tblServicios[Imp. suplemento (€)],$BA41))</f>
        <v/>
      </c>
      <c r="S44" s="34" t="str" cm="1">
        <f t="array" ref="S44">IF($BA41="","",INDEX(tblServicios[Imp. suplemento (€)],$BA41))</f>
        <v/>
      </c>
      <c r="T44" t="str" cm="1">
        <f t="array" ref="T44">IF($BA41="","",INDEX(tblServicios[Tipo suplemento],$BA41))</f>
        <v/>
      </c>
      <c r="U44" s="34" t="str">
        <f t="shared" si="1"/>
        <v/>
      </c>
      <c r="V44" s="1" t="str" cm="1">
        <f t="array" ref="V44">IF($BA41="","",IF(INDEX(tblServicios[Conductor],$BA41)=$T$2,"Conductor","Personal adicional"))</f>
        <v/>
      </c>
      <c r="BA44" s="33" t="str" cm="1">
        <f t="array" ref="BA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adicional]=$T$2))&gt;0)),ROW(A45)),"")</f>
        <v/>
      </c>
    </row>
    <row r="45" spans="15:53" x14ac:dyDescent="0.35">
      <c r="O45" s="1" t="str" cm="1">
        <f t="array" ref="O45">IF($BA42="","",INDEX(tblServicios[Fecha],$BA42))</f>
        <v/>
      </c>
      <c r="P45" s="1" t="str" cm="1">
        <f t="array" ref="P45">IF($BA42="","",INDEX(tblServicios[Contrato],$BA42))</f>
        <v/>
      </c>
      <c r="Q45" s="1" t="str" cm="1">
        <f t="array" ref="Q45">IF($BA42="","",INDEX(tblServicios[Vehículo],$BA42))</f>
        <v/>
      </c>
      <c r="R45" s="34" t="str" cm="1">
        <f t="array" ref="R45">IF($BA42="","",INDEX(tblServicios[Base imponible (€)],$BA42)-INDEX(tblServicios[Imp. suplemento (€)],$BA42))</f>
        <v/>
      </c>
      <c r="S45" s="34" t="str" cm="1">
        <f t="array" ref="S45">IF($BA42="","",INDEX(tblServicios[Imp. suplemento (€)],$BA42))</f>
        <v/>
      </c>
      <c r="T45" t="str" cm="1">
        <f t="array" ref="T45">IF($BA42="","",INDEX(tblServicios[Tipo suplemento],$BA42))</f>
        <v/>
      </c>
      <c r="U45" s="34" t="str">
        <f t="shared" si="1"/>
        <v/>
      </c>
      <c r="V45" s="1" t="str" cm="1">
        <f t="array" ref="V45">IF($BA42="","",IF(INDEX(tblServicios[Conductor],$BA42)=$T$2,"Conductor","Personal adicional"))</f>
        <v/>
      </c>
      <c r="BA45" s="33" t="str" cm="1">
        <f t="array" ref="BA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adicional]=$T$2))&gt;0)),ROW(A46)),"")</f>
        <v/>
      </c>
    </row>
    <row r="46" spans="15:53" x14ac:dyDescent="0.35">
      <c r="O46" s="1" t="str" cm="1">
        <f t="array" ref="O46">IF($BA43="","",INDEX(tblServicios[Fecha],$BA43))</f>
        <v/>
      </c>
      <c r="P46" s="1" t="str" cm="1">
        <f t="array" ref="P46">IF($BA43="","",INDEX(tblServicios[Contrato],$BA43))</f>
        <v/>
      </c>
      <c r="Q46" s="1" t="str" cm="1">
        <f t="array" ref="Q46">IF($BA43="","",INDEX(tblServicios[Vehículo],$BA43))</f>
        <v/>
      </c>
      <c r="R46" s="34" t="str" cm="1">
        <f t="array" ref="R46">IF($BA43="","",INDEX(tblServicios[Base imponible (€)],$BA43)-INDEX(tblServicios[Imp. suplemento (€)],$BA43))</f>
        <v/>
      </c>
      <c r="S46" s="34" t="str" cm="1">
        <f t="array" ref="S46">IF($BA43="","",INDEX(tblServicios[Imp. suplemento (€)],$BA43))</f>
        <v/>
      </c>
      <c r="T46" t="str" cm="1">
        <f t="array" ref="T46">IF($BA43="","",INDEX(tblServicios[Tipo suplemento],$BA43))</f>
        <v/>
      </c>
      <c r="U46" s="34" t="str">
        <f t="shared" si="1"/>
        <v/>
      </c>
      <c r="V46" s="1" t="str" cm="1">
        <f t="array" ref="V46">IF($BA43="","",IF(INDEX(tblServicios[Conductor],$BA43)=$T$2,"Conductor","Personal adicional"))</f>
        <v/>
      </c>
      <c r="BA46" s="33" t="str" cm="1">
        <f t="array" ref="BA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adicional]=$T$2))&gt;0)),ROW(A47)),"")</f>
        <v/>
      </c>
    </row>
    <row r="47" spans="15:53" x14ac:dyDescent="0.35">
      <c r="O47" s="1" t="str" cm="1">
        <f t="array" ref="O47">IF($BA44="","",INDEX(tblServicios[Fecha],$BA44))</f>
        <v/>
      </c>
      <c r="P47" s="1" t="str" cm="1">
        <f t="array" ref="P47">IF($BA44="","",INDEX(tblServicios[Contrato],$BA44))</f>
        <v/>
      </c>
      <c r="Q47" s="1" t="str" cm="1">
        <f t="array" ref="Q47">IF($BA44="","",INDEX(tblServicios[Vehículo],$BA44))</f>
        <v/>
      </c>
      <c r="R47" s="34" t="str" cm="1">
        <f t="array" ref="R47">IF($BA44="","",INDEX(tblServicios[Base imponible (€)],$BA44)-INDEX(tblServicios[Imp. suplemento (€)],$BA44))</f>
        <v/>
      </c>
      <c r="S47" s="34" t="str" cm="1">
        <f t="array" ref="S47">IF($BA44="","",INDEX(tblServicios[Imp. suplemento (€)],$BA44))</f>
        <v/>
      </c>
      <c r="T47" t="str" cm="1">
        <f t="array" ref="T47">IF($BA44="","",INDEX(tblServicios[Tipo suplemento],$BA44))</f>
        <v/>
      </c>
      <c r="U47" s="34" t="str">
        <f t="shared" si="1"/>
        <v/>
      </c>
      <c r="V47" s="1" t="str" cm="1">
        <f t="array" ref="V47">IF($BA44="","",IF(INDEX(tblServicios[Conductor],$BA44)=$T$2,"Conductor","Personal adicional"))</f>
        <v/>
      </c>
      <c r="BA47" s="33" t="str" cm="1">
        <f t="array" ref="BA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adicional]=$T$2))&gt;0)),ROW(A48)),"")</f>
        <v/>
      </c>
    </row>
    <row r="48" spans="15:53" x14ac:dyDescent="0.35">
      <c r="O48" s="1" t="str" cm="1">
        <f t="array" ref="O48">IF($BA45="","",INDEX(tblServicios[Fecha],$BA45))</f>
        <v/>
      </c>
      <c r="P48" s="1" t="str" cm="1">
        <f t="array" ref="P48">IF($BA45="","",INDEX(tblServicios[Contrato],$BA45))</f>
        <v/>
      </c>
      <c r="Q48" s="1" t="str" cm="1">
        <f t="array" ref="Q48">IF($BA45="","",INDEX(tblServicios[Vehículo],$BA45))</f>
        <v/>
      </c>
      <c r="R48" s="34" t="str" cm="1">
        <f t="array" ref="R48">IF($BA45="","",INDEX(tblServicios[Base imponible (€)],$BA45)-INDEX(tblServicios[Imp. suplemento (€)],$BA45))</f>
        <v/>
      </c>
      <c r="S48" s="34" t="str" cm="1">
        <f t="array" ref="S48">IF($BA45="","",INDEX(tblServicios[Imp. suplemento (€)],$BA45))</f>
        <v/>
      </c>
      <c r="T48" t="str" cm="1">
        <f t="array" ref="T48">IF($BA45="","",INDEX(tblServicios[Tipo suplemento],$BA45))</f>
        <v/>
      </c>
      <c r="U48" s="34" t="str">
        <f t="shared" si="1"/>
        <v/>
      </c>
      <c r="V48" s="1" t="str" cm="1">
        <f t="array" ref="V48">IF($BA45="","",IF(INDEX(tblServicios[Conductor],$BA45)=$T$2,"Conductor","Personal adicional"))</f>
        <v/>
      </c>
      <c r="BA48" s="33" t="str" cm="1">
        <f t="array" ref="BA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adicional]=$T$2))&gt;0)),ROW(A49)),"")</f>
        <v/>
      </c>
    </row>
    <row r="49" spans="15:53" x14ac:dyDescent="0.35">
      <c r="O49" s="1" t="str" cm="1">
        <f t="array" ref="O49">IF($BA46="","",INDEX(tblServicios[Fecha],$BA46))</f>
        <v/>
      </c>
      <c r="P49" s="1" t="str" cm="1">
        <f t="array" ref="P49">IF($BA46="","",INDEX(tblServicios[Contrato],$BA46))</f>
        <v/>
      </c>
      <c r="Q49" s="1" t="str" cm="1">
        <f t="array" ref="Q49">IF($BA46="","",INDEX(tblServicios[Vehículo],$BA46))</f>
        <v/>
      </c>
      <c r="R49" s="34" t="str" cm="1">
        <f t="array" ref="R49">IF($BA46="","",INDEX(tblServicios[Base imponible (€)],$BA46)-INDEX(tblServicios[Imp. suplemento (€)],$BA46))</f>
        <v/>
      </c>
      <c r="S49" s="34" t="str" cm="1">
        <f t="array" ref="S49">IF($BA46="","",INDEX(tblServicios[Imp. suplemento (€)],$BA46))</f>
        <v/>
      </c>
      <c r="T49" t="str" cm="1">
        <f t="array" ref="T49">IF($BA46="","",INDEX(tblServicios[Tipo suplemento],$BA46))</f>
        <v/>
      </c>
      <c r="U49" s="34" t="str">
        <f t="shared" si="1"/>
        <v/>
      </c>
      <c r="V49" s="1" t="str" cm="1">
        <f t="array" ref="V49">IF($BA46="","",IF(INDEX(tblServicios[Conductor],$BA46)=$T$2,"Conductor","Personal adicional"))</f>
        <v/>
      </c>
      <c r="BA49" s="33" t="str" cm="1">
        <f t="array" ref="BA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adicional]=$T$2))&gt;0)),ROW(A50)),"")</f>
        <v/>
      </c>
    </row>
    <row r="50" spans="15:53" x14ac:dyDescent="0.35">
      <c r="O50" s="1" t="str" cm="1">
        <f t="array" ref="O50">IF($BA47="","",INDEX(tblServicios[Fecha],$BA47))</f>
        <v/>
      </c>
      <c r="P50" s="1" t="str" cm="1">
        <f t="array" ref="P50">IF($BA47="","",INDEX(tblServicios[Contrato],$BA47))</f>
        <v/>
      </c>
      <c r="Q50" s="1" t="str" cm="1">
        <f t="array" ref="Q50">IF($BA47="","",INDEX(tblServicios[Vehículo],$BA47))</f>
        <v/>
      </c>
      <c r="R50" s="34" t="str" cm="1">
        <f t="array" ref="R50">IF($BA47="","",INDEX(tblServicios[Base imponible (€)],$BA47)-INDEX(tblServicios[Imp. suplemento (€)],$BA47))</f>
        <v/>
      </c>
      <c r="S50" s="34" t="str" cm="1">
        <f t="array" ref="S50">IF($BA47="","",INDEX(tblServicios[Imp. suplemento (€)],$BA47))</f>
        <v/>
      </c>
      <c r="T50" t="str" cm="1">
        <f t="array" ref="T50">IF($BA47="","",INDEX(tblServicios[Tipo suplemento],$BA47))</f>
        <v/>
      </c>
      <c r="U50" s="34" t="str">
        <f t="shared" si="1"/>
        <v/>
      </c>
      <c r="V50" s="1" t="str" cm="1">
        <f t="array" ref="V50">IF($BA47="","",IF(INDEX(tblServicios[Conductor],$BA47)=$T$2,"Conductor","Personal adicional"))</f>
        <v/>
      </c>
      <c r="BA50" s="33" t="str" cm="1">
        <f t="array" ref="BA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adicional]=$T$2))&gt;0)),ROW(A51)),"")</f>
        <v/>
      </c>
    </row>
    <row r="51" spans="15:53" x14ac:dyDescent="0.35">
      <c r="O51" s="1" t="str" cm="1">
        <f t="array" ref="O51">IF($BA48="","",INDEX(tblServicios[Fecha],$BA48))</f>
        <v/>
      </c>
      <c r="P51" s="1" t="str" cm="1">
        <f t="array" ref="P51">IF($BA48="","",INDEX(tblServicios[Contrato],$BA48))</f>
        <v/>
      </c>
      <c r="Q51" s="1" t="str" cm="1">
        <f t="array" ref="Q51">IF($BA48="","",INDEX(tblServicios[Vehículo],$BA48))</f>
        <v/>
      </c>
      <c r="R51" s="34" t="str" cm="1">
        <f t="array" ref="R51">IF($BA48="","",INDEX(tblServicios[Base imponible (€)],$BA48)-INDEX(tblServicios[Imp. suplemento (€)],$BA48))</f>
        <v/>
      </c>
      <c r="S51" s="34" t="str" cm="1">
        <f t="array" ref="S51">IF($BA48="","",INDEX(tblServicios[Imp. suplemento (€)],$BA48))</f>
        <v/>
      </c>
      <c r="T51" t="str" cm="1">
        <f t="array" ref="T51">IF($BA48="","",INDEX(tblServicios[Tipo suplemento],$BA48))</f>
        <v/>
      </c>
      <c r="U51" s="34" t="str">
        <f t="shared" si="1"/>
        <v/>
      </c>
      <c r="V51" s="1" t="str" cm="1">
        <f t="array" ref="V51">IF($BA48="","",IF(INDEX(tblServicios[Conductor],$BA48)=$T$2,"Conductor","Personal adicional"))</f>
        <v/>
      </c>
      <c r="BA51" s="33" t="str" cm="1">
        <f t="array" ref="BA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adicional]=$T$2))&gt;0)),ROW(A52)),"")</f>
        <v/>
      </c>
    </row>
    <row r="52" spans="15:53" x14ac:dyDescent="0.35">
      <c r="O52" s="1" t="str" cm="1">
        <f t="array" ref="O52">IF($BA49="","",INDEX(tblServicios[Fecha],$BA49))</f>
        <v/>
      </c>
      <c r="P52" s="1" t="str" cm="1">
        <f t="array" ref="P52">IF($BA49="","",INDEX(tblServicios[Contrato],$BA49))</f>
        <v/>
      </c>
      <c r="Q52" s="1" t="str" cm="1">
        <f t="array" ref="Q52">IF($BA49="","",INDEX(tblServicios[Vehículo],$BA49))</f>
        <v/>
      </c>
      <c r="R52" s="34" t="str" cm="1">
        <f t="array" ref="R52">IF($BA49="","",INDEX(tblServicios[Base imponible (€)],$BA49)-INDEX(tblServicios[Imp. suplemento (€)],$BA49))</f>
        <v/>
      </c>
      <c r="S52" s="34" t="str" cm="1">
        <f t="array" ref="S52">IF($BA49="","",INDEX(tblServicios[Imp. suplemento (€)],$BA49))</f>
        <v/>
      </c>
      <c r="T52" t="str" cm="1">
        <f t="array" ref="T52">IF($BA49="","",INDEX(tblServicios[Tipo suplemento],$BA49))</f>
        <v/>
      </c>
      <c r="U52" s="34" t="str">
        <f t="shared" si="1"/>
        <v/>
      </c>
      <c r="V52" s="1" t="str" cm="1">
        <f t="array" ref="V52">IF($BA49="","",IF(INDEX(tblServicios[Conductor],$BA49)=$T$2,"Conductor","Personal adicional"))</f>
        <v/>
      </c>
      <c r="BA52" s="33" t="str" cm="1">
        <f t="array" ref="BA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adicional]=$T$2))&gt;0)),ROW(A53)),"")</f>
        <v/>
      </c>
    </row>
    <row r="53" spans="15:53" x14ac:dyDescent="0.35">
      <c r="O53" s="1" t="str" cm="1">
        <f t="array" ref="O53">IF($BA50="","",INDEX(tblServicios[Fecha],$BA50))</f>
        <v/>
      </c>
      <c r="P53" s="1" t="str" cm="1">
        <f t="array" ref="P53">IF($BA50="","",INDEX(tblServicios[Contrato],$BA50))</f>
        <v/>
      </c>
      <c r="Q53" s="1" t="str" cm="1">
        <f t="array" ref="Q53">IF($BA50="","",INDEX(tblServicios[Vehículo],$BA50))</f>
        <v/>
      </c>
      <c r="R53" s="34" t="str" cm="1">
        <f t="array" ref="R53">IF($BA50="","",INDEX(tblServicios[Base imponible (€)],$BA50)-INDEX(tblServicios[Imp. suplemento (€)],$BA50))</f>
        <v/>
      </c>
      <c r="S53" s="34" t="str" cm="1">
        <f t="array" ref="S53">IF($BA50="","",INDEX(tblServicios[Imp. suplemento (€)],$BA50))</f>
        <v/>
      </c>
      <c r="T53" t="str" cm="1">
        <f t="array" ref="T53">IF($BA50="","",INDEX(tblServicios[Tipo suplemento],$BA50))</f>
        <v/>
      </c>
      <c r="U53" s="34" t="str">
        <f t="shared" si="1"/>
        <v/>
      </c>
      <c r="V53" s="1" t="str" cm="1">
        <f t="array" ref="V53">IF($BA50="","",IF(INDEX(tblServicios[Conductor],$BA50)=$T$2,"Conductor","Personal adicional"))</f>
        <v/>
      </c>
      <c r="BA53" s="33" t="str" cm="1">
        <f t="array" ref="BA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adicional]=$T$2))&gt;0)),ROW(A54)),"")</f>
        <v/>
      </c>
    </row>
    <row r="54" spans="15:53" x14ac:dyDescent="0.35">
      <c r="O54" s="1" t="str" cm="1">
        <f t="array" ref="O54">IF($BA51="","",INDEX(tblServicios[Fecha],$BA51))</f>
        <v/>
      </c>
      <c r="P54" s="1" t="str" cm="1">
        <f t="array" ref="P54">IF($BA51="","",INDEX(tblServicios[Contrato],$BA51))</f>
        <v/>
      </c>
      <c r="Q54" s="1" t="str" cm="1">
        <f t="array" ref="Q54">IF($BA51="","",INDEX(tblServicios[Vehículo],$BA51))</f>
        <v/>
      </c>
      <c r="R54" s="34" t="str" cm="1">
        <f t="array" ref="R54">IF($BA51="","",INDEX(tblServicios[Base imponible (€)],$BA51)-INDEX(tblServicios[Imp. suplemento (€)],$BA51))</f>
        <v/>
      </c>
      <c r="S54" s="34" t="str" cm="1">
        <f t="array" ref="S54">IF($BA51="","",INDEX(tblServicios[Imp. suplemento (€)],$BA51))</f>
        <v/>
      </c>
      <c r="T54" t="str" cm="1">
        <f t="array" ref="T54">IF($BA51="","",INDEX(tblServicios[Tipo suplemento],$BA51))</f>
        <v/>
      </c>
      <c r="U54" s="34" t="str">
        <f t="shared" si="1"/>
        <v/>
      </c>
      <c r="V54" s="1" t="str" cm="1">
        <f t="array" ref="V54">IF($BA51="","",IF(INDEX(tblServicios[Conductor],$BA51)=$T$2,"Conductor","Personal adicional"))</f>
        <v/>
      </c>
      <c r="BA54" s="33" t="str" cm="1">
        <f t="array" ref="BA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adicional]=$T$2))&gt;0)),ROW(A55)),"")</f>
        <v/>
      </c>
    </row>
    <row r="55" spans="15:53" x14ac:dyDescent="0.35">
      <c r="O55" s="1" t="str" cm="1">
        <f t="array" ref="O55">IF($BA52="","",INDEX(tblServicios[Fecha],$BA52))</f>
        <v/>
      </c>
      <c r="P55" s="1" t="str" cm="1">
        <f t="array" ref="P55">IF($BA52="","",INDEX(tblServicios[Contrato],$BA52))</f>
        <v/>
      </c>
      <c r="Q55" s="1" t="str" cm="1">
        <f t="array" ref="Q55">IF($BA52="","",INDEX(tblServicios[Vehículo],$BA52))</f>
        <v/>
      </c>
      <c r="R55" s="34" t="str" cm="1">
        <f t="array" ref="R55">IF($BA52="","",INDEX(tblServicios[Base imponible (€)],$BA52)-INDEX(tblServicios[Imp. suplemento (€)],$BA52))</f>
        <v/>
      </c>
      <c r="S55" s="34" t="str" cm="1">
        <f t="array" ref="S55">IF($BA52="","",INDEX(tblServicios[Imp. suplemento (€)],$BA52))</f>
        <v/>
      </c>
      <c r="T55" t="str" cm="1">
        <f t="array" ref="T55">IF($BA52="","",INDEX(tblServicios[Tipo suplemento],$BA52))</f>
        <v/>
      </c>
      <c r="U55" s="34" t="str">
        <f t="shared" si="1"/>
        <v/>
      </c>
      <c r="V55" s="1" t="str" cm="1">
        <f t="array" ref="V55">IF($BA52="","",IF(INDEX(tblServicios[Conductor],$BA52)=$T$2,"Conductor","Personal adicional"))</f>
        <v/>
      </c>
      <c r="BA55" s="33" t="str" cm="1">
        <f t="array" ref="BA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adicional]=$T$2))&gt;0)),ROW(A56)),"")</f>
        <v/>
      </c>
    </row>
    <row r="56" spans="15:53" x14ac:dyDescent="0.35">
      <c r="O56" s="1" t="str" cm="1">
        <f t="array" ref="O56">IF($BA53="","",INDEX(tblServicios[Fecha],$BA53))</f>
        <v/>
      </c>
      <c r="P56" s="1" t="str" cm="1">
        <f t="array" ref="P56">IF($BA53="","",INDEX(tblServicios[Contrato],$BA53))</f>
        <v/>
      </c>
      <c r="Q56" s="1" t="str" cm="1">
        <f t="array" ref="Q56">IF($BA53="","",INDEX(tblServicios[Vehículo],$BA53))</f>
        <v/>
      </c>
      <c r="R56" s="34" t="str" cm="1">
        <f t="array" ref="R56">IF($BA53="","",INDEX(tblServicios[Base imponible (€)],$BA53)-INDEX(tblServicios[Imp. suplemento (€)],$BA53))</f>
        <v/>
      </c>
      <c r="S56" s="34" t="str" cm="1">
        <f t="array" ref="S56">IF($BA53="","",INDEX(tblServicios[Imp. suplemento (€)],$BA53))</f>
        <v/>
      </c>
      <c r="T56" t="str" cm="1">
        <f t="array" ref="T56">IF($BA53="","",INDEX(tblServicios[Tipo suplemento],$BA53))</f>
        <v/>
      </c>
      <c r="U56" s="34" t="str">
        <f t="shared" si="1"/>
        <v/>
      </c>
      <c r="V56" s="1" t="str" cm="1">
        <f t="array" ref="V56">IF($BA53="","",IF(INDEX(tblServicios[Conductor],$BA53)=$T$2,"Conductor","Personal adicional"))</f>
        <v/>
      </c>
      <c r="BA56" s="33" t="str" cm="1">
        <f t="array" ref="BA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adicional]=$T$2))&gt;0)),ROW(A57)),"")</f>
        <v/>
      </c>
    </row>
    <row r="57" spans="15:53" x14ac:dyDescent="0.35">
      <c r="O57" s="1" t="str" cm="1">
        <f t="array" ref="O57">IF($BA54="","",INDEX(tblServicios[Fecha],$BA54))</f>
        <v/>
      </c>
      <c r="P57" s="1" t="str" cm="1">
        <f t="array" ref="P57">IF($BA54="","",INDEX(tblServicios[Contrato],$BA54))</f>
        <v/>
      </c>
      <c r="Q57" s="1" t="str" cm="1">
        <f t="array" ref="Q57">IF($BA54="","",INDEX(tblServicios[Vehículo],$BA54))</f>
        <v/>
      </c>
      <c r="R57" s="34" t="str" cm="1">
        <f t="array" ref="R57">IF($BA54="","",INDEX(tblServicios[Base imponible (€)],$BA54)-INDEX(tblServicios[Imp. suplemento (€)],$BA54))</f>
        <v/>
      </c>
      <c r="S57" s="34" t="str" cm="1">
        <f t="array" ref="S57">IF($BA54="","",INDEX(tblServicios[Imp. suplemento (€)],$BA54))</f>
        <v/>
      </c>
      <c r="T57" t="str" cm="1">
        <f t="array" ref="T57">IF($BA54="","",INDEX(tblServicios[Tipo suplemento],$BA54))</f>
        <v/>
      </c>
      <c r="U57" s="34" t="str">
        <f t="shared" si="1"/>
        <v/>
      </c>
      <c r="V57" s="1" t="str" cm="1">
        <f t="array" ref="V57">IF($BA54="","",IF(INDEX(tblServicios[Conductor],$BA54)=$T$2,"Conductor","Personal adicional"))</f>
        <v/>
      </c>
      <c r="BA57" s="33" t="str" cm="1">
        <f t="array" ref="BA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adicional]=$T$2))&gt;0)),ROW(A58)),"")</f>
        <v/>
      </c>
    </row>
    <row r="58" spans="15:53" x14ac:dyDescent="0.35">
      <c r="O58" s="1" t="str" cm="1">
        <f t="array" ref="O58">IF($BA55="","",INDEX(tblServicios[Fecha],$BA55))</f>
        <v/>
      </c>
      <c r="P58" s="1" t="str" cm="1">
        <f t="array" ref="P58">IF($BA55="","",INDEX(tblServicios[Contrato],$BA55))</f>
        <v/>
      </c>
      <c r="Q58" s="1" t="str" cm="1">
        <f t="array" ref="Q58">IF($BA55="","",INDEX(tblServicios[Vehículo],$BA55))</f>
        <v/>
      </c>
      <c r="R58" s="34" t="str" cm="1">
        <f t="array" ref="R58">IF($BA55="","",INDEX(tblServicios[Base imponible (€)],$BA55)-INDEX(tblServicios[Imp. suplemento (€)],$BA55))</f>
        <v/>
      </c>
      <c r="S58" s="34" t="str" cm="1">
        <f t="array" ref="S58">IF($BA55="","",INDEX(tblServicios[Imp. suplemento (€)],$BA55))</f>
        <v/>
      </c>
      <c r="T58" t="str" cm="1">
        <f t="array" ref="T58">IF($BA55="","",INDEX(tblServicios[Tipo suplemento],$BA55))</f>
        <v/>
      </c>
      <c r="U58" s="34" t="str">
        <f t="shared" si="1"/>
        <v/>
      </c>
      <c r="V58" s="1" t="str" cm="1">
        <f t="array" ref="V58">IF($BA55="","",IF(INDEX(tblServicios[Conductor],$BA55)=$T$2,"Conductor","Personal adicional"))</f>
        <v/>
      </c>
      <c r="BA58" s="33" t="str" cm="1">
        <f t="array" ref="BA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adicional]=$T$2))&gt;0)),ROW(A59)),"")</f>
        <v/>
      </c>
    </row>
    <row r="59" spans="15:53" x14ac:dyDescent="0.35">
      <c r="O59" s="1" t="str" cm="1">
        <f t="array" ref="O59">IF($BA56="","",INDEX(tblServicios[Fecha],$BA56))</f>
        <v/>
      </c>
      <c r="P59" s="1" t="str" cm="1">
        <f t="array" ref="P59">IF($BA56="","",INDEX(tblServicios[Contrato],$BA56))</f>
        <v/>
      </c>
      <c r="Q59" s="1" t="str" cm="1">
        <f t="array" ref="Q59">IF($BA56="","",INDEX(tblServicios[Vehículo],$BA56))</f>
        <v/>
      </c>
      <c r="R59" s="34" t="str" cm="1">
        <f t="array" ref="R59">IF($BA56="","",INDEX(tblServicios[Base imponible (€)],$BA56)-INDEX(tblServicios[Imp. suplemento (€)],$BA56))</f>
        <v/>
      </c>
      <c r="S59" s="34" t="str" cm="1">
        <f t="array" ref="S59">IF($BA56="","",INDEX(tblServicios[Imp. suplemento (€)],$BA56))</f>
        <v/>
      </c>
      <c r="T59" t="str" cm="1">
        <f t="array" ref="T59">IF($BA56="","",INDEX(tblServicios[Tipo suplemento],$BA56))</f>
        <v/>
      </c>
      <c r="U59" s="34" t="str">
        <f t="shared" si="1"/>
        <v/>
      </c>
      <c r="V59" s="1" t="str" cm="1">
        <f t="array" ref="V59">IF($BA56="","",IF(INDEX(tblServicios[Conductor],$BA56)=$T$2,"Conductor","Personal adicional"))</f>
        <v/>
      </c>
      <c r="BA59" s="33" t="str" cm="1">
        <f t="array" ref="BA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adicional]=$T$2))&gt;0)),ROW(A60)),"")</f>
        <v/>
      </c>
    </row>
    <row r="60" spans="15:53" x14ac:dyDescent="0.35">
      <c r="O60" s="1" t="str" cm="1">
        <f t="array" ref="O60">IF($BA57="","",INDEX(tblServicios[Fecha],$BA57))</f>
        <v/>
      </c>
      <c r="P60" s="1" t="str" cm="1">
        <f t="array" ref="P60">IF($BA57="","",INDEX(tblServicios[Contrato],$BA57))</f>
        <v/>
      </c>
      <c r="Q60" s="1" t="str" cm="1">
        <f t="array" ref="Q60">IF($BA57="","",INDEX(tblServicios[Vehículo],$BA57))</f>
        <v/>
      </c>
      <c r="R60" s="34" t="str" cm="1">
        <f t="array" ref="R60">IF($BA57="","",INDEX(tblServicios[Base imponible (€)],$BA57)-INDEX(tblServicios[Imp. suplemento (€)],$BA57))</f>
        <v/>
      </c>
      <c r="S60" s="34" t="str" cm="1">
        <f t="array" ref="S60">IF($BA57="","",INDEX(tblServicios[Imp. suplemento (€)],$BA57))</f>
        <v/>
      </c>
      <c r="T60" t="str" cm="1">
        <f t="array" ref="T60">IF($BA57="","",INDEX(tblServicios[Tipo suplemento],$BA57))</f>
        <v/>
      </c>
      <c r="U60" s="34" t="str">
        <f t="shared" si="1"/>
        <v/>
      </c>
      <c r="V60" s="1" t="str" cm="1">
        <f t="array" ref="V60">IF($BA57="","",IF(INDEX(tblServicios[Conductor],$BA57)=$T$2,"Conductor","Personal adicional"))</f>
        <v/>
      </c>
      <c r="BA60" s="33" t="str" cm="1">
        <f t="array" ref="BA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adicional]=$T$2))&gt;0)),ROW(A61)),"")</f>
        <v/>
      </c>
    </row>
    <row r="61" spans="15:53" x14ac:dyDescent="0.35">
      <c r="O61" s="1" t="str" cm="1">
        <f t="array" ref="O61">IF($BA58="","",INDEX(tblServicios[Fecha],$BA58))</f>
        <v/>
      </c>
      <c r="P61" s="1" t="str" cm="1">
        <f t="array" ref="P61">IF($BA58="","",INDEX(tblServicios[Contrato],$BA58))</f>
        <v/>
      </c>
      <c r="Q61" s="1" t="str" cm="1">
        <f t="array" ref="Q61">IF($BA58="","",INDEX(tblServicios[Vehículo],$BA58))</f>
        <v/>
      </c>
      <c r="R61" s="34" t="str" cm="1">
        <f t="array" ref="R61">IF($BA58="","",INDEX(tblServicios[Base imponible (€)],$BA58)-INDEX(tblServicios[Imp. suplemento (€)],$BA58))</f>
        <v/>
      </c>
      <c r="S61" s="34" t="str" cm="1">
        <f t="array" ref="S61">IF($BA58="","",INDEX(tblServicios[Imp. suplemento (€)],$BA58))</f>
        <v/>
      </c>
      <c r="T61" t="str" cm="1">
        <f t="array" ref="T61">IF($BA58="","",INDEX(tblServicios[Tipo suplemento],$BA58))</f>
        <v/>
      </c>
      <c r="U61" s="34" t="str">
        <f t="shared" si="1"/>
        <v/>
      </c>
      <c r="V61" s="1" t="str" cm="1">
        <f t="array" ref="V61">IF($BA58="","",IF(INDEX(tblServicios[Conductor],$BA58)=$T$2,"Conductor","Personal adicional"))</f>
        <v/>
      </c>
      <c r="BA61" s="33" t="str" cm="1">
        <f t="array" ref="BA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adicional]=$T$2))&gt;0)),ROW(A62)),"")</f>
        <v/>
      </c>
    </row>
    <row r="62" spans="15:53" x14ac:dyDescent="0.35">
      <c r="O62" s="1" t="str" cm="1">
        <f t="array" ref="O62">IF($BA59="","",INDEX(tblServicios[Fecha],$BA59))</f>
        <v/>
      </c>
      <c r="P62" s="1" t="str" cm="1">
        <f t="array" ref="P62">IF($BA59="","",INDEX(tblServicios[Contrato],$BA59))</f>
        <v/>
      </c>
      <c r="Q62" s="1" t="str" cm="1">
        <f t="array" ref="Q62">IF($BA59="","",INDEX(tblServicios[Vehículo],$BA59))</f>
        <v/>
      </c>
      <c r="R62" s="34" t="str" cm="1">
        <f t="array" ref="R62">IF($BA59="","",INDEX(tblServicios[Base imponible (€)],$BA59)-INDEX(tblServicios[Imp. suplemento (€)],$BA59))</f>
        <v/>
      </c>
      <c r="S62" s="34" t="str" cm="1">
        <f t="array" ref="S62">IF($BA59="","",INDEX(tblServicios[Imp. suplemento (€)],$BA59))</f>
        <v/>
      </c>
      <c r="T62" t="str" cm="1">
        <f t="array" ref="T62">IF($BA59="","",INDEX(tblServicios[Tipo suplemento],$BA59))</f>
        <v/>
      </c>
      <c r="U62" s="34" t="str">
        <f t="shared" si="1"/>
        <v/>
      </c>
      <c r="V62" s="1" t="str" cm="1">
        <f t="array" ref="V62">IF($BA59="","",IF(INDEX(tblServicios[Conductor],$BA59)=$T$2,"Conductor","Personal adicional"))</f>
        <v/>
      </c>
      <c r="BA62" s="33" t="str" cm="1">
        <f t="array" ref="BA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adicional]=$T$2))&gt;0)),ROW(A63)),"")</f>
        <v/>
      </c>
    </row>
    <row r="63" spans="15:53" x14ac:dyDescent="0.35">
      <c r="O63" s="1" t="str" cm="1">
        <f t="array" ref="O63">IF($BA60="","",INDEX(tblServicios[Fecha],$BA60))</f>
        <v/>
      </c>
      <c r="P63" s="1" t="str" cm="1">
        <f t="array" ref="P63">IF($BA60="","",INDEX(tblServicios[Contrato],$BA60))</f>
        <v/>
      </c>
      <c r="Q63" s="1" t="str" cm="1">
        <f t="array" ref="Q63">IF($BA60="","",INDEX(tblServicios[Vehículo],$BA60))</f>
        <v/>
      </c>
      <c r="R63" s="34" t="str" cm="1">
        <f t="array" ref="R63">IF($BA60="","",INDEX(tblServicios[Base imponible (€)],$BA60)-INDEX(tblServicios[Imp. suplemento (€)],$BA60))</f>
        <v/>
      </c>
      <c r="S63" s="34" t="str" cm="1">
        <f t="array" ref="S63">IF($BA60="","",INDEX(tblServicios[Imp. suplemento (€)],$BA60))</f>
        <v/>
      </c>
      <c r="T63" t="str" cm="1">
        <f t="array" ref="T63">IF($BA60="","",INDEX(tblServicios[Tipo suplemento],$BA60))</f>
        <v/>
      </c>
      <c r="U63" s="34" t="str">
        <f t="shared" si="1"/>
        <v/>
      </c>
      <c r="V63" s="1" t="str" cm="1">
        <f t="array" ref="V63">IF($BA60="","",IF(INDEX(tblServicios[Conductor],$BA60)=$T$2,"Conductor","Personal adicional"))</f>
        <v/>
      </c>
      <c r="BA63" s="33" t="str" cm="1">
        <f t="array" ref="BA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adicional]=$T$2))&gt;0)),ROW(A64)),"")</f>
        <v/>
      </c>
    </row>
    <row r="64" spans="15:53" x14ac:dyDescent="0.35">
      <c r="O64" s="1" t="str" cm="1">
        <f t="array" ref="O64">IF($BA61="","",INDEX(tblServicios[Fecha],$BA61))</f>
        <v/>
      </c>
      <c r="P64" s="1" t="str" cm="1">
        <f t="array" ref="P64">IF($BA61="","",INDEX(tblServicios[Contrato],$BA61))</f>
        <v/>
      </c>
      <c r="Q64" s="1" t="str" cm="1">
        <f t="array" ref="Q64">IF($BA61="","",INDEX(tblServicios[Vehículo],$BA61))</f>
        <v/>
      </c>
      <c r="R64" s="34" t="str" cm="1">
        <f t="array" ref="R64">IF($BA61="","",INDEX(tblServicios[Base imponible (€)],$BA61)-INDEX(tblServicios[Imp. suplemento (€)],$BA61))</f>
        <v/>
      </c>
      <c r="S64" s="34" t="str" cm="1">
        <f t="array" ref="S64">IF($BA61="","",INDEX(tblServicios[Imp. suplemento (€)],$BA61))</f>
        <v/>
      </c>
      <c r="T64" t="str" cm="1">
        <f t="array" ref="T64">IF($BA61="","",INDEX(tblServicios[Tipo suplemento],$BA61))</f>
        <v/>
      </c>
      <c r="U64" s="34" t="str">
        <f t="shared" si="1"/>
        <v/>
      </c>
      <c r="V64" s="1" t="str" cm="1">
        <f t="array" ref="V64">IF($BA61="","",IF(INDEX(tblServicios[Conductor],$BA61)=$T$2,"Conductor","Personal adicional"))</f>
        <v/>
      </c>
      <c r="BA64" s="33" t="str" cm="1">
        <f t="array" ref="BA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adicional]=$T$2))&gt;0)),ROW(A65)),"")</f>
        <v/>
      </c>
    </row>
    <row r="65" spans="15:53" x14ac:dyDescent="0.35">
      <c r="O65" s="1" t="str" cm="1">
        <f t="array" ref="O65">IF($BA62="","",INDEX(tblServicios[Fecha],$BA62))</f>
        <v/>
      </c>
      <c r="P65" s="1" t="str" cm="1">
        <f t="array" ref="P65">IF($BA62="","",INDEX(tblServicios[Contrato],$BA62))</f>
        <v/>
      </c>
      <c r="Q65" s="1" t="str" cm="1">
        <f t="array" ref="Q65">IF($BA62="","",INDEX(tblServicios[Vehículo],$BA62))</f>
        <v/>
      </c>
      <c r="R65" s="34" t="str" cm="1">
        <f t="array" ref="R65">IF($BA62="","",INDEX(tblServicios[Base imponible (€)],$BA62)-INDEX(tblServicios[Imp. suplemento (€)],$BA62))</f>
        <v/>
      </c>
      <c r="S65" s="34" t="str" cm="1">
        <f t="array" ref="S65">IF($BA62="","",INDEX(tblServicios[Imp. suplemento (€)],$BA62))</f>
        <v/>
      </c>
      <c r="T65" t="str" cm="1">
        <f t="array" ref="T65">IF($BA62="","",INDEX(tblServicios[Tipo suplemento],$BA62))</f>
        <v/>
      </c>
      <c r="U65" s="34" t="str">
        <f t="shared" si="1"/>
        <v/>
      </c>
      <c r="V65" s="1" t="str" cm="1">
        <f t="array" ref="V65">IF($BA62="","",IF(INDEX(tblServicios[Conductor],$BA62)=$T$2,"Conductor","Personal adicional"))</f>
        <v/>
      </c>
      <c r="BA65" s="33" t="str" cm="1">
        <f t="array" ref="BA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adicional]=$T$2))&gt;0)),ROW(A66)),"")</f>
        <v/>
      </c>
    </row>
    <row r="66" spans="15:53" x14ac:dyDescent="0.35">
      <c r="O66" s="1" t="str" cm="1">
        <f t="array" ref="O66">IF($BA63="","",INDEX(tblServicios[Fecha],$BA63))</f>
        <v/>
      </c>
      <c r="P66" s="1" t="str" cm="1">
        <f t="array" ref="P66">IF($BA63="","",INDEX(tblServicios[Contrato],$BA63))</f>
        <v/>
      </c>
      <c r="Q66" s="1" t="str" cm="1">
        <f t="array" ref="Q66">IF($BA63="","",INDEX(tblServicios[Vehículo],$BA63))</f>
        <v/>
      </c>
      <c r="R66" s="34" t="str" cm="1">
        <f t="array" ref="R66">IF($BA63="","",INDEX(tblServicios[Base imponible (€)],$BA63)-INDEX(tblServicios[Imp. suplemento (€)],$BA63))</f>
        <v/>
      </c>
      <c r="S66" s="34" t="str" cm="1">
        <f t="array" ref="S66">IF($BA63="","",INDEX(tblServicios[Imp. suplemento (€)],$BA63))</f>
        <v/>
      </c>
      <c r="T66" t="str" cm="1">
        <f t="array" ref="T66">IF($BA63="","",INDEX(tblServicios[Tipo suplemento],$BA63))</f>
        <v/>
      </c>
      <c r="U66" s="34" t="str">
        <f t="shared" si="1"/>
        <v/>
      </c>
      <c r="V66" s="1" t="str" cm="1">
        <f t="array" ref="V66">IF($BA63="","",IF(INDEX(tblServicios[Conductor],$BA63)=$T$2,"Conductor","Personal adicional"))</f>
        <v/>
      </c>
      <c r="BA66" s="33" t="str" cm="1">
        <f t="array" ref="BA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adicional]=$T$2))&gt;0)),ROW(A67)),"")</f>
        <v/>
      </c>
    </row>
    <row r="67" spans="15:53" x14ac:dyDescent="0.35">
      <c r="O67" s="1" t="str" cm="1">
        <f t="array" ref="O67">IF($BA64="","",INDEX(tblServicios[Fecha],$BA64))</f>
        <v/>
      </c>
      <c r="P67" s="1" t="str" cm="1">
        <f t="array" ref="P67">IF($BA64="","",INDEX(tblServicios[Contrato],$BA64))</f>
        <v/>
      </c>
      <c r="Q67" s="1" t="str" cm="1">
        <f t="array" ref="Q67">IF($BA64="","",INDEX(tblServicios[Vehículo],$BA64))</f>
        <v/>
      </c>
      <c r="R67" s="34" t="str" cm="1">
        <f t="array" ref="R67">IF($BA64="","",INDEX(tblServicios[Base imponible (€)],$BA64)-INDEX(tblServicios[Imp. suplemento (€)],$BA64))</f>
        <v/>
      </c>
      <c r="S67" s="34" t="str" cm="1">
        <f t="array" ref="S67">IF($BA64="","",INDEX(tblServicios[Imp. suplemento (€)],$BA64))</f>
        <v/>
      </c>
      <c r="T67" t="str" cm="1">
        <f t="array" ref="T67">IF($BA64="","",INDEX(tblServicios[Tipo suplemento],$BA64))</f>
        <v/>
      </c>
      <c r="U67" s="34" t="str">
        <f t="shared" si="1"/>
        <v/>
      </c>
      <c r="V67" s="1" t="str" cm="1">
        <f t="array" ref="V67">IF($BA64="","",IF(INDEX(tblServicios[Conductor],$BA64)=$T$2,"Conductor","Personal adicional"))</f>
        <v/>
      </c>
      <c r="BA67" s="33" t="str" cm="1">
        <f t="array" ref="BA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adicional]=$T$2))&gt;0)),ROW(A68)),"")</f>
        <v/>
      </c>
    </row>
    <row r="68" spans="15:53" x14ac:dyDescent="0.35">
      <c r="O68" s="1" t="str" cm="1">
        <f t="array" ref="O68">IF($BA65="","",INDEX(tblServicios[Fecha],$BA65))</f>
        <v/>
      </c>
      <c r="P68" s="1" t="str" cm="1">
        <f t="array" ref="P68">IF($BA65="","",INDEX(tblServicios[Contrato],$BA65))</f>
        <v/>
      </c>
      <c r="Q68" s="1" t="str" cm="1">
        <f t="array" ref="Q68">IF($BA65="","",INDEX(tblServicios[Vehículo],$BA65))</f>
        <v/>
      </c>
      <c r="R68" s="34" t="str" cm="1">
        <f t="array" ref="R68">IF($BA65="","",INDEX(tblServicios[Base imponible (€)],$BA65)-INDEX(tblServicios[Imp. suplemento (€)],$BA65))</f>
        <v/>
      </c>
      <c r="S68" s="34" t="str" cm="1">
        <f t="array" ref="S68">IF($BA65="","",INDEX(tblServicios[Imp. suplemento (€)],$BA65))</f>
        <v/>
      </c>
      <c r="T68" t="str" cm="1">
        <f t="array" ref="T68">IF($BA65="","",INDEX(tblServicios[Tipo suplemento],$BA65))</f>
        <v/>
      </c>
      <c r="U68" s="34" t="str">
        <f t="shared" si="1"/>
        <v/>
      </c>
      <c r="V68" s="1" t="str" cm="1">
        <f t="array" ref="V68">IF($BA65="","",IF(INDEX(tblServicios[Conductor],$BA65)=$T$2,"Conductor","Personal adicional"))</f>
        <v/>
      </c>
      <c r="BA68" s="33" t="str" cm="1">
        <f t="array" ref="BA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adicional]=$T$2))&gt;0)),ROW(A69)),"")</f>
        <v/>
      </c>
    </row>
    <row r="69" spans="15:53" x14ac:dyDescent="0.35">
      <c r="O69" s="1" t="str" cm="1">
        <f t="array" ref="O69">IF($BA66="","",INDEX(tblServicios[Fecha],$BA66))</f>
        <v/>
      </c>
      <c r="P69" s="1" t="str" cm="1">
        <f t="array" ref="P69">IF($BA66="","",INDEX(tblServicios[Contrato],$BA66))</f>
        <v/>
      </c>
      <c r="Q69" s="1" t="str" cm="1">
        <f t="array" ref="Q69">IF($BA66="","",INDEX(tblServicios[Vehículo],$BA66))</f>
        <v/>
      </c>
      <c r="R69" s="34" t="str" cm="1">
        <f t="array" ref="R69">IF($BA66="","",INDEX(tblServicios[Base imponible (€)],$BA66)-INDEX(tblServicios[Imp. suplemento (€)],$BA66))</f>
        <v/>
      </c>
      <c r="S69" s="34" t="str" cm="1">
        <f t="array" ref="S69">IF($BA66="","",INDEX(tblServicios[Imp. suplemento (€)],$BA66))</f>
        <v/>
      </c>
      <c r="T69" t="str" cm="1">
        <f t="array" ref="T69">IF($BA66="","",INDEX(tblServicios[Tipo suplemento],$BA66))</f>
        <v/>
      </c>
      <c r="U69" s="34" t="str">
        <f t="shared" si="1"/>
        <v/>
      </c>
      <c r="V69" s="1" t="str" cm="1">
        <f t="array" ref="V69">IF($BA66="","",IF(INDEX(tblServicios[Conductor],$BA66)=$T$2,"Conductor","Personal adicional"))</f>
        <v/>
      </c>
      <c r="BA69" s="33" t="str" cm="1">
        <f t="array" ref="BA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adicional]=$T$2))&gt;0)),ROW(A70)),"")</f>
        <v/>
      </c>
    </row>
    <row r="70" spans="15:53" x14ac:dyDescent="0.35">
      <c r="O70" s="1" t="str" cm="1">
        <f t="array" ref="O70">IF($BA67="","",INDEX(tblServicios[Fecha],$BA67))</f>
        <v/>
      </c>
      <c r="P70" s="1" t="str" cm="1">
        <f t="array" ref="P70">IF($BA67="","",INDEX(tblServicios[Contrato],$BA67))</f>
        <v/>
      </c>
      <c r="Q70" s="1" t="str" cm="1">
        <f t="array" ref="Q70">IF($BA67="","",INDEX(tblServicios[Vehículo],$BA67))</f>
        <v/>
      </c>
      <c r="R70" s="34" t="str" cm="1">
        <f t="array" ref="R70">IF($BA67="","",INDEX(tblServicios[Base imponible (€)],$BA67)-INDEX(tblServicios[Imp. suplemento (€)],$BA67))</f>
        <v/>
      </c>
      <c r="S70" s="34" t="str" cm="1">
        <f t="array" ref="S70">IF($BA67="","",INDEX(tblServicios[Imp. suplemento (€)],$BA67))</f>
        <v/>
      </c>
      <c r="T70" t="str" cm="1">
        <f t="array" ref="T70">IF($BA67="","",INDEX(tblServicios[Tipo suplemento],$BA67))</f>
        <v/>
      </c>
      <c r="U70" s="34" t="str">
        <f t="shared" si="1"/>
        <v/>
      </c>
      <c r="V70" s="1" t="str" cm="1">
        <f t="array" ref="V70">IF($BA67="","",IF(INDEX(tblServicios[Conductor],$BA67)=$T$2,"Conductor","Personal adicional"))</f>
        <v/>
      </c>
      <c r="BA70" s="33" t="str" cm="1">
        <f t="array" ref="BA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adicional]=$T$2))&gt;0)),ROW(A71)),"")</f>
        <v/>
      </c>
    </row>
    <row r="71" spans="15:53" x14ac:dyDescent="0.35">
      <c r="O71" s="1" t="str" cm="1">
        <f t="array" ref="O71">IF($BA68="","",INDEX(tblServicios[Fecha],$BA68))</f>
        <v/>
      </c>
      <c r="P71" s="1" t="str" cm="1">
        <f t="array" ref="P71">IF($BA68="","",INDEX(tblServicios[Contrato],$BA68))</f>
        <v/>
      </c>
      <c r="Q71" s="1" t="str" cm="1">
        <f t="array" ref="Q71">IF($BA68="","",INDEX(tblServicios[Vehículo],$BA68))</f>
        <v/>
      </c>
      <c r="R71" s="34" t="str" cm="1">
        <f t="array" ref="R71">IF($BA68="","",INDEX(tblServicios[Base imponible (€)],$BA68)-INDEX(tblServicios[Imp. suplemento (€)],$BA68))</f>
        <v/>
      </c>
      <c r="S71" s="34" t="str" cm="1">
        <f t="array" ref="S71">IF($BA68="","",INDEX(tblServicios[Imp. suplemento (€)],$BA68))</f>
        <v/>
      </c>
      <c r="T71" t="str" cm="1">
        <f t="array" ref="T71">IF($BA68="","",INDEX(tblServicios[Tipo suplemento],$BA68))</f>
        <v/>
      </c>
      <c r="U71" s="34" t="str">
        <f t="shared" ref="U71:U134" si="2">IF($BA68="","",R71+S71)</f>
        <v/>
      </c>
      <c r="V71" s="1" t="str" cm="1">
        <f t="array" ref="V71">IF($BA68="","",IF(INDEX(tblServicios[Conductor],$BA68)=$T$2,"Conductor","Personal adicional"))</f>
        <v/>
      </c>
      <c r="BA71" s="33" t="str" cm="1">
        <f t="array" ref="BA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adicional]=$T$2))&gt;0)),ROW(A72)),"")</f>
        <v/>
      </c>
    </row>
    <row r="72" spans="15:53" x14ac:dyDescent="0.35">
      <c r="O72" s="1" t="str" cm="1">
        <f t="array" ref="O72">IF($BA69="","",INDEX(tblServicios[Fecha],$BA69))</f>
        <v/>
      </c>
      <c r="P72" s="1" t="str" cm="1">
        <f t="array" ref="P72">IF($BA69="","",INDEX(tblServicios[Contrato],$BA69))</f>
        <v/>
      </c>
      <c r="Q72" s="1" t="str" cm="1">
        <f t="array" ref="Q72">IF($BA69="","",INDEX(tblServicios[Vehículo],$BA69))</f>
        <v/>
      </c>
      <c r="R72" s="34" t="str" cm="1">
        <f t="array" ref="R72">IF($BA69="","",INDEX(tblServicios[Base imponible (€)],$BA69)-INDEX(tblServicios[Imp. suplemento (€)],$BA69))</f>
        <v/>
      </c>
      <c r="S72" s="34" t="str" cm="1">
        <f t="array" ref="S72">IF($BA69="","",INDEX(tblServicios[Imp. suplemento (€)],$BA69))</f>
        <v/>
      </c>
      <c r="T72" t="str" cm="1">
        <f t="array" ref="T72">IF($BA69="","",INDEX(tblServicios[Tipo suplemento],$BA69))</f>
        <v/>
      </c>
      <c r="U72" s="34" t="str">
        <f t="shared" si="2"/>
        <v/>
      </c>
      <c r="V72" s="1" t="str" cm="1">
        <f t="array" ref="V72">IF($BA69="","",IF(INDEX(tblServicios[Conductor],$BA69)=$T$2,"Conductor","Personal adicional"))</f>
        <v/>
      </c>
      <c r="BA72" s="33" t="str" cm="1">
        <f t="array" ref="BA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adicional]=$T$2))&gt;0)),ROW(A73)),"")</f>
        <v/>
      </c>
    </row>
    <row r="73" spans="15:53" x14ac:dyDescent="0.35">
      <c r="O73" s="1" t="str" cm="1">
        <f t="array" ref="O73">IF($BA70="","",INDEX(tblServicios[Fecha],$BA70))</f>
        <v/>
      </c>
      <c r="P73" s="1" t="str" cm="1">
        <f t="array" ref="P73">IF($BA70="","",INDEX(tblServicios[Contrato],$BA70))</f>
        <v/>
      </c>
      <c r="Q73" s="1" t="str" cm="1">
        <f t="array" ref="Q73">IF($BA70="","",INDEX(tblServicios[Vehículo],$BA70))</f>
        <v/>
      </c>
      <c r="R73" s="34" t="str" cm="1">
        <f t="array" ref="R73">IF($BA70="","",INDEX(tblServicios[Base imponible (€)],$BA70)-INDEX(tblServicios[Imp. suplemento (€)],$BA70))</f>
        <v/>
      </c>
      <c r="S73" s="34" t="str" cm="1">
        <f t="array" ref="S73">IF($BA70="","",INDEX(tblServicios[Imp. suplemento (€)],$BA70))</f>
        <v/>
      </c>
      <c r="T73" t="str" cm="1">
        <f t="array" ref="T73">IF($BA70="","",INDEX(tblServicios[Tipo suplemento],$BA70))</f>
        <v/>
      </c>
      <c r="U73" s="34" t="str">
        <f t="shared" si="2"/>
        <v/>
      </c>
      <c r="V73" s="1" t="str" cm="1">
        <f t="array" ref="V73">IF($BA70="","",IF(INDEX(tblServicios[Conductor],$BA70)=$T$2,"Conductor","Personal adicional"))</f>
        <v/>
      </c>
      <c r="BA73" s="33" t="str" cm="1">
        <f t="array" ref="BA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adicional]=$T$2))&gt;0)),ROW(A74)),"")</f>
        <v/>
      </c>
    </row>
    <row r="74" spans="15:53" x14ac:dyDescent="0.35">
      <c r="O74" s="1" t="str" cm="1">
        <f t="array" ref="O74">IF($BA71="","",INDEX(tblServicios[Fecha],$BA71))</f>
        <v/>
      </c>
      <c r="P74" s="1" t="str" cm="1">
        <f t="array" ref="P74">IF($BA71="","",INDEX(tblServicios[Contrato],$BA71))</f>
        <v/>
      </c>
      <c r="Q74" s="1" t="str" cm="1">
        <f t="array" ref="Q74">IF($BA71="","",INDEX(tblServicios[Vehículo],$BA71))</f>
        <v/>
      </c>
      <c r="R74" s="34" t="str" cm="1">
        <f t="array" ref="R74">IF($BA71="","",INDEX(tblServicios[Base imponible (€)],$BA71)-INDEX(tblServicios[Imp. suplemento (€)],$BA71))</f>
        <v/>
      </c>
      <c r="S74" s="34" t="str" cm="1">
        <f t="array" ref="S74">IF($BA71="","",INDEX(tblServicios[Imp. suplemento (€)],$BA71))</f>
        <v/>
      </c>
      <c r="T74" t="str" cm="1">
        <f t="array" ref="T74">IF($BA71="","",INDEX(tblServicios[Tipo suplemento],$BA71))</f>
        <v/>
      </c>
      <c r="U74" s="34" t="str">
        <f t="shared" si="2"/>
        <v/>
      </c>
      <c r="V74" s="1" t="str" cm="1">
        <f t="array" ref="V74">IF($BA71="","",IF(INDEX(tblServicios[Conductor],$BA71)=$T$2,"Conductor","Personal adicional"))</f>
        <v/>
      </c>
      <c r="BA74" s="33" t="str" cm="1">
        <f t="array" ref="BA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adicional]=$T$2))&gt;0)),ROW(A75)),"")</f>
        <v/>
      </c>
    </row>
    <row r="75" spans="15:53" x14ac:dyDescent="0.35">
      <c r="O75" s="1" t="str" cm="1">
        <f t="array" ref="O75">IF($BA72="","",INDEX(tblServicios[Fecha],$BA72))</f>
        <v/>
      </c>
      <c r="P75" s="1" t="str" cm="1">
        <f t="array" ref="P75">IF($BA72="","",INDEX(tblServicios[Contrato],$BA72))</f>
        <v/>
      </c>
      <c r="Q75" s="1" t="str" cm="1">
        <f t="array" ref="Q75">IF($BA72="","",INDEX(tblServicios[Vehículo],$BA72))</f>
        <v/>
      </c>
      <c r="R75" s="34" t="str" cm="1">
        <f t="array" ref="R75">IF($BA72="","",INDEX(tblServicios[Base imponible (€)],$BA72)-INDEX(tblServicios[Imp. suplemento (€)],$BA72))</f>
        <v/>
      </c>
      <c r="S75" s="34" t="str" cm="1">
        <f t="array" ref="S75">IF($BA72="","",INDEX(tblServicios[Imp. suplemento (€)],$BA72))</f>
        <v/>
      </c>
      <c r="T75" t="str" cm="1">
        <f t="array" ref="T75">IF($BA72="","",INDEX(tblServicios[Tipo suplemento],$BA72))</f>
        <v/>
      </c>
      <c r="U75" s="34" t="str">
        <f t="shared" si="2"/>
        <v/>
      </c>
      <c r="V75" s="1" t="str" cm="1">
        <f t="array" ref="V75">IF($BA72="","",IF(INDEX(tblServicios[Conductor],$BA72)=$T$2,"Conductor","Personal adicional"))</f>
        <v/>
      </c>
      <c r="BA75" s="33" t="str" cm="1">
        <f t="array" ref="BA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adicional]=$T$2))&gt;0)),ROW(A76)),"")</f>
        <v/>
      </c>
    </row>
    <row r="76" spans="15:53" x14ac:dyDescent="0.35">
      <c r="O76" s="1" t="str" cm="1">
        <f t="array" ref="O76">IF($BA73="","",INDEX(tblServicios[Fecha],$BA73))</f>
        <v/>
      </c>
      <c r="P76" s="1" t="str" cm="1">
        <f t="array" ref="P76">IF($BA73="","",INDEX(tblServicios[Contrato],$BA73))</f>
        <v/>
      </c>
      <c r="Q76" s="1" t="str" cm="1">
        <f t="array" ref="Q76">IF($BA73="","",INDEX(tblServicios[Vehículo],$BA73))</f>
        <v/>
      </c>
      <c r="R76" s="34" t="str" cm="1">
        <f t="array" ref="R76">IF($BA73="","",INDEX(tblServicios[Base imponible (€)],$BA73)-INDEX(tblServicios[Imp. suplemento (€)],$BA73))</f>
        <v/>
      </c>
      <c r="S76" s="34" t="str" cm="1">
        <f t="array" ref="S76">IF($BA73="","",INDEX(tblServicios[Imp. suplemento (€)],$BA73))</f>
        <v/>
      </c>
      <c r="T76" t="str" cm="1">
        <f t="array" ref="T76">IF($BA73="","",INDEX(tblServicios[Tipo suplemento],$BA73))</f>
        <v/>
      </c>
      <c r="U76" s="34" t="str">
        <f t="shared" si="2"/>
        <v/>
      </c>
      <c r="V76" s="1" t="str" cm="1">
        <f t="array" ref="V76">IF($BA73="","",IF(INDEX(tblServicios[Conductor],$BA73)=$T$2,"Conductor","Personal adicional"))</f>
        <v/>
      </c>
      <c r="BA76" s="33" t="str" cm="1">
        <f t="array" ref="BA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adicional]=$T$2))&gt;0)),ROW(A77)),"")</f>
        <v/>
      </c>
    </row>
    <row r="77" spans="15:53" x14ac:dyDescent="0.35">
      <c r="O77" s="1" t="str" cm="1">
        <f t="array" ref="O77">IF($BA74="","",INDEX(tblServicios[Fecha],$BA74))</f>
        <v/>
      </c>
      <c r="P77" s="1" t="str" cm="1">
        <f t="array" ref="P77">IF($BA74="","",INDEX(tblServicios[Contrato],$BA74))</f>
        <v/>
      </c>
      <c r="Q77" s="1" t="str" cm="1">
        <f t="array" ref="Q77">IF($BA74="","",INDEX(tblServicios[Vehículo],$BA74))</f>
        <v/>
      </c>
      <c r="R77" s="34" t="str" cm="1">
        <f t="array" ref="R77">IF($BA74="","",INDEX(tblServicios[Base imponible (€)],$BA74)-INDEX(tblServicios[Imp. suplemento (€)],$BA74))</f>
        <v/>
      </c>
      <c r="S77" s="34" t="str" cm="1">
        <f t="array" ref="S77">IF($BA74="","",INDEX(tblServicios[Imp. suplemento (€)],$BA74))</f>
        <v/>
      </c>
      <c r="T77" t="str" cm="1">
        <f t="array" ref="T77">IF($BA74="","",INDEX(tblServicios[Tipo suplemento],$BA74))</f>
        <v/>
      </c>
      <c r="U77" s="34" t="str">
        <f t="shared" si="2"/>
        <v/>
      </c>
      <c r="V77" s="1" t="str" cm="1">
        <f t="array" ref="V77">IF($BA74="","",IF(INDEX(tblServicios[Conductor],$BA74)=$T$2,"Conductor","Personal adicional"))</f>
        <v/>
      </c>
      <c r="BA77" s="33" t="str" cm="1">
        <f t="array" ref="BA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adicional]=$T$2))&gt;0)),ROW(A78)),"")</f>
        <v/>
      </c>
    </row>
    <row r="78" spans="15:53" x14ac:dyDescent="0.35">
      <c r="O78" s="1" t="str" cm="1">
        <f t="array" ref="O78">IF($BA75="","",INDEX(tblServicios[Fecha],$BA75))</f>
        <v/>
      </c>
      <c r="P78" s="1" t="str" cm="1">
        <f t="array" ref="P78">IF($BA75="","",INDEX(tblServicios[Contrato],$BA75))</f>
        <v/>
      </c>
      <c r="Q78" s="1" t="str" cm="1">
        <f t="array" ref="Q78">IF($BA75="","",INDEX(tblServicios[Vehículo],$BA75))</f>
        <v/>
      </c>
      <c r="R78" s="34" t="str" cm="1">
        <f t="array" ref="R78">IF($BA75="","",INDEX(tblServicios[Base imponible (€)],$BA75)-INDEX(tblServicios[Imp. suplemento (€)],$BA75))</f>
        <v/>
      </c>
      <c r="S78" s="34" t="str" cm="1">
        <f t="array" ref="S78">IF($BA75="","",INDEX(tblServicios[Imp. suplemento (€)],$BA75))</f>
        <v/>
      </c>
      <c r="T78" t="str" cm="1">
        <f t="array" ref="T78">IF($BA75="","",INDEX(tblServicios[Tipo suplemento],$BA75))</f>
        <v/>
      </c>
      <c r="U78" s="34" t="str">
        <f t="shared" si="2"/>
        <v/>
      </c>
      <c r="V78" s="1" t="str" cm="1">
        <f t="array" ref="V78">IF($BA75="","",IF(INDEX(tblServicios[Conductor],$BA75)=$T$2,"Conductor","Personal adicional"))</f>
        <v/>
      </c>
      <c r="BA78" s="33" t="str" cm="1">
        <f t="array" ref="BA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adicional]=$T$2))&gt;0)),ROW(A79)),"")</f>
        <v/>
      </c>
    </row>
    <row r="79" spans="15:53" x14ac:dyDescent="0.35">
      <c r="O79" s="1" t="str" cm="1">
        <f t="array" ref="O79">IF($BA76="","",INDEX(tblServicios[Fecha],$BA76))</f>
        <v/>
      </c>
      <c r="P79" s="1" t="str" cm="1">
        <f t="array" ref="P79">IF($BA76="","",INDEX(tblServicios[Contrato],$BA76))</f>
        <v/>
      </c>
      <c r="Q79" s="1" t="str" cm="1">
        <f t="array" ref="Q79">IF($BA76="","",INDEX(tblServicios[Vehículo],$BA76))</f>
        <v/>
      </c>
      <c r="R79" s="34" t="str" cm="1">
        <f t="array" ref="R79">IF($BA76="","",INDEX(tblServicios[Base imponible (€)],$BA76)-INDEX(tblServicios[Imp. suplemento (€)],$BA76))</f>
        <v/>
      </c>
      <c r="S79" s="34" t="str" cm="1">
        <f t="array" ref="S79">IF($BA76="","",INDEX(tblServicios[Imp. suplemento (€)],$BA76))</f>
        <v/>
      </c>
      <c r="T79" t="str" cm="1">
        <f t="array" ref="T79">IF($BA76="","",INDEX(tblServicios[Tipo suplemento],$BA76))</f>
        <v/>
      </c>
      <c r="U79" s="34" t="str">
        <f t="shared" si="2"/>
        <v/>
      </c>
      <c r="V79" s="1" t="str" cm="1">
        <f t="array" ref="V79">IF($BA76="","",IF(INDEX(tblServicios[Conductor],$BA76)=$T$2,"Conductor","Personal adicional"))</f>
        <v/>
      </c>
      <c r="BA79" s="33" t="str" cm="1">
        <f t="array" ref="BA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adicional]=$T$2))&gt;0)),ROW(A80)),"")</f>
        <v/>
      </c>
    </row>
    <row r="80" spans="15:53" x14ac:dyDescent="0.35">
      <c r="O80" s="1" t="str" cm="1">
        <f t="array" ref="O80">IF($BA77="","",INDEX(tblServicios[Fecha],$BA77))</f>
        <v/>
      </c>
      <c r="P80" s="1" t="str" cm="1">
        <f t="array" ref="P80">IF($BA77="","",INDEX(tblServicios[Contrato],$BA77))</f>
        <v/>
      </c>
      <c r="Q80" s="1" t="str" cm="1">
        <f t="array" ref="Q80">IF($BA77="","",INDEX(tblServicios[Vehículo],$BA77))</f>
        <v/>
      </c>
      <c r="R80" s="34" t="str" cm="1">
        <f t="array" ref="R80">IF($BA77="","",INDEX(tblServicios[Base imponible (€)],$BA77)-INDEX(tblServicios[Imp. suplemento (€)],$BA77))</f>
        <v/>
      </c>
      <c r="S80" s="34" t="str" cm="1">
        <f t="array" ref="S80">IF($BA77="","",INDEX(tblServicios[Imp. suplemento (€)],$BA77))</f>
        <v/>
      </c>
      <c r="T80" t="str" cm="1">
        <f t="array" ref="T80">IF($BA77="","",INDEX(tblServicios[Tipo suplemento],$BA77))</f>
        <v/>
      </c>
      <c r="U80" s="34" t="str">
        <f t="shared" si="2"/>
        <v/>
      </c>
      <c r="V80" s="1" t="str" cm="1">
        <f t="array" ref="V80">IF($BA77="","",IF(INDEX(tblServicios[Conductor],$BA77)=$T$2,"Conductor","Personal adicional"))</f>
        <v/>
      </c>
      <c r="BA80" s="33" t="str" cm="1">
        <f t="array" ref="BA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adicional]=$T$2))&gt;0)),ROW(A81)),"")</f>
        <v/>
      </c>
    </row>
    <row r="81" spans="15:53" x14ac:dyDescent="0.35">
      <c r="O81" s="1" t="str" cm="1">
        <f t="array" ref="O81">IF($BA78="","",INDEX(tblServicios[Fecha],$BA78))</f>
        <v/>
      </c>
      <c r="P81" s="1" t="str" cm="1">
        <f t="array" ref="P81">IF($BA78="","",INDEX(tblServicios[Contrato],$BA78))</f>
        <v/>
      </c>
      <c r="Q81" s="1" t="str" cm="1">
        <f t="array" ref="Q81">IF($BA78="","",INDEX(tblServicios[Vehículo],$BA78))</f>
        <v/>
      </c>
      <c r="R81" s="34" t="str" cm="1">
        <f t="array" ref="R81">IF($BA78="","",INDEX(tblServicios[Base imponible (€)],$BA78)-INDEX(tblServicios[Imp. suplemento (€)],$BA78))</f>
        <v/>
      </c>
      <c r="S81" s="34" t="str" cm="1">
        <f t="array" ref="S81">IF($BA78="","",INDEX(tblServicios[Imp. suplemento (€)],$BA78))</f>
        <v/>
      </c>
      <c r="T81" t="str" cm="1">
        <f t="array" ref="T81">IF($BA78="","",INDEX(tblServicios[Tipo suplemento],$BA78))</f>
        <v/>
      </c>
      <c r="U81" s="34" t="str">
        <f t="shared" si="2"/>
        <v/>
      </c>
      <c r="V81" s="1" t="str" cm="1">
        <f t="array" ref="V81">IF($BA78="","",IF(INDEX(tblServicios[Conductor],$BA78)=$T$2,"Conductor","Personal adicional"))</f>
        <v/>
      </c>
      <c r="BA81" s="33" t="str" cm="1">
        <f t="array" ref="BA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adicional]=$T$2))&gt;0)),ROW(A82)),"")</f>
        <v/>
      </c>
    </row>
    <row r="82" spans="15:53" x14ac:dyDescent="0.35">
      <c r="O82" s="1" t="str" cm="1">
        <f t="array" ref="O82">IF($BA79="","",INDEX(tblServicios[Fecha],$BA79))</f>
        <v/>
      </c>
      <c r="P82" s="1" t="str" cm="1">
        <f t="array" ref="P82">IF($BA79="","",INDEX(tblServicios[Contrato],$BA79))</f>
        <v/>
      </c>
      <c r="Q82" s="1" t="str" cm="1">
        <f t="array" ref="Q82">IF($BA79="","",INDEX(tblServicios[Vehículo],$BA79))</f>
        <v/>
      </c>
      <c r="R82" s="34" t="str" cm="1">
        <f t="array" ref="R82">IF($BA79="","",INDEX(tblServicios[Base imponible (€)],$BA79)-INDEX(tblServicios[Imp. suplemento (€)],$BA79))</f>
        <v/>
      </c>
      <c r="S82" s="34" t="str" cm="1">
        <f t="array" ref="S82">IF($BA79="","",INDEX(tblServicios[Imp. suplemento (€)],$BA79))</f>
        <v/>
      </c>
      <c r="T82" t="str" cm="1">
        <f t="array" ref="T82">IF($BA79="","",INDEX(tblServicios[Tipo suplemento],$BA79))</f>
        <v/>
      </c>
      <c r="U82" s="34" t="str">
        <f t="shared" si="2"/>
        <v/>
      </c>
      <c r="V82" s="1" t="str" cm="1">
        <f t="array" ref="V82">IF($BA79="","",IF(INDEX(tblServicios[Conductor],$BA79)=$T$2,"Conductor","Personal adicional"))</f>
        <v/>
      </c>
      <c r="BA82" s="33" t="str" cm="1">
        <f t="array" ref="BA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adicional]=$T$2))&gt;0)),ROW(A83)),"")</f>
        <v/>
      </c>
    </row>
    <row r="83" spans="15:53" x14ac:dyDescent="0.35">
      <c r="O83" s="1" t="str" cm="1">
        <f t="array" ref="O83">IF($BA80="","",INDEX(tblServicios[Fecha],$BA80))</f>
        <v/>
      </c>
      <c r="P83" s="1" t="str" cm="1">
        <f t="array" ref="P83">IF($BA80="","",INDEX(tblServicios[Contrato],$BA80))</f>
        <v/>
      </c>
      <c r="Q83" s="1" t="str" cm="1">
        <f t="array" ref="Q83">IF($BA80="","",INDEX(tblServicios[Vehículo],$BA80))</f>
        <v/>
      </c>
      <c r="R83" s="34" t="str" cm="1">
        <f t="array" ref="R83">IF($BA80="","",INDEX(tblServicios[Base imponible (€)],$BA80)-INDEX(tblServicios[Imp. suplemento (€)],$BA80))</f>
        <v/>
      </c>
      <c r="S83" s="34" t="str" cm="1">
        <f t="array" ref="S83">IF($BA80="","",INDEX(tblServicios[Imp. suplemento (€)],$BA80))</f>
        <v/>
      </c>
      <c r="T83" t="str" cm="1">
        <f t="array" ref="T83">IF($BA80="","",INDEX(tblServicios[Tipo suplemento],$BA80))</f>
        <v/>
      </c>
      <c r="U83" s="34" t="str">
        <f t="shared" si="2"/>
        <v/>
      </c>
      <c r="V83" s="1" t="str" cm="1">
        <f t="array" ref="V83">IF($BA80="","",IF(INDEX(tblServicios[Conductor],$BA80)=$T$2,"Conductor","Personal adicional"))</f>
        <v/>
      </c>
      <c r="BA83" s="33" t="str" cm="1">
        <f t="array" ref="BA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adicional]=$T$2))&gt;0)),ROW(A84)),"")</f>
        <v/>
      </c>
    </row>
    <row r="84" spans="15:53" x14ac:dyDescent="0.35">
      <c r="O84" s="1" t="str" cm="1">
        <f t="array" ref="O84">IF($BA81="","",INDEX(tblServicios[Fecha],$BA81))</f>
        <v/>
      </c>
      <c r="P84" s="1" t="str" cm="1">
        <f t="array" ref="P84">IF($BA81="","",INDEX(tblServicios[Contrato],$BA81))</f>
        <v/>
      </c>
      <c r="Q84" s="1" t="str" cm="1">
        <f t="array" ref="Q84">IF($BA81="","",INDEX(tblServicios[Vehículo],$BA81))</f>
        <v/>
      </c>
      <c r="R84" s="34" t="str" cm="1">
        <f t="array" ref="R84">IF($BA81="","",INDEX(tblServicios[Base imponible (€)],$BA81)-INDEX(tblServicios[Imp. suplemento (€)],$BA81))</f>
        <v/>
      </c>
      <c r="S84" s="34" t="str" cm="1">
        <f t="array" ref="S84">IF($BA81="","",INDEX(tblServicios[Imp. suplemento (€)],$BA81))</f>
        <v/>
      </c>
      <c r="T84" t="str" cm="1">
        <f t="array" ref="T84">IF($BA81="","",INDEX(tblServicios[Tipo suplemento],$BA81))</f>
        <v/>
      </c>
      <c r="U84" s="34" t="str">
        <f t="shared" si="2"/>
        <v/>
      </c>
      <c r="V84" s="1" t="str" cm="1">
        <f t="array" ref="V84">IF($BA81="","",IF(INDEX(tblServicios[Conductor],$BA81)=$T$2,"Conductor","Personal adicional"))</f>
        <v/>
      </c>
      <c r="BA84" s="33" t="str" cm="1">
        <f t="array" ref="BA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adicional]=$T$2))&gt;0)),ROW(A85)),"")</f>
        <v/>
      </c>
    </row>
    <row r="85" spans="15:53" x14ac:dyDescent="0.35">
      <c r="O85" s="1" t="str" cm="1">
        <f t="array" ref="O85">IF($BA82="","",INDEX(tblServicios[Fecha],$BA82))</f>
        <v/>
      </c>
      <c r="P85" s="1" t="str" cm="1">
        <f t="array" ref="P85">IF($BA82="","",INDEX(tblServicios[Contrato],$BA82))</f>
        <v/>
      </c>
      <c r="Q85" s="1" t="str" cm="1">
        <f t="array" ref="Q85">IF($BA82="","",INDEX(tblServicios[Vehículo],$BA82))</f>
        <v/>
      </c>
      <c r="R85" s="34" t="str" cm="1">
        <f t="array" ref="R85">IF($BA82="","",INDEX(tblServicios[Base imponible (€)],$BA82)-INDEX(tblServicios[Imp. suplemento (€)],$BA82))</f>
        <v/>
      </c>
      <c r="S85" s="34" t="str" cm="1">
        <f t="array" ref="S85">IF($BA82="","",INDEX(tblServicios[Imp. suplemento (€)],$BA82))</f>
        <v/>
      </c>
      <c r="T85" t="str" cm="1">
        <f t="array" ref="T85">IF($BA82="","",INDEX(tblServicios[Tipo suplemento],$BA82))</f>
        <v/>
      </c>
      <c r="U85" s="34" t="str">
        <f t="shared" si="2"/>
        <v/>
      </c>
      <c r="V85" s="1" t="str" cm="1">
        <f t="array" ref="V85">IF($BA82="","",IF(INDEX(tblServicios[Conductor],$BA82)=$T$2,"Conductor","Personal adicional"))</f>
        <v/>
      </c>
      <c r="BA85" s="33" t="str" cm="1">
        <f t="array" ref="BA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adicional]=$T$2))&gt;0)),ROW(A86)),"")</f>
        <v/>
      </c>
    </row>
    <row r="86" spans="15:53" x14ac:dyDescent="0.35">
      <c r="O86" s="1" t="str" cm="1">
        <f t="array" ref="O86">IF($BA83="","",INDEX(tblServicios[Fecha],$BA83))</f>
        <v/>
      </c>
      <c r="P86" s="1" t="str" cm="1">
        <f t="array" ref="P86">IF($BA83="","",INDEX(tblServicios[Contrato],$BA83))</f>
        <v/>
      </c>
      <c r="Q86" s="1" t="str" cm="1">
        <f t="array" ref="Q86">IF($BA83="","",INDEX(tblServicios[Vehículo],$BA83))</f>
        <v/>
      </c>
      <c r="R86" s="34" t="str" cm="1">
        <f t="array" ref="R86">IF($BA83="","",INDEX(tblServicios[Base imponible (€)],$BA83)-INDEX(tblServicios[Imp. suplemento (€)],$BA83))</f>
        <v/>
      </c>
      <c r="S86" s="34" t="str" cm="1">
        <f t="array" ref="S86">IF($BA83="","",INDEX(tblServicios[Imp. suplemento (€)],$BA83))</f>
        <v/>
      </c>
      <c r="T86" t="str" cm="1">
        <f t="array" ref="T86">IF($BA83="","",INDEX(tblServicios[Tipo suplemento],$BA83))</f>
        <v/>
      </c>
      <c r="U86" s="34" t="str">
        <f t="shared" si="2"/>
        <v/>
      </c>
      <c r="V86" s="1" t="str" cm="1">
        <f t="array" ref="V86">IF($BA83="","",IF(INDEX(tblServicios[Conductor],$BA83)=$T$2,"Conductor","Personal adicional"))</f>
        <v/>
      </c>
      <c r="BA86" s="33" t="str" cm="1">
        <f t="array" ref="BA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adicional]=$T$2))&gt;0)),ROW(A87)),"")</f>
        <v/>
      </c>
    </row>
    <row r="87" spans="15:53" x14ac:dyDescent="0.35">
      <c r="O87" s="1" t="str" cm="1">
        <f t="array" ref="O87">IF($BA84="","",INDEX(tblServicios[Fecha],$BA84))</f>
        <v/>
      </c>
      <c r="P87" s="1" t="str" cm="1">
        <f t="array" ref="P87">IF($BA84="","",INDEX(tblServicios[Contrato],$BA84))</f>
        <v/>
      </c>
      <c r="Q87" s="1" t="str" cm="1">
        <f t="array" ref="Q87">IF($BA84="","",INDEX(tblServicios[Vehículo],$BA84))</f>
        <v/>
      </c>
      <c r="R87" s="34" t="str" cm="1">
        <f t="array" ref="R87">IF($BA84="","",INDEX(tblServicios[Base imponible (€)],$BA84)-INDEX(tblServicios[Imp. suplemento (€)],$BA84))</f>
        <v/>
      </c>
      <c r="S87" s="34" t="str" cm="1">
        <f t="array" ref="S87">IF($BA84="","",INDEX(tblServicios[Imp. suplemento (€)],$BA84))</f>
        <v/>
      </c>
      <c r="T87" t="str" cm="1">
        <f t="array" ref="T87">IF($BA84="","",INDEX(tblServicios[Tipo suplemento],$BA84))</f>
        <v/>
      </c>
      <c r="U87" s="34" t="str">
        <f t="shared" si="2"/>
        <v/>
      </c>
      <c r="V87" s="1" t="str" cm="1">
        <f t="array" ref="V87">IF($BA84="","",IF(INDEX(tblServicios[Conductor],$BA84)=$T$2,"Conductor","Personal adicional"))</f>
        <v/>
      </c>
      <c r="BA87" s="33" t="str" cm="1">
        <f t="array" ref="BA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adicional]=$T$2))&gt;0)),ROW(A88)),"")</f>
        <v/>
      </c>
    </row>
    <row r="88" spans="15:53" x14ac:dyDescent="0.35">
      <c r="O88" s="1" t="str" cm="1">
        <f t="array" ref="O88">IF($BA85="","",INDEX(tblServicios[Fecha],$BA85))</f>
        <v/>
      </c>
      <c r="P88" s="1" t="str" cm="1">
        <f t="array" ref="P88">IF($BA85="","",INDEX(tblServicios[Contrato],$BA85))</f>
        <v/>
      </c>
      <c r="Q88" s="1" t="str" cm="1">
        <f t="array" ref="Q88">IF($BA85="","",INDEX(tblServicios[Vehículo],$BA85))</f>
        <v/>
      </c>
      <c r="R88" s="34" t="str" cm="1">
        <f t="array" ref="R88">IF($BA85="","",INDEX(tblServicios[Base imponible (€)],$BA85)-INDEX(tblServicios[Imp. suplemento (€)],$BA85))</f>
        <v/>
      </c>
      <c r="S88" s="34" t="str" cm="1">
        <f t="array" ref="S88">IF($BA85="","",INDEX(tblServicios[Imp. suplemento (€)],$BA85))</f>
        <v/>
      </c>
      <c r="T88" t="str" cm="1">
        <f t="array" ref="T88">IF($BA85="","",INDEX(tblServicios[Tipo suplemento],$BA85))</f>
        <v/>
      </c>
      <c r="U88" s="34" t="str">
        <f t="shared" si="2"/>
        <v/>
      </c>
      <c r="V88" s="1" t="str" cm="1">
        <f t="array" ref="V88">IF($BA85="","",IF(INDEX(tblServicios[Conductor],$BA85)=$T$2,"Conductor","Personal adicional"))</f>
        <v/>
      </c>
      <c r="BA88" s="33" t="str" cm="1">
        <f t="array" ref="BA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adicional]=$T$2))&gt;0)),ROW(A89)),"")</f>
        <v/>
      </c>
    </row>
    <row r="89" spans="15:53" x14ac:dyDescent="0.35">
      <c r="O89" s="1" t="str" cm="1">
        <f t="array" ref="O89">IF($BA86="","",INDEX(tblServicios[Fecha],$BA86))</f>
        <v/>
      </c>
      <c r="P89" s="1" t="str" cm="1">
        <f t="array" ref="P89">IF($BA86="","",INDEX(tblServicios[Contrato],$BA86))</f>
        <v/>
      </c>
      <c r="Q89" s="1" t="str" cm="1">
        <f t="array" ref="Q89">IF($BA86="","",INDEX(tblServicios[Vehículo],$BA86))</f>
        <v/>
      </c>
      <c r="R89" s="34" t="str" cm="1">
        <f t="array" ref="R89">IF($BA86="","",INDEX(tblServicios[Base imponible (€)],$BA86)-INDEX(tblServicios[Imp. suplemento (€)],$BA86))</f>
        <v/>
      </c>
      <c r="S89" s="34" t="str" cm="1">
        <f t="array" ref="S89">IF($BA86="","",INDEX(tblServicios[Imp. suplemento (€)],$BA86))</f>
        <v/>
      </c>
      <c r="T89" t="str" cm="1">
        <f t="array" ref="T89">IF($BA86="","",INDEX(tblServicios[Tipo suplemento],$BA86))</f>
        <v/>
      </c>
      <c r="U89" s="34" t="str">
        <f t="shared" si="2"/>
        <v/>
      </c>
      <c r="V89" s="1" t="str" cm="1">
        <f t="array" ref="V89">IF($BA86="","",IF(INDEX(tblServicios[Conductor],$BA86)=$T$2,"Conductor","Personal adicional"))</f>
        <v/>
      </c>
      <c r="BA89" s="33" t="str" cm="1">
        <f t="array" ref="BA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adicional]=$T$2))&gt;0)),ROW(A90)),"")</f>
        <v/>
      </c>
    </row>
    <row r="90" spans="15:53" x14ac:dyDescent="0.35">
      <c r="O90" s="1" t="str" cm="1">
        <f t="array" ref="O90">IF($BA87="","",INDEX(tblServicios[Fecha],$BA87))</f>
        <v/>
      </c>
      <c r="P90" s="1" t="str" cm="1">
        <f t="array" ref="P90">IF($BA87="","",INDEX(tblServicios[Contrato],$BA87))</f>
        <v/>
      </c>
      <c r="Q90" s="1" t="str" cm="1">
        <f t="array" ref="Q90">IF($BA87="","",INDEX(tblServicios[Vehículo],$BA87))</f>
        <v/>
      </c>
      <c r="R90" s="34" t="str" cm="1">
        <f t="array" ref="R90">IF($BA87="","",INDEX(tblServicios[Base imponible (€)],$BA87)-INDEX(tblServicios[Imp. suplemento (€)],$BA87))</f>
        <v/>
      </c>
      <c r="S90" s="34" t="str" cm="1">
        <f t="array" ref="S90">IF($BA87="","",INDEX(tblServicios[Imp. suplemento (€)],$BA87))</f>
        <v/>
      </c>
      <c r="T90" t="str" cm="1">
        <f t="array" ref="T90">IF($BA87="","",INDEX(tblServicios[Tipo suplemento],$BA87))</f>
        <v/>
      </c>
      <c r="U90" s="34" t="str">
        <f t="shared" si="2"/>
        <v/>
      </c>
      <c r="V90" s="1" t="str" cm="1">
        <f t="array" ref="V90">IF($BA87="","",IF(INDEX(tblServicios[Conductor],$BA87)=$T$2,"Conductor","Personal adicional"))</f>
        <v/>
      </c>
      <c r="BA90" s="33" t="str" cm="1">
        <f t="array" ref="BA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adicional]=$T$2))&gt;0)),ROW(A91)),"")</f>
        <v/>
      </c>
    </row>
    <row r="91" spans="15:53" x14ac:dyDescent="0.35">
      <c r="O91" s="1" t="str" cm="1">
        <f t="array" ref="O91">IF($BA88="","",INDEX(tblServicios[Fecha],$BA88))</f>
        <v/>
      </c>
      <c r="P91" s="1" t="str" cm="1">
        <f t="array" ref="P91">IF($BA88="","",INDEX(tblServicios[Contrato],$BA88))</f>
        <v/>
      </c>
      <c r="Q91" s="1" t="str" cm="1">
        <f t="array" ref="Q91">IF($BA88="","",INDEX(tblServicios[Vehículo],$BA88))</f>
        <v/>
      </c>
      <c r="R91" s="34" t="str" cm="1">
        <f t="array" ref="R91">IF($BA88="","",INDEX(tblServicios[Base imponible (€)],$BA88)-INDEX(tblServicios[Imp. suplemento (€)],$BA88))</f>
        <v/>
      </c>
      <c r="S91" s="34" t="str" cm="1">
        <f t="array" ref="S91">IF($BA88="","",INDEX(tblServicios[Imp. suplemento (€)],$BA88))</f>
        <v/>
      </c>
      <c r="T91" t="str" cm="1">
        <f t="array" ref="T91">IF($BA88="","",INDEX(tblServicios[Tipo suplemento],$BA88))</f>
        <v/>
      </c>
      <c r="U91" s="34" t="str">
        <f t="shared" si="2"/>
        <v/>
      </c>
      <c r="V91" s="1" t="str" cm="1">
        <f t="array" ref="V91">IF($BA88="","",IF(INDEX(tblServicios[Conductor],$BA88)=$T$2,"Conductor","Personal adicional"))</f>
        <v/>
      </c>
      <c r="BA91" s="33" t="str" cm="1">
        <f t="array" ref="BA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adicional]=$T$2))&gt;0)),ROW(A92)),"")</f>
        <v/>
      </c>
    </row>
    <row r="92" spans="15:53" x14ac:dyDescent="0.35">
      <c r="O92" s="1" t="str" cm="1">
        <f t="array" ref="O92">IF($BA89="","",INDEX(tblServicios[Fecha],$BA89))</f>
        <v/>
      </c>
      <c r="P92" s="1" t="str" cm="1">
        <f t="array" ref="P92">IF($BA89="","",INDEX(tblServicios[Contrato],$BA89))</f>
        <v/>
      </c>
      <c r="Q92" s="1" t="str" cm="1">
        <f t="array" ref="Q92">IF($BA89="","",INDEX(tblServicios[Vehículo],$BA89))</f>
        <v/>
      </c>
      <c r="R92" s="34" t="str" cm="1">
        <f t="array" ref="R92">IF($BA89="","",INDEX(tblServicios[Base imponible (€)],$BA89)-INDEX(tblServicios[Imp. suplemento (€)],$BA89))</f>
        <v/>
      </c>
      <c r="S92" s="34" t="str" cm="1">
        <f t="array" ref="S92">IF($BA89="","",INDEX(tblServicios[Imp. suplemento (€)],$BA89))</f>
        <v/>
      </c>
      <c r="T92" t="str" cm="1">
        <f t="array" ref="T92">IF($BA89="","",INDEX(tblServicios[Tipo suplemento],$BA89))</f>
        <v/>
      </c>
      <c r="U92" s="34" t="str">
        <f t="shared" si="2"/>
        <v/>
      </c>
      <c r="V92" s="1" t="str" cm="1">
        <f t="array" ref="V92">IF($BA89="","",IF(INDEX(tblServicios[Conductor],$BA89)=$T$2,"Conductor","Personal adicional"))</f>
        <v/>
      </c>
      <c r="BA92" s="33" t="str" cm="1">
        <f t="array" ref="BA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adicional]=$T$2))&gt;0)),ROW(A93)),"")</f>
        <v/>
      </c>
    </row>
    <row r="93" spans="15:53" x14ac:dyDescent="0.35">
      <c r="O93" s="1" t="str" cm="1">
        <f t="array" ref="O93">IF($BA90="","",INDEX(tblServicios[Fecha],$BA90))</f>
        <v/>
      </c>
      <c r="P93" s="1" t="str" cm="1">
        <f t="array" ref="P93">IF($BA90="","",INDEX(tblServicios[Contrato],$BA90))</f>
        <v/>
      </c>
      <c r="Q93" s="1" t="str" cm="1">
        <f t="array" ref="Q93">IF($BA90="","",INDEX(tblServicios[Vehículo],$BA90))</f>
        <v/>
      </c>
      <c r="R93" s="34" t="str" cm="1">
        <f t="array" ref="R93">IF($BA90="","",INDEX(tblServicios[Base imponible (€)],$BA90)-INDEX(tblServicios[Imp. suplemento (€)],$BA90))</f>
        <v/>
      </c>
      <c r="S93" s="34" t="str" cm="1">
        <f t="array" ref="S93">IF($BA90="","",INDEX(tblServicios[Imp. suplemento (€)],$BA90))</f>
        <v/>
      </c>
      <c r="T93" t="str" cm="1">
        <f t="array" ref="T93">IF($BA90="","",INDEX(tblServicios[Tipo suplemento],$BA90))</f>
        <v/>
      </c>
      <c r="U93" s="34" t="str">
        <f t="shared" si="2"/>
        <v/>
      </c>
      <c r="V93" s="1" t="str" cm="1">
        <f t="array" ref="V93">IF($BA90="","",IF(INDEX(tblServicios[Conductor],$BA90)=$T$2,"Conductor","Personal adicional"))</f>
        <v/>
      </c>
      <c r="BA93" s="33" t="str" cm="1">
        <f t="array" ref="BA9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adicional]=$T$2))&gt;0)),ROW(A94)),"")</f>
        <v/>
      </c>
    </row>
    <row r="94" spans="15:53" x14ac:dyDescent="0.35">
      <c r="O94" s="1" t="str" cm="1">
        <f t="array" ref="O94">IF($BA91="","",INDEX(tblServicios[Fecha],$BA91))</f>
        <v/>
      </c>
      <c r="P94" s="1" t="str" cm="1">
        <f t="array" ref="P94">IF($BA91="","",INDEX(tblServicios[Contrato],$BA91))</f>
        <v/>
      </c>
      <c r="Q94" s="1" t="str" cm="1">
        <f t="array" ref="Q94">IF($BA91="","",INDEX(tblServicios[Vehículo],$BA91))</f>
        <v/>
      </c>
      <c r="R94" s="34" t="str" cm="1">
        <f t="array" ref="R94">IF($BA91="","",INDEX(tblServicios[Base imponible (€)],$BA91)-INDEX(tblServicios[Imp. suplemento (€)],$BA91))</f>
        <v/>
      </c>
      <c r="S94" s="34" t="str" cm="1">
        <f t="array" ref="S94">IF($BA91="","",INDEX(tblServicios[Imp. suplemento (€)],$BA91))</f>
        <v/>
      </c>
      <c r="T94" t="str" cm="1">
        <f t="array" ref="T94">IF($BA91="","",INDEX(tblServicios[Tipo suplemento],$BA91))</f>
        <v/>
      </c>
      <c r="U94" s="34" t="str">
        <f t="shared" si="2"/>
        <v/>
      </c>
      <c r="V94" s="1" t="str" cm="1">
        <f t="array" ref="V94">IF($BA91="","",IF(INDEX(tblServicios[Conductor],$BA91)=$T$2,"Conductor","Personal adicional"))</f>
        <v/>
      </c>
      <c r="BA94" s="33" t="str" cm="1">
        <f t="array" ref="BA9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adicional]=$T$2))&gt;0)),ROW(A95)),"")</f>
        <v/>
      </c>
    </row>
    <row r="95" spans="15:53" x14ac:dyDescent="0.35">
      <c r="O95" s="1" t="str" cm="1">
        <f t="array" ref="O95">IF($BA92="","",INDEX(tblServicios[Fecha],$BA92))</f>
        <v/>
      </c>
      <c r="P95" s="1" t="str" cm="1">
        <f t="array" ref="P95">IF($BA92="","",INDEX(tblServicios[Contrato],$BA92))</f>
        <v/>
      </c>
      <c r="Q95" s="1" t="str" cm="1">
        <f t="array" ref="Q95">IF($BA92="","",INDEX(tblServicios[Vehículo],$BA92))</f>
        <v/>
      </c>
      <c r="R95" s="34" t="str" cm="1">
        <f t="array" ref="R95">IF($BA92="","",INDEX(tblServicios[Base imponible (€)],$BA92)-INDEX(tblServicios[Imp. suplemento (€)],$BA92))</f>
        <v/>
      </c>
      <c r="S95" s="34" t="str" cm="1">
        <f t="array" ref="S95">IF($BA92="","",INDEX(tblServicios[Imp. suplemento (€)],$BA92))</f>
        <v/>
      </c>
      <c r="T95" t="str" cm="1">
        <f t="array" ref="T95">IF($BA92="","",INDEX(tblServicios[Tipo suplemento],$BA92))</f>
        <v/>
      </c>
      <c r="U95" s="34" t="str">
        <f t="shared" si="2"/>
        <v/>
      </c>
      <c r="V95" s="1" t="str" cm="1">
        <f t="array" ref="V95">IF($BA92="","",IF(INDEX(tblServicios[Conductor],$BA92)=$T$2,"Conductor","Personal adicional"))</f>
        <v/>
      </c>
      <c r="BA95" s="33" t="str" cm="1">
        <f t="array" ref="BA9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adicional]=$T$2))&gt;0)),ROW(A96)),"")</f>
        <v/>
      </c>
    </row>
    <row r="96" spans="15:53" x14ac:dyDescent="0.35">
      <c r="O96" s="1" t="str" cm="1">
        <f t="array" ref="O96">IF($BA93="","",INDEX(tblServicios[Fecha],$BA93))</f>
        <v/>
      </c>
      <c r="P96" s="1" t="str" cm="1">
        <f t="array" ref="P96">IF($BA93="","",INDEX(tblServicios[Contrato],$BA93))</f>
        <v/>
      </c>
      <c r="Q96" s="1" t="str" cm="1">
        <f t="array" ref="Q96">IF($BA93="","",INDEX(tblServicios[Vehículo],$BA93))</f>
        <v/>
      </c>
      <c r="R96" s="34" t="str" cm="1">
        <f t="array" ref="R96">IF($BA93="","",INDEX(tblServicios[Base imponible (€)],$BA93)-INDEX(tblServicios[Imp. suplemento (€)],$BA93))</f>
        <v/>
      </c>
      <c r="S96" s="34" t="str" cm="1">
        <f t="array" ref="S96">IF($BA93="","",INDEX(tblServicios[Imp. suplemento (€)],$BA93))</f>
        <v/>
      </c>
      <c r="T96" t="str" cm="1">
        <f t="array" ref="T96">IF($BA93="","",INDEX(tblServicios[Tipo suplemento],$BA93))</f>
        <v/>
      </c>
      <c r="U96" s="34" t="str">
        <f t="shared" si="2"/>
        <v/>
      </c>
      <c r="V96" s="1" t="str" cm="1">
        <f t="array" ref="V96">IF($BA93="","",IF(INDEX(tblServicios[Conductor],$BA93)=$T$2,"Conductor","Personal adicional"))</f>
        <v/>
      </c>
      <c r="BA96" s="33" t="str" cm="1">
        <f t="array" ref="BA9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adicional]=$T$2))&gt;0)),ROW(A97)),"")</f>
        <v/>
      </c>
    </row>
    <row r="97" spans="15:53" x14ac:dyDescent="0.35">
      <c r="O97" s="1" t="str" cm="1">
        <f t="array" ref="O97">IF($BA94="","",INDEX(tblServicios[Fecha],$BA94))</f>
        <v/>
      </c>
      <c r="P97" s="1" t="str" cm="1">
        <f t="array" ref="P97">IF($BA94="","",INDEX(tblServicios[Contrato],$BA94))</f>
        <v/>
      </c>
      <c r="Q97" s="1" t="str" cm="1">
        <f t="array" ref="Q97">IF($BA94="","",INDEX(tblServicios[Vehículo],$BA94))</f>
        <v/>
      </c>
      <c r="R97" s="34" t="str" cm="1">
        <f t="array" ref="R97">IF($BA94="","",INDEX(tblServicios[Base imponible (€)],$BA94)-INDEX(tblServicios[Imp. suplemento (€)],$BA94))</f>
        <v/>
      </c>
      <c r="S97" s="34" t="str" cm="1">
        <f t="array" ref="S97">IF($BA94="","",INDEX(tblServicios[Imp. suplemento (€)],$BA94))</f>
        <v/>
      </c>
      <c r="T97" t="str" cm="1">
        <f t="array" ref="T97">IF($BA94="","",INDEX(tblServicios[Tipo suplemento],$BA94))</f>
        <v/>
      </c>
      <c r="U97" s="34" t="str">
        <f t="shared" si="2"/>
        <v/>
      </c>
      <c r="V97" s="1" t="str" cm="1">
        <f t="array" ref="V97">IF($BA94="","",IF(INDEX(tblServicios[Conductor],$BA94)=$T$2,"Conductor","Personal adicional"))</f>
        <v/>
      </c>
      <c r="BA97" s="33" t="str" cm="1">
        <f t="array" ref="BA9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adicional]=$T$2))&gt;0)),ROW(A98)),"")</f>
        <v/>
      </c>
    </row>
    <row r="98" spans="15:53" x14ac:dyDescent="0.35">
      <c r="O98" s="1" t="str" cm="1">
        <f t="array" ref="O98">IF($BA95="","",INDEX(tblServicios[Fecha],$BA95))</f>
        <v/>
      </c>
      <c r="P98" s="1" t="str" cm="1">
        <f t="array" ref="P98">IF($BA95="","",INDEX(tblServicios[Contrato],$BA95))</f>
        <v/>
      </c>
      <c r="Q98" s="1" t="str" cm="1">
        <f t="array" ref="Q98">IF($BA95="","",INDEX(tblServicios[Vehículo],$BA95))</f>
        <v/>
      </c>
      <c r="R98" s="34" t="str" cm="1">
        <f t="array" ref="R98">IF($BA95="","",INDEX(tblServicios[Base imponible (€)],$BA95)-INDEX(tblServicios[Imp. suplemento (€)],$BA95))</f>
        <v/>
      </c>
      <c r="S98" s="34" t="str" cm="1">
        <f t="array" ref="S98">IF($BA95="","",INDEX(tblServicios[Imp. suplemento (€)],$BA95))</f>
        <v/>
      </c>
      <c r="T98" t="str" cm="1">
        <f t="array" ref="T98">IF($BA95="","",INDEX(tblServicios[Tipo suplemento],$BA95))</f>
        <v/>
      </c>
      <c r="U98" s="34" t="str">
        <f t="shared" si="2"/>
        <v/>
      </c>
      <c r="V98" s="1" t="str" cm="1">
        <f t="array" ref="V98">IF($BA95="","",IF(INDEX(tblServicios[Conductor],$BA95)=$T$2,"Conductor","Personal adicional"))</f>
        <v/>
      </c>
      <c r="BA98" s="33" t="str" cm="1">
        <f t="array" ref="BA9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adicional]=$T$2))&gt;0)),ROW(A99)),"")</f>
        <v/>
      </c>
    </row>
    <row r="99" spans="15:53" x14ac:dyDescent="0.35">
      <c r="O99" s="1" t="str" cm="1">
        <f t="array" ref="O99">IF($BA96="","",INDEX(tblServicios[Fecha],$BA96))</f>
        <v/>
      </c>
      <c r="P99" s="1" t="str" cm="1">
        <f t="array" ref="P99">IF($BA96="","",INDEX(tblServicios[Contrato],$BA96))</f>
        <v/>
      </c>
      <c r="Q99" s="1" t="str" cm="1">
        <f t="array" ref="Q99">IF($BA96="","",INDEX(tblServicios[Vehículo],$BA96))</f>
        <v/>
      </c>
      <c r="R99" s="34" t="str" cm="1">
        <f t="array" ref="R99">IF($BA96="","",INDEX(tblServicios[Base imponible (€)],$BA96)-INDEX(tblServicios[Imp. suplemento (€)],$BA96))</f>
        <v/>
      </c>
      <c r="S99" s="34" t="str" cm="1">
        <f t="array" ref="S99">IF($BA96="","",INDEX(tblServicios[Imp. suplemento (€)],$BA96))</f>
        <v/>
      </c>
      <c r="T99" t="str" cm="1">
        <f t="array" ref="T99">IF($BA96="","",INDEX(tblServicios[Tipo suplemento],$BA96))</f>
        <v/>
      </c>
      <c r="U99" s="34" t="str">
        <f t="shared" si="2"/>
        <v/>
      </c>
      <c r="V99" s="1" t="str" cm="1">
        <f t="array" ref="V99">IF($BA96="","",IF(INDEX(tblServicios[Conductor],$BA96)=$T$2,"Conductor","Personal adicional"))</f>
        <v/>
      </c>
      <c r="BA99" s="33" t="str" cm="1">
        <f t="array" ref="BA9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adicional]=$T$2))&gt;0)),ROW(A100)),"")</f>
        <v/>
      </c>
    </row>
    <row r="100" spans="15:53" x14ac:dyDescent="0.35">
      <c r="O100" s="1" t="str" cm="1">
        <f t="array" ref="O100">IF($BA97="","",INDEX(tblServicios[Fecha],$BA97))</f>
        <v/>
      </c>
      <c r="P100" s="1" t="str" cm="1">
        <f t="array" ref="P100">IF($BA97="","",INDEX(tblServicios[Contrato],$BA97))</f>
        <v/>
      </c>
      <c r="Q100" s="1" t="str" cm="1">
        <f t="array" ref="Q100">IF($BA97="","",INDEX(tblServicios[Vehículo],$BA97))</f>
        <v/>
      </c>
      <c r="R100" s="34" t="str" cm="1">
        <f t="array" ref="R100">IF($BA97="","",INDEX(tblServicios[Base imponible (€)],$BA97)-INDEX(tblServicios[Imp. suplemento (€)],$BA97))</f>
        <v/>
      </c>
      <c r="S100" s="34" t="str" cm="1">
        <f t="array" ref="S100">IF($BA97="","",INDEX(tblServicios[Imp. suplemento (€)],$BA97))</f>
        <v/>
      </c>
      <c r="T100" t="str" cm="1">
        <f t="array" ref="T100">IF($BA97="","",INDEX(tblServicios[Tipo suplemento],$BA97))</f>
        <v/>
      </c>
      <c r="U100" s="34" t="str">
        <f t="shared" si="2"/>
        <v/>
      </c>
      <c r="V100" s="1" t="str" cm="1">
        <f t="array" ref="V100">IF($BA97="","",IF(INDEX(tblServicios[Conductor],$BA97)=$T$2,"Conductor","Personal adicional"))</f>
        <v/>
      </c>
      <c r="BA100" s="33" t="str" cm="1">
        <f t="array" ref="BA10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adicional]=$T$2))&gt;0)),ROW(A101)),"")</f>
        <v/>
      </c>
    </row>
    <row r="101" spans="15:53" x14ac:dyDescent="0.35">
      <c r="O101" s="1" t="str" cm="1">
        <f t="array" ref="O101">IF($BA98="","",INDEX(tblServicios[Fecha],$BA98))</f>
        <v/>
      </c>
      <c r="P101" s="1" t="str" cm="1">
        <f t="array" ref="P101">IF($BA98="","",INDEX(tblServicios[Contrato],$BA98))</f>
        <v/>
      </c>
      <c r="Q101" s="1" t="str" cm="1">
        <f t="array" ref="Q101">IF($BA98="","",INDEX(tblServicios[Vehículo],$BA98))</f>
        <v/>
      </c>
      <c r="R101" s="34" t="str" cm="1">
        <f t="array" ref="R101">IF($BA98="","",INDEX(tblServicios[Base imponible (€)],$BA98)-INDEX(tblServicios[Imp. suplemento (€)],$BA98))</f>
        <v/>
      </c>
      <c r="S101" s="34" t="str" cm="1">
        <f t="array" ref="S101">IF($BA98="","",INDEX(tblServicios[Imp. suplemento (€)],$BA98))</f>
        <v/>
      </c>
      <c r="T101" t="str" cm="1">
        <f t="array" ref="T101">IF($BA98="","",INDEX(tblServicios[Tipo suplemento],$BA98))</f>
        <v/>
      </c>
      <c r="U101" s="34" t="str">
        <f t="shared" si="2"/>
        <v/>
      </c>
      <c r="V101" s="1" t="str" cm="1">
        <f t="array" ref="V101">IF($BA98="","",IF(INDEX(tblServicios[Conductor],$BA98)=$T$2,"Conductor","Personal adicional"))</f>
        <v/>
      </c>
      <c r="BA101" s="33" t="str" cm="1">
        <f t="array" ref="BA10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adicional]=$T$2))&gt;0)),ROW(A102)),"")</f>
        <v/>
      </c>
    </row>
    <row r="102" spans="15:53" x14ac:dyDescent="0.35">
      <c r="O102" s="1" t="str" cm="1">
        <f t="array" ref="O102">IF($BA99="","",INDEX(tblServicios[Fecha],$BA99))</f>
        <v/>
      </c>
      <c r="P102" s="1" t="str" cm="1">
        <f t="array" ref="P102">IF($BA99="","",INDEX(tblServicios[Contrato],$BA99))</f>
        <v/>
      </c>
      <c r="Q102" s="1" t="str" cm="1">
        <f t="array" ref="Q102">IF($BA99="","",INDEX(tblServicios[Vehículo],$BA99))</f>
        <v/>
      </c>
      <c r="R102" s="34" t="str" cm="1">
        <f t="array" ref="R102">IF($BA99="","",INDEX(tblServicios[Base imponible (€)],$BA99)-INDEX(tblServicios[Imp. suplemento (€)],$BA99))</f>
        <v/>
      </c>
      <c r="S102" s="34" t="str" cm="1">
        <f t="array" ref="S102">IF($BA99="","",INDEX(tblServicios[Imp. suplemento (€)],$BA99))</f>
        <v/>
      </c>
      <c r="T102" t="str" cm="1">
        <f t="array" ref="T102">IF($BA99="","",INDEX(tblServicios[Tipo suplemento],$BA99))</f>
        <v/>
      </c>
      <c r="U102" s="34" t="str">
        <f t="shared" si="2"/>
        <v/>
      </c>
      <c r="V102" s="1" t="str" cm="1">
        <f t="array" ref="V102">IF($BA99="","",IF(INDEX(tblServicios[Conductor],$BA99)=$T$2,"Conductor","Personal adicional"))</f>
        <v/>
      </c>
      <c r="BA102" s="33" t="str" cm="1">
        <f t="array" ref="BA10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adicional]=$T$2))&gt;0)),ROW(A103)),"")</f>
        <v/>
      </c>
    </row>
    <row r="103" spans="15:53" x14ac:dyDescent="0.35">
      <c r="O103" s="1" t="str" cm="1">
        <f t="array" ref="O103">IF($BA100="","",INDEX(tblServicios[Fecha],$BA100))</f>
        <v/>
      </c>
      <c r="P103" s="1" t="str" cm="1">
        <f t="array" ref="P103">IF($BA100="","",INDEX(tblServicios[Contrato],$BA100))</f>
        <v/>
      </c>
      <c r="Q103" s="1" t="str" cm="1">
        <f t="array" ref="Q103">IF($BA100="","",INDEX(tblServicios[Vehículo],$BA100))</f>
        <v/>
      </c>
      <c r="R103" s="34" t="str" cm="1">
        <f t="array" ref="R103">IF($BA100="","",INDEX(tblServicios[Base imponible (€)],$BA100)-INDEX(tblServicios[Imp. suplemento (€)],$BA100))</f>
        <v/>
      </c>
      <c r="S103" s="34" t="str" cm="1">
        <f t="array" ref="S103">IF($BA100="","",INDEX(tblServicios[Imp. suplemento (€)],$BA100))</f>
        <v/>
      </c>
      <c r="T103" t="str" cm="1">
        <f t="array" ref="T103">IF($BA100="","",INDEX(tblServicios[Tipo suplemento],$BA100))</f>
        <v/>
      </c>
      <c r="U103" s="34" t="str">
        <f t="shared" si="2"/>
        <v/>
      </c>
      <c r="V103" s="1" t="str" cm="1">
        <f t="array" ref="V103">IF($BA100="","",IF(INDEX(tblServicios[Conductor],$BA100)=$T$2,"Conductor","Personal adicional"))</f>
        <v/>
      </c>
      <c r="BA103" s="33" t="str" cm="1">
        <f t="array" ref="BA10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adicional]=$T$2))&gt;0)),ROW(A104)),"")</f>
        <v/>
      </c>
    </row>
    <row r="104" spans="15:53" x14ac:dyDescent="0.35">
      <c r="O104" s="1" t="str" cm="1">
        <f t="array" ref="O104">IF($BA101="","",INDEX(tblServicios[Fecha],$BA101))</f>
        <v/>
      </c>
      <c r="P104" s="1" t="str" cm="1">
        <f t="array" ref="P104">IF($BA101="","",INDEX(tblServicios[Contrato],$BA101))</f>
        <v/>
      </c>
      <c r="Q104" s="1" t="str" cm="1">
        <f t="array" ref="Q104">IF($BA101="","",INDEX(tblServicios[Vehículo],$BA101))</f>
        <v/>
      </c>
      <c r="R104" s="34" t="str" cm="1">
        <f t="array" ref="R104">IF($BA101="","",INDEX(tblServicios[Base imponible (€)],$BA101)-INDEX(tblServicios[Imp. suplemento (€)],$BA101))</f>
        <v/>
      </c>
      <c r="S104" s="34" t="str" cm="1">
        <f t="array" ref="S104">IF($BA101="","",INDEX(tblServicios[Imp. suplemento (€)],$BA101))</f>
        <v/>
      </c>
      <c r="T104" t="str" cm="1">
        <f t="array" ref="T104">IF($BA101="","",INDEX(tblServicios[Tipo suplemento],$BA101))</f>
        <v/>
      </c>
      <c r="U104" s="34" t="str">
        <f t="shared" si="2"/>
        <v/>
      </c>
      <c r="V104" s="1" t="str" cm="1">
        <f t="array" ref="V104">IF($BA101="","",IF(INDEX(tblServicios[Conductor],$BA101)=$T$2,"Conductor","Personal adicional"))</f>
        <v/>
      </c>
      <c r="BA104" s="33" t="str" cm="1">
        <f t="array" ref="BA10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adicional]=$T$2))&gt;0)),ROW(A105)),"")</f>
        <v/>
      </c>
    </row>
    <row r="105" spans="15:53" x14ac:dyDescent="0.35">
      <c r="O105" s="1" t="str" cm="1">
        <f t="array" ref="O105">IF($BA102="","",INDEX(tblServicios[Fecha],$BA102))</f>
        <v/>
      </c>
      <c r="P105" s="1" t="str" cm="1">
        <f t="array" ref="P105">IF($BA102="","",INDEX(tblServicios[Contrato],$BA102))</f>
        <v/>
      </c>
      <c r="Q105" s="1" t="str" cm="1">
        <f t="array" ref="Q105">IF($BA102="","",INDEX(tblServicios[Vehículo],$BA102))</f>
        <v/>
      </c>
      <c r="R105" s="34" t="str" cm="1">
        <f t="array" ref="R105">IF($BA102="","",INDEX(tblServicios[Base imponible (€)],$BA102)-INDEX(tblServicios[Imp. suplemento (€)],$BA102))</f>
        <v/>
      </c>
      <c r="S105" s="34" t="str" cm="1">
        <f t="array" ref="S105">IF($BA102="","",INDEX(tblServicios[Imp. suplemento (€)],$BA102))</f>
        <v/>
      </c>
      <c r="T105" t="str" cm="1">
        <f t="array" ref="T105">IF($BA102="","",INDEX(tblServicios[Tipo suplemento],$BA102))</f>
        <v/>
      </c>
      <c r="U105" s="34" t="str">
        <f t="shared" si="2"/>
        <v/>
      </c>
      <c r="V105" s="1" t="str" cm="1">
        <f t="array" ref="V105">IF($BA102="","",IF(INDEX(tblServicios[Conductor],$BA102)=$T$2,"Conductor","Personal adicional"))</f>
        <v/>
      </c>
      <c r="BA105" s="33" t="str" cm="1">
        <f t="array" ref="BA10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adicional]=$T$2))&gt;0)),ROW(A106)),"")</f>
        <v/>
      </c>
    </row>
    <row r="106" spans="15:53" x14ac:dyDescent="0.35">
      <c r="O106" s="1" t="str" cm="1">
        <f t="array" ref="O106">IF($BA103="","",INDEX(tblServicios[Fecha],$BA103))</f>
        <v/>
      </c>
      <c r="P106" s="1" t="str" cm="1">
        <f t="array" ref="P106">IF($BA103="","",INDEX(tblServicios[Contrato],$BA103))</f>
        <v/>
      </c>
      <c r="Q106" s="1" t="str" cm="1">
        <f t="array" ref="Q106">IF($BA103="","",INDEX(tblServicios[Vehículo],$BA103))</f>
        <v/>
      </c>
      <c r="R106" s="34" t="str" cm="1">
        <f t="array" ref="R106">IF($BA103="","",INDEX(tblServicios[Base imponible (€)],$BA103)-INDEX(tblServicios[Imp. suplemento (€)],$BA103))</f>
        <v/>
      </c>
      <c r="S106" s="34" t="str" cm="1">
        <f t="array" ref="S106">IF($BA103="","",INDEX(tblServicios[Imp. suplemento (€)],$BA103))</f>
        <v/>
      </c>
      <c r="T106" t="str" cm="1">
        <f t="array" ref="T106">IF($BA103="","",INDEX(tblServicios[Tipo suplemento],$BA103))</f>
        <v/>
      </c>
      <c r="U106" s="34" t="str">
        <f t="shared" si="2"/>
        <v/>
      </c>
      <c r="V106" s="1" t="str" cm="1">
        <f t="array" ref="V106">IF($BA103="","",IF(INDEX(tblServicios[Conductor],$BA103)=$T$2,"Conductor","Personal adicional"))</f>
        <v/>
      </c>
      <c r="BA106" s="33" t="str" cm="1">
        <f t="array" ref="BA10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adicional]=$T$2))&gt;0)),ROW(A107)),"")</f>
        <v/>
      </c>
    </row>
    <row r="107" spans="15:53" x14ac:dyDescent="0.35">
      <c r="O107" s="1" t="str" cm="1">
        <f t="array" ref="O107">IF($BA104="","",INDEX(tblServicios[Fecha],$BA104))</f>
        <v/>
      </c>
      <c r="P107" s="1" t="str" cm="1">
        <f t="array" ref="P107">IF($BA104="","",INDEX(tblServicios[Contrato],$BA104))</f>
        <v/>
      </c>
      <c r="Q107" s="1" t="str" cm="1">
        <f t="array" ref="Q107">IF($BA104="","",INDEX(tblServicios[Vehículo],$BA104))</f>
        <v/>
      </c>
      <c r="R107" s="34" t="str" cm="1">
        <f t="array" ref="R107">IF($BA104="","",INDEX(tblServicios[Base imponible (€)],$BA104)-INDEX(tblServicios[Imp. suplemento (€)],$BA104))</f>
        <v/>
      </c>
      <c r="S107" s="34" t="str" cm="1">
        <f t="array" ref="S107">IF($BA104="","",INDEX(tblServicios[Imp. suplemento (€)],$BA104))</f>
        <v/>
      </c>
      <c r="T107" t="str" cm="1">
        <f t="array" ref="T107">IF($BA104="","",INDEX(tblServicios[Tipo suplemento],$BA104))</f>
        <v/>
      </c>
      <c r="U107" s="34" t="str">
        <f t="shared" si="2"/>
        <v/>
      </c>
      <c r="V107" s="1" t="str" cm="1">
        <f t="array" ref="V107">IF($BA104="","",IF(INDEX(tblServicios[Conductor],$BA104)=$T$2,"Conductor","Personal adicional"))</f>
        <v/>
      </c>
      <c r="BA107" s="33" t="str" cm="1">
        <f t="array" ref="BA10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adicional]=$T$2))&gt;0)),ROW(A108)),"")</f>
        <v/>
      </c>
    </row>
    <row r="108" spans="15:53" x14ac:dyDescent="0.35">
      <c r="O108" s="1" t="str" cm="1">
        <f t="array" ref="O108">IF($BA105="","",INDEX(tblServicios[Fecha],$BA105))</f>
        <v/>
      </c>
      <c r="P108" s="1" t="str" cm="1">
        <f t="array" ref="P108">IF($BA105="","",INDEX(tblServicios[Contrato],$BA105))</f>
        <v/>
      </c>
      <c r="Q108" s="1" t="str" cm="1">
        <f t="array" ref="Q108">IF($BA105="","",INDEX(tblServicios[Vehículo],$BA105))</f>
        <v/>
      </c>
      <c r="R108" s="34" t="str" cm="1">
        <f t="array" ref="R108">IF($BA105="","",INDEX(tblServicios[Base imponible (€)],$BA105)-INDEX(tblServicios[Imp. suplemento (€)],$BA105))</f>
        <v/>
      </c>
      <c r="S108" s="34" t="str" cm="1">
        <f t="array" ref="S108">IF($BA105="","",INDEX(tblServicios[Imp. suplemento (€)],$BA105))</f>
        <v/>
      </c>
      <c r="T108" t="str" cm="1">
        <f t="array" ref="T108">IF($BA105="","",INDEX(tblServicios[Tipo suplemento],$BA105))</f>
        <v/>
      </c>
      <c r="U108" s="34" t="str">
        <f t="shared" si="2"/>
        <v/>
      </c>
      <c r="V108" s="1" t="str" cm="1">
        <f t="array" ref="V108">IF($BA105="","",IF(INDEX(tblServicios[Conductor],$BA105)=$T$2,"Conductor","Personal adicional"))</f>
        <v/>
      </c>
      <c r="BA108" s="33" t="str" cm="1">
        <f t="array" ref="BA10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adicional]=$T$2))&gt;0)),ROW(A109)),"")</f>
        <v/>
      </c>
    </row>
    <row r="109" spans="15:53" x14ac:dyDescent="0.35">
      <c r="O109" s="1" t="str" cm="1">
        <f t="array" ref="O109">IF($BA106="","",INDEX(tblServicios[Fecha],$BA106))</f>
        <v/>
      </c>
      <c r="P109" s="1" t="str" cm="1">
        <f t="array" ref="P109">IF($BA106="","",INDEX(tblServicios[Contrato],$BA106))</f>
        <v/>
      </c>
      <c r="Q109" s="1" t="str" cm="1">
        <f t="array" ref="Q109">IF($BA106="","",INDEX(tblServicios[Vehículo],$BA106))</f>
        <v/>
      </c>
      <c r="R109" s="34" t="str" cm="1">
        <f t="array" ref="R109">IF($BA106="","",INDEX(tblServicios[Base imponible (€)],$BA106)-INDEX(tblServicios[Imp. suplemento (€)],$BA106))</f>
        <v/>
      </c>
      <c r="S109" s="34" t="str" cm="1">
        <f t="array" ref="S109">IF($BA106="","",INDEX(tblServicios[Imp. suplemento (€)],$BA106))</f>
        <v/>
      </c>
      <c r="T109" t="str" cm="1">
        <f t="array" ref="T109">IF($BA106="","",INDEX(tblServicios[Tipo suplemento],$BA106))</f>
        <v/>
      </c>
      <c r="U109" s="34" t="str">
        <f t="shared" si="2"/>
        <v/>
      </c>
      <c r="V109" s="1" t="str" cm="1">
        <f t="array" ref="V109">IF($BA106="","",IF(INDEX(tblServicios[Conductor],$BA106)=$T$2,"Conductor","Personal adicional"))</f>
        <v/>
      </c>
      <c r="BA109" s="33" t="str" cm="1">
        <f t="array" ref="BA10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adicional]=$T$2))&gt;0)),ROW(A110)),"")</f>
        <v/>
      </c>
    </row>
    <row r="110" spans="15:53" x14ac:dyDescent="0.35">
      <c r="O110" s="1" t="str" cm="1">
        <f t="array" ref="O110">IF($BA107="","",INDEX(tblServicios[Fecha],$BA107))</f>
        <v/>
      </c>
      <c r="P110" s="1" t="str" cm="1">
        <f t="array" ref="P110">IF($BA107="","",INDEX(tblServicios[Contrato],$BA107))</f>
        <v/>
      </c>
      <c r="Q110" s="1" t="str" cm="1">
        <f t="array" ref="Q110">IF($BA107="","",INDEX(tblServicios[Vehículo],$BA107))</f>
        <v/>
      </c>
      <c r="R110" s="34" t="str" cm="1">
        <f t="array" ref="R110">IF($BA107="","",INDEX(tblServicios[Base imponible (€)],$BA107)-INDEX(tblServicios[Imp. suplemento (€)],$BA107))</f>
        <v/>
      </c>
      <c r="S110" s="34" t="str" cm="1">
        <f t="array" ref="S110">IF($BA107="","",INDEX(tblServicios[Imp. suplemento (€)],$BA107))</f>
        <v/>
      </c>
      <c r="T110" t="str" cm="1">
        <f t="array" ref="T110">IF($BA107="","",INDEX(tblServicios[Tipo suplemento],$BA107))</f>
        <v/>
      </c>
      <c r="U110" s="34" t="str">
        <f t="shared" si="2"/>
        <v/>
      </c>
      <c r="V110" s="1" t="str" cm="1">
        <f t="array" ref="V110">IF($BA107="","",IF(INDEX(tblServicios[Conductor],$BA107)=$T$2,"Conductor","Personal adicional"))</f>
        <v/>
      </c>
      <c r="BA110" s="33" t="str" cm="1">
        <f t="array" ref="BA1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adicional]=$T$2))&gt;0)),ROW(A111)),"")</f>
        <v/>
      </c>
    </row>
    <row r="111" spans="15:53" x14ac:dyDescent="0.35">
      <c r="O111" s="1" t="str" cm="1">
        <f t="array" ref="O111">IF($BA108="","",INDEX(tblServicios[Fecha],$BA108))</f>
        <v/>
      </c>
      <c r="P111" s="1" t="str" cm="1">
        <f t="array" ref="P111">IF($BA108="","",INDEX(tblServicios[Contrato],$BA108))</f>
        <v/>
      </c>
      <c r="Q111" s="1" t="str" cm="1">
        <f t="array" ref="Q111">IF($BA108="","",INDEX(tblServicios[Vehículo],$BA108))</f>
        <v/>
      </c>
      <c r="R111" s="34" t="str" cm="1">
        <f t="array" ref="R111">IF($BA108="","",INDEX(tblServicios[Base imponible (€)],$BA108)-INDEX(tblServicios[Imp. suplemento (€)],$BA108))</f>
        <v/>
      </c>
      <c r="S111" s="34" t="str" cm="1">
        <f t="array" ref="S111">IF($BA108="","",INDEX(tblServicios[Imp. suplemento (€)],$BA108))</f>
        <v/>
      </c>
      <c r="T111" t="str" cm="1">
        <f t="array" ref="T111">IF($BA108="","",INDEX(tblServicios[Tipo suplemento],$BA108))</f>
        <v/>
      </c>
      <c r="U111" s="34" t="str">
        <f t="shared" si="2"/>
        <v/>
      </c>
      <c r="V111" s="1" t="str" cm="1">
        <f t="array" ref="V111">IF($BA108="","",IF(INDEX(tblServicios[Conductor],$BA108)=$T$2,"Conductor","Personal adicional"))</f>
        <v/>
      </c>
      <c r="BA111" s="33" t="str" cm="1">
        <f t="array" ref="BA1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adicional]=$T$2))&gt;0)),ROW(A112)),"")</f>
        <v/>
      </c>
    </row>
    <row r="112" spans="15:53" x14ac:dyDescent="0.35">
      <c r="O112" s="1" t="str" cm="1">
        <f t="array" ref="O112">IF($BA109="","",INDEX(tblServicios[Fecha],$BA109))</f>
        <v/>
      </c>
      <c r="P112" s="1" t="str" cm="1">
        <f t="array" ref="P112">IF($BA109="","",INDEX(tblServicios[Contrato],$BA109))</f>
        <v/>
      </c>
      <c r="Q112" s="1" t="str" cm="1">
        <f t="array" ref="Q112">IF($BA109="","",INDEX(tblServicios[Vehículo],$BA109))</f>
        <v/>
      </c>
      <c r="R112" s="34" t="str" cm="1">
        <f t="array" ref="R112">IF($BA109="","",INDEX(tblServicios[Base imponible (€)],$BA109)-INDEX(tblServicios[Imp. suplemento (€)],$BA109))</f>
        <v/>
      </c>
      <c r="S112" s="34" t="str" cm="1">
        <f t="array" ref="S112">IF($BA109="","",INDEX(tblServicios[Imp. suplemento (€)],$BA109))</f>
        <v/>
      </c>
      <c r="T112" t="str" cm="1">
        <f t="array" ref="T112">IF($BA109="","",INDEX(tblServicios[Tipo suplemento],$BA109))</f>
        <v/>
      </c>
      <c r="U112" s="34" t="str">
        <f t="shared" si="2"/>
        <v/>
      </c>
      <c r="V112" s="1" t="str" cm="1">
        <f t="array" ref="V112">IF($BA109="","",IF(INDEX(tblServicios[Conductor],$BA109)=$T$2,"Conductor","Personal adicional"))</f>
        <v/>
      </c>
      <c r="BA112" s="33" t="str" cm="1">
        <f t="array" ref="BA1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adicional]=$T$2))&gt;0)),ROW(A113)),"")</f>
        <v/>
      </c>
    </row>
    <row r="113" spans="15:53" x14ac:dyDescent="0.35">
      <c r="O113" s="1" t="str" cm="1">
        <f t="array" ref="O113">IF($BA110="","",INDEX(tblServicios[Fecha],$BA110))</f>
        <v/>
      </c>
      <c r="P113" s="1" t="str" cm="1">
        <f t="array" ref="P113">IF($BA110="","",INDEX(tblServicios[Contrato],$BA110))</f>
        <v/>
      </c>
      <c r="Q113" s="1" t="str" cm="1">
        <f t="array" ref="Q113">IF($BA110="","",INDEX(tblServicios[Vehículo],$BA110))</f>
        <v/>
      </c>
      <c r="R113" s="34" t="str" cm="1">
        <f t="array" ref="R113">IF($BA110="","",INDEX(tblServicios[Base imponible (€)],$BA110)-INDEX(tblServicios[Imp. suplemento (€)],$BA110))</f>
        <v/>
      </c>
      <c r="S113" s="34" t="str" cm="1">
        <f t="array" ref="S113">IF($BA110="","",INDEX(tblServicios[Imp. suplemento (€)],$BA110))</f>
        <v/>
      </c>
      <c r="T113" t="str" cm="1">
        <f t="array" ref="T113">IF($BA110="","",INDEX(tblServicios[Tipo suplemento],$BA110))</f>
        <v/>
      </c>
      <c r="U113" s="34" t="str">
        <f t="shared" si="2"/>
        <v/>
      </c>
      <c r="V113" s="1" t="str" cm="1">
        <f t="array" ref="V113">IF($BA110="","",IF(INDEX(tblServicios[Conductor],$BA110)=$T$2,"Conductor","Personal adicional"))</f>
        <v/>
      </c>
      <c r="BA113" s="33" t="str" cm="1">
        <f t="array" ref="BA1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adicional]=$T$2))&gt;0)),ROW(A114)),"")</f>
        <v/>
      </c>
    </row>
    <row r="114" spans="15:53" x14ac:dyDescent="0.35">
      <c r="O114" s="1" t="str" cm="1">
        <f t="array" ref="O114">IF($BA111="","",INDEX(tblServicios[Fecha],$BA111))</f>
        <v/>
      </c>
      <c r="P114" s="1" t="str" cm="1">
        <f t="array" ref="P114">IF($BA111="","",INDEX(tblServicios[Contrato],$BA111))</f>
        <v/>
      </c>
      <c r="Q114" s="1" t="str" cm="1">
        <f t="array" ref="Q114">IF($BA111="","",INDEX(tblServicios[Vehículo],$BA111))</f>
        <v/>
      </c>
      <c r="R114" s="34" t="str" cm="1">
        <f t="array" ref="R114">IF($BA111="","",INDEX(tblServicios[Base imponible (€)],$BA111)-INDEX(tblServicios[Imp. suplemento (€)],$BA111))</f>
        <v/>
      </c>
      <c r="S114" s="34" t="str" cm="1">
        <f t="array" ref="S114">IF($BA111="","",INDEX(tblServicios[Imp. suplemento (€)],$BA111))</f>
        <v/>
      </c>
      <c r="T114" t="str" cm="1">
        <f t="array" ref="T114">IF($BA111="","",INDEX(tblServicios[Tipo suplemento],$BA111))</f>
        <v/>
      </c>
      <c r="U114" s="34" t="str">
        <f t="shared" si="2"/>
        <v/>
      </c>
      <c r="V114" s="1" t="str" cm="1">
        <f t="array" ref="V114">IF($BA111="","",IF(INDEX(tblServicios[Conductor],$BA111)=$T$2,"Conductor","Personal adicional"))</f>
        <v/>
      </c>
      <c r="BA114" s="33" t="str" cm="1">
        <f t="array" ref="BA1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adicional]=$T$2))&gt;0)),ROW(A115)),"")</f>
        <v/>
      </c>
    </row>
    <row r="115" spans="15:53" x14ac:dyDescent="0.35">
      <c r="O115" s="1" t="str" cm="1">
        <f t="array" ref="O115">IF($BA112="","",INDEX(tblServicios[Fecha],$BA112))</f>
        <v/>
      </c>
      <c r="P115" s="1" t="str" cm="1">
        <f t="array" ref="P115">IF($BA112="","",INDEX(tblServicios[Contrato],$BA112))</f>
        <v/>
      </c>
      <c r="Q115" s="1" t="str" cm="1">
        <f t="array" ref="Q115">IF($BA112="","",INDEX(tblServicios[Vehículo],$BA112))</f>
        <v/>
      </c>
      <c r="R115" s="34" t="str" cm="1">
        <f t="array" ref="R115">IF($BA112="","",INDEX(tblServicios[Base imponible (€)],$BA112)-INDEX(tblServicios[Imp. suplemento (€)],$BA112))</f>
        <v/>
      </c>
      <c r="S115" s="34" t="str" cm="1">
        <f t="array" ref="S115">IF($BA112="","",INDEX(tblServicios[Imp. suplemento (€)],$BA112))</f>
        <v/>
      </c>
      <c r="T115" t="str" cm="1">
        <f t="array" ref="T115">IF($BA112="","",INDEX(tblServicios[Tipo suplemento],$BA112))</f>
        <v/>
      </c>
      <c r="U115" s="34" t="str">
        <f t="shared" si="2"/>
        <v/>
      </c>
      <c r="V115" s="1" t="str" cm="1">
        <f t="array" ref="V115">IF($BA112="","",IF(INDEX(tblServicios[Conductor],$BA112)=$T$2,"Conductor","Personal adicional"))</f>
        <v/>
      </c>
      <c r="BA115" s="33" t="str" cm="1">
        <f t="array" ref="BA1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adicional]=$T$2))&gt;0)),ROW(A116)),"")</f>
        <v/>
      </c>
    </row>
    <row r="116" spans="15:53" x14ac:dyDescent="0.35">
      <c r="O116" s="1" t="str" cm="1">
        <f t="array" ref="O116">IF($BA113="","",INDEX(tblServicios[Fecha],$BA113))</f>
        <v/>
      </c>
      <c r="P116" s="1" t="str" cm="1">
        <f t="array" ref="P116">IF($BA113="","",INDEX(tblServicios[Contrato],$BA113))</f>
        <v/>
      </c>
      <c r="Q116" s="1" t="str" cm="1">
        <f t="array" ref="Q116">IF($BA113="","",INDEX(tblServicios[Vehículo],$BA113))</f>
        <v/>
      </c>
      <c r="R116" s="34" t="str" cm="1">
        <f t="array" ref="R116">IF($BA113="","",INDEX(tblServicios[Base imponible (€)],$BA113)-INDEX(tblServicios[Imp. suplemento (€)],$BA113))</f>
        <v/>
      </c>
      <c r="S116" s="34" t="str" cm="1">
        <f t="array" ref="S116">IF($BA113="","",INDEX(tblServicios[Imp. suplemento (€)],$BA113))</f>
        <v/>
      </c>
      <c r="T116" t="str" cm="1">
        <f t="array" ref="T116">IF($BA113="","",INDEX(tblServicios[Tipo suplemento],$BA113))</f>
        <v/>
      </c>
      <c r="U116" s="34" t="str">
        <f t="shared" si="2"/>
        <v/>
      </c>
      <c r="V116" s="1" t="str" cm="1">
        <f t="array" ref="V116">IF($BA113="","",IF(INDEX(tblServicios[Conductor],$BA113)=$T$2,"Conductor","Personal adicional"))</f>
        <v/>
      </c>
      <c r="BA116" s="33" t="str" cm="1">
        <f t="array" ref="BA1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adicional]=$T$2))&gt;0)),ROW(A117)),"")</f>
        <v/>
      </c>
    </row>
    <row r="117" spans="15:53" x14ac:dyDescent="0.35">
      <c r="O117" s="1" t="str" cm="1">
        <f t="array" ref="O117">IF($BA114="","",INDEX(tblServicios[Fecha],$BA114))</f>
        <v/>
      </c>
      <c r="P117" s="1" t="str" cm="1">
        <f t="array" ref="P117">IF($BA114="","",INDEX(tblServicios[Contrato],$BA114))</f>
        <v/>
      </c>
      <c r="Q117" s="1" t="str" cm="1">
        <f t="array" ref="Q117">IF($BA114="","",INDEX(tblServicios[Vehículo],$BA114))</f>
        <v/>
      </c>
      <c r="R117" s="34" t="str" cm="1">
        <f t="array" ref="R117">IF($BA114="","",INDEX(tblServicios[Base imponible (€)],$BA114)-INDEX(tblServicios[Imp. suplemento (€)],$BA114))</f>
        <v/>
      </c>
      <c r="S117" s="34" t="str" cm="1">
        <f t="array" ref="S117">IF($BA114="","",INDEX(tblServicios[Imp. suplemento (€)],$BA114))</f>
        <v/>
      </c>
      <c r="T117" t="str" cm="1">
        <f t="array" ref="T117">IF($BA114="","",INDEX(tblServicios[Tipo suplemento],$BA114))</f>
        <v/>
      </c>
      <c r="U117" s="34" t="str">
        <f t="shared" si="2"/>
        <v/>
      </c>
      <c r="V117" s="1" t="str" cm="1">
        <f t="array" ref="V117">IF($BA114="","",IF(INDEX(tblServicios[Conductor],$BA114)=$T$2,"Conductor","Personal adicional"))</f>
        <v/>
      </c>
      <c r="BA117" s="33" t="str" cm="1">
        <f t="array" ref="BA1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adicional]=$T$2))&gt;0)),ROW(A118)),"")</f>
        <v/>
      </c>
    </row>
    <row r="118" spans="15:53" x14ac:dyDescent="0.35">
      <c r="O118" s="1" t="str" cm="1">
        <f t="array" ref="O118">IF($BA115="","",INDEX(tblServicios[Fecha],$BA115))</f>
        <v/>
      </c>
      <c r="P118" s="1" t="str" cm="1">
        <f t="array" ref="P118">IF($BA115="","",INDEX(tblServicios[Contrato],$BA115))</f>
        <v/>
      </c>
      <c r="Q118" s="1" t="str" cm="1">
        <f t="array" ref="Q118">IF($BA115="","",INDEX(tblServicios[Vehículo],$BA115))</f>
        <v/>
      </c>
      <c r="R118" s="34" t="str" cm="1">
        <f t="array" ref="R118">IF($BA115="","",INDEX(tblServicios[Base imponible (€)],$BA115)-INDEX(tblServicios[Imp. suplemento (€)],$BA115))</f>
        <v/>
      </c>
      <c r="S118" s="34" t="str" cm="1">
        <f t="array" ref="S118">IF($BA115="","",INDEX(tblServicios[Imp. suplemento (€)],$BA115))</f>
        <v/>
      </c>
      <c r="T118" t="str" cm="1">
        <f t="array" ref="T118">IF($BA115="","",INDEX(tblServicios[Tipo suplemento],$BA115))</f>
        <v/>
      </c>
      <c r="U118" s="34" t="str">
        <f t="shared" si="2"/>
        <v/>
      </c>
      <c r="V118" s="1" t="str" cm="1">
        <f t="array" ref="V118">IF($BA115="","",IF(INDEX(tblServicios[Conductor],$BA115)=$T$2,"Conductor","Personal adicional"))</f>
        <v/>
      </c>
      <c r="BA118" s="33" t="str" cm="1">
        <f t="array" ref="BA1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adicional]=$T$2))&gt;0)),ROW(A119)),"")</f>
        <v/>
      </c>
    </row>
    <row r="119" spans="15:53" x14ac:dyDescent="0.35">
      <c r="O119" s="1" t="str" cm="1">
        <f t="array" ref="O119">IF($BA116="","",INDEX(tblServicios[Fecha],$BA116))</f>
        <v/>
      </c>
      <c r="P119" s="1" t="str" cm="1">
        <f t="array" ref="P119">IF($BA116="","",INDEX(tblServicios[Contrato],$BA116))</f>
        <v/>
      </c>
      <c r="Q119" s="1" t="str" cm="1">
        <f t="array" ref="Q119">IF($BA116="","",INDEX(tblServicios[Vehículo],$BA116))</f>
        <v/>
      </c>
      <c r="R119" s="34" t="str" cm="1">
        <f t="array" ref="R119">IF($BA116="","",INDEX(tblServicios[Base imponible (€)],$BA116)-INDEX(tblServicios[Imp. suplemento (€)],$BA116))</f>
        <v/>
      </c>
      <c r="S119" s="34" t="str" cm="1">
        <f t="array" ref="S119">IF($BA116="","",INDEX(tblServicios[Imp. suplemento (€)],$BA116))</f>
        <v/>
      </c>
      <c r="T119" t="str" cm="1">
        <f t="array" ref="T119">IF($BA116="","",INDEX(tblServicios[Tipo suplemento],$BA116))</f>
        <v/>
      </c>
      <c r="U119" s="34" t="str">
        <f t="shared" si="2"/>
        <v/>
      </c>
      <c r="V119" s="1" t="str" cm="1">
        <f t="array" ref="V119">IF($BA116="","",IF(INDEX(tblServicios[Conductor],$BA116)=$T$2,"Conductor","Personal adicional"))</f>
        <v/>
      </c>
      <c r="BA119" s="33" t="str" cm="1">
        <f t="array" ref="BA1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adicional]=$T$2))&gt;0)),ROW(A120)),"")</f>
        <v/>
      </c>
    </row>
    <row r="120" spans="15:53" x14ac:dyDescent="0.35">
      <c r="O120" s="1" t="str" cm="1">
        <f t="array" ref="O120">IF($BA117="","",INDEX(tblServicios[Fecha],$BA117))</f>
        <v/>
      </c>
      <c r="P120" s="1" t="str" cm="1">
        <f t="array" ref="P120">IF($BA117="","",INDEX(tblServicios[Contrato],$BA117))</f>
        <v/>
      </c>
      <c r="Q120" s="1" t="str" cm="1">
        <f t="array" ref="Q120">IF($BA117="","",INDEX(tblServicios[Vehículo],$BA117))</f>
        <v/>
      </c>
      <c r="R120" s="34" t="str" cm="1">
        <f t="array" ref="R120">IF($BA117="","",INDEX(tblServicios[Base imponible (€)],$BA117)-INDEX(tblServicios[Imp. suplemento (€)],$BA117))</f>
        <v/>
      </c>
      <c r="S120" s="34" t="str" cm="1">
        <f t="array" ref="S120">IF($BA117="","",INDEX(tblServicios[Imp. suplemento (€)],$BA117))</f>
        <v/>
      </c>
      <c r="T120" t="str" cm="1">
        <f t="array" ref="T120">IF($BA117="","",INDEX(tblServicios[Tipo suplemento],$BA117))</f>
        <v/>
      </c>
      <c r="U120" s="34" t="str">
        <f t="shared" si="2"/>
        <v/>
      </c>
      <c r="V120" s="1" t="str" cm="1">
        <f t="array" ref="V120">IF($BA117="","",IF(INDEX(tblServicios[Conductor],$BA117)=$T$2,"Conductor","Personal adicional"))</f>
        <v/>
      </c>
      <c r="BA120" s="33" t="str" cm="1">
        <f t="array" ref="BA1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adicional]=$T$2))&gt;0)),ROW(A121)),"")</f>
        <v/>
      </c>
    </row>
    <row r="121" spans="15:53" x14ac:dyDescent="0.35">
      <c r="O121" s="1" t="str" cm="1">
        <f t="array" ref="O121">IF($BA118="","",INDEX(tblServicios[Fecha],$BA118))</f>
        <v/>
      </c>
      <c r="P121" s="1" t="str" cm="1">
        <f t="array" ref="P121">IF($BA118="","",INDEX(tblServicios[Contrato],$BA118))</f>
        <v/>
      </c>
      <c r="Q121" s="1" t="str" cm="1">
        <f t="array" ref="Q121">IF($BA118="","",INDEX(tblServicios[Vehículo],$BA118))</f>
        <v/>
      </c>
      <c r="R121" s="34" t="str" cm="1">
        <f t="array" ref="R121">IF($BA118="","",INDEX(tblServicios[Base imponible (€)],$BA118)-INDEX(tblServicios[Imp. suplemento (€)],$BA118))</f>
        <v/>
      </c>
      <c r="S121" s="34" t="str" cm="1">
        <f t="array" ref="S121">IF($BA118="","",INDEX(tblServicios[Imp. suplemento (€)],$BA118))</f>
        <v/>
      </c>
      <c r="T121" t="str" cm="1">
        <f t="array" ref="T121">IF($BA118="","",INDEX(tblServicios[Tipo suplemento],$BA118))</f>
        <v/>
      </c>
      <c r="U121" s="34" t="str">
        <f t="shared" si="2"/>
        <v/>
      </c>
      <c r="V121" s="1" t="str" cm="1">
        <f t="array" ref="V121">IF($BA118="","",IF(INDEX(tblServicios[Conductor],$BA118)=$T$2,"Conductor","Personal adicional"))</f>
        <v/>
      </c>
      <c r="BA121" s="33" t="str" cm="1">
        <f t="array" ref="BA1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adicional]=$T$2))&gt;0)),ROW(A122)),"")</f>
        <v/>
      </c>
    </row>
    <row r="122" spans="15:53" x14ac:dyDescent="0.35">
      <c r="O122" s="1" t="str" cm="1">
        <f t="array" ref="O122">IF($BA119="","",INDEX(tblServicios[Fecha],$BA119))</f>
        <v/>
      </c>
      <c r="P122" s="1" t="str" cm="1">
        <f t="array" ref="P122">IF($BA119="","",INDEX(tblServicios[Contrato],$BA119))</f>
        <v/>
      </c>
      <c r="Q122" s="1" t="str" cm="1">
        <f t="array" ref="Q122">IF($BA119="","",INDEX(tblServicios[Vehículo],$BA119))</f>
        <v/>
      </c>
      <c r="R122" s="34" t="str" cm="1">
        <f t="array" ref="R122">IF($BA119="","",INDEX(tblServicios[Base imponible (€)],$BA119)-INDEX(tblServicios[Imp. suplemento (€)],$BA119))</f>
        <v/>
      </c>
      <c r="S122" s="34" t="str" cm="1">
        <f t="array" ref="S122">IF($BA119="","",INDEX(tblServicios[Imp. suplemento (€)],$BA119))</f>
        <v/>
      </c>
      <c r="T122" t="str" cm="1">
        <f t="array" ref="T122">IF($BA119="","",INDEX(tblServicios[Tipo suplemento],$BA119))</f>
        <v/>
      </c>
      <c r="U122" s="34" t="str">
        <f t="shared" si="2"/>
        <v/>
      </c>
      <c r="V122" s="1" t="str" cm="1">
        <f t="array" ref="V122">IF($BA119="","",IF(INDEX(tblServicios[Conductor],$BA119)=$T$2,"Conductor","Personal adicional"))</f>
        <v/>
      </c>
      <c r="BA122" s="33" t="str" cm="1">
        <f t="array" ref="BA1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adicional]=$T$2))&gt;0)),ROW(A123)),"")</f>
        <v/>
      </c>
    </row>
    <row r="123" spans="15:53" x14ac:dyDescent="0.35">
      <c r="O123" s="1" t="str" cm="1">
        <f t="array" ref="O123">IF($BA120="","",INDEX(tblServicios[Fecha],$BA120))</f>
        <v/>
      </c>
      <c r="P123" s="1" t="str" cm="1">
        <f t="array" ref="P123">IF($BA120="","",INDEX(tblServicios[Contrato],$BA120))</f>
        <v/>
      </c>
      <c r="Q123" s="1" t="str" cm="1">
        <f t="array" ref="Q123">IF($BA120="","",INDEX(tblServicios[Vehículo],$BA120))</f>
        <v/>
      </c>
      <c r="R123" s="34" t="str" cm="1">
        <f t="array" ref="R123">IF($BA120="","",INDEX(tblServicios[Base imponible (€)],$BA120)-INDEX(tblServicios[Imp. suplemento (€)],$BA120))</f>
        <v/>
      </c>
      <c r="S123" s="34" t="str" cm="1">
        <f t="array" ref="S123">IF($BA120="","",INDEX(tblServicios[Imp. suplemento (€)],$BA120))</f>
        <v/>
      </c>
      <c r="T123" t="str" cm="1">
        <f t="array" ref="T123">IF($BA120="","",INDEX(tblServicios[Tipo suplemento],$BA120))</f>
        <v/>
      </c>
      <c r="U123" s="34" t="str">
        <f t="shared" si="2"/>
        <v/>
      </c>
      <c r="V123" s="1" t="str" cm="1">
        <f t="array" ref="V123">IF($BA120="","",IF(INDEX(tblServicios[Conductor],$BA120)=$T$2,"Conductor","Personal adicional"))</f>
        <v/>
      </c>
      <c r="BA123" s="33" t="str" cm="1">
        <f t="array" ref="BA1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adicional]=$T$2))&gt;0)),ROW(A124)),"")</f>
        <v/>
      </c>
    </row>
    <row r="124" spans="15:53" x14ac:dyDescent="0.35">
      <c r="O124" s="1" t="str" cm="1">
        <f t="array" ref="O124">IF($BA121="","",INDEX(tblServicios[Fecha],$BA121))</f>
        <v/>
      </c>
      <c r="P124" s="1" t="str" cm="1">
        <f t="array" ref="P124">IF($BA121="","",INDEX(tblServicios[Contrato],$BA121))</f>
        <v/>
      </c>
      <c r="Q124" s="1" t="str" cm="1">
        <f t="array" ref="Q124">IF($BA121="","",INDEX(tblServicios[Vehículo],$BA121))</f>
        <v/>
      </c>
      <c r="R124" s="34" t="str" cm="1">
        <f t="array" ref="R124">IF($BA121="","",INDEX(tblServicios[Base imponible (€)],$BA121)-INDEX(tblServicios[Imp. suplemento (€)],$BA121))</f>
        <v/>
      </c>
      <c r="S124" s="34" t="str" cm="1">
        <f t="array" ref="S124">IF($BA121="","",INDEX(tblServicios[Imp. suplemento (€)],$BA121))</f>
        <v/>
      </c>
      <c r="T124" t="str" cm="1">
        <f t="array" ref="T124">IF($BA121="","",INDEX(tblServicios[Tipo suplemento],$BA121))</f>
        <v/>
      </c>
      <c r="U124" s="34" t="str">
        <f t="shared" si="2"/>
        <v/>
      </c>
      <c r="V124" s="1" t="str" cm="1">
        <f t="array" ref="V124">IF($BA121="","",IF(INDEX(tblServicios[Conductor],$BA121)=$T$2,"Conductor","Personal adicional"))</f>
        <v/>
      </c>
      <c r="BA124" s="33" t="str" cm="1">
        <f t="array" ref="BA1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adicional]=$T$2))&gt;0)),ROW(A125)),"")</f>
        <v/>
      </c>
    </row>
    <row r="125" spans="15:53" x14ac:dyDescent="0.35">
      <c r="O125" s="1" t="str" cm="1">
        <f t="array" ref="O125">IF($BA122="","",INDEX(tblServicios[Fecha],$BA122))</f>
        <v/>
      </c>
      <c r="P125" s="1" t="str" cm="1">
        <f t="array" ref="P125">IF($BA122="","",INDEX(tblServicios[Contrato],$BA122))</f>
        <v/>
      </c>
      <c r="Q125" s="1" t="str" cm="1">
        <f t="array" ref="Q125">IF($BA122="","",INDEX(tblServicios[Vehículo],$BA122))</f>
        <v/>
      </c>
      <c r="R125" s="34" t="str" cm="1">
        <f t="array" ref="R125">IF($BA122="","",INDEX(tblServicios[Base imponible (€)],$BA122)-INDEX(tblServicios[Imp. suplemento (€)],$BA122))</f>
        <v/>
      </c>
      <c r="S125" s="34" t="str" cm="1">
        <f t="array" ref="S125">IF($BA122="","",INDEX(tblServicios[Imp. suplemento (€)],$BA122))</f>
        <v/>
      </c>
      <c r="T125" t="str" cm="1">
        <f t="array" ref="T125">IF($BA122="","",INDEX(tblServicios[Tipo suplemento],$BA122))</f>
        <v/>
      </c>
      <c r="U125" s="34" t="str">
        <f t="shared" si="2"/>
        <v/>
      </c>
      <c r="V125" s="1" t="str" cm="1">
        <f t="array" ref="V125">IF($BA122="","",IF(INDEX(tblServicios[Conductor],$BA122)=$T$2,"Conductor","Personal adicional"))</f>
        <v/>
      </c>
      <c r="BA125" s="33" t="str" cm="1">
        <f t="array" ref="BA1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adicional]=$T$2))&gt;0)),ROW(A126)),"")</f>
        <v/>
      </c>
    </row>
    <row r="126" spans="15:53" x14ac:dyDescent="0.35">
      <c r="O126" s="1" t="str" cm="1">
        <f t="array" ref="O126">IF($BA123="","",INDEX(tblServicios[Fecha],$BA123))</f>
        <v/>
      </c>
      <c r="P126" s="1" t="str" cm="1">
        <f t="array" ref="P126">IF($BA123="","",INDEX(tblServicios[Contrato],$BA123))</f>
        <v/>
      </c>
      <c r="Q126" s="1" t="str" cm="1">
        <f t="array" ref="Q126">IF($BA123="","",INDEX(tblServicios[Vehículo],$BA123))</f>
        <v/>
      </c>
      <c r="R126" s="34" t="str" cm="1">
        <f t="array" ref="R126">IF($BA123="","",INDEX(tblServicios[Base imponible (€)],$BA123)-INDEX(tblServicios[Imp. suplemento (€)],$BA123))</f>
        <v/>
      </c>
      <c r="S126" s="34" t="str" cm="1">
        <f t="array" ref="S126">IF($BA123="","",INDEX(tblServicios[Imp. suplemento (€)],$BA123))</f>
        <v/>
      </c>
      <c r="T126" t="str" cm="1">
        <f t="array" ref="T126">IF($BA123="","",INDEX(tblServicios[Tipo suplemento],$BA123))</f>
        <v/>
      </c>
      <c r="U126" s="34" t="str">
        <f t="shared" si="2"/>
        <v/>
      </c>
      <c r="V126" s="1" t="str" cm="1">
        <f t="array" ref="V126">IF($BA123="","",IF(INDEX(tblServicios[Conductor],$BA123)=$T$2,"Conductor","Personal adicional"))</f>
        <v/>
      </c>
      <c r="BA126" s="33" t="str" cm="1">
        <f t="array" ref="BA1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adicional]=$T$2))&gt;0)),ROW(A127)),"")</f>
        <v/>
      </c>
    </row>
    <row r="127" spans="15:53" x14ac:dyDescent="0.35">
      <c r="O127" s="1" t="str" cm="1">
        <f t="array" ref="O127">IF($BA124="","",INDEX(tblServicios[Fecha],$BA124))</f>
        <v/>
      </c>
      <c r="P127" s="1" t="str" cm="1">
        <f t="array" ref="P127">IF($BA124="","",INDEX(tblServicios[Contrato],$BA124))</f>
        <v/>
      </c>
      <c r="Q127" s="1" t="str" cm="1">
        <f t="array" ref="Q127">IF($BA124="","",INDEX(tblServicios[Vehículo],$BA124))</f>
        <v/>
      </c>
      <c r="R127" s="34" t="str" cm="1">
        <f t="array" ref="R127">IF($BA124="","",INDEX(tblServicios[Base imponible (€)],$BA124)-INDEX(tblServicios[Imp. suplemento (€)],$BA124))</f>
        <v/>
      </c>
      <c r="S127" s="34" t="str" cm="1">
        <f t="array" ref="S127">IF($BA124="","",INDEX(tblServicios[Imp. suplemento (€)],$BA124))</f>
        <v/>
      </c>
      <c r="T127" t="str" cm="1">
        <f t="array" ref="T127">IF($BA124="","",INDEX(tblServicios[Tipo suplemento],$BA124))</f>
        <v/>
      </c>
      <c r="U127" s="34" t="str">
        <f t="shared" si="2"/>
        <v/>
      </c>
      <c r="V127" s="1" t="str" cm="1">
        <f t="array" ref="V127">IF($BA124="","",IF(INDEX(tblServicios[Conductor],$BA124)=$T$2,"Conductor","Personal adicional"))</f>
        <v/>
      </c>
      <c r="BA127" s="33" t="str" cm="1">
        <f t="array" ref="BA1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adicional]=$T$2))&gt;0)),ROW(A128)),"")</f>
        <v/>
      </c>
    </row>
    <row r="128" spans="15:53" x14ac:dyDescent="0.35">
      <c r="O128" s="1" t="str" cm="1">
        <f t="array" ref="O128">IF($BA125="","",INDEX(tblServicios[Fecha],$BA125))</f>
        <v/>
      </c>
      <c r="P128" s="1" t="str" cm="1">
        <f t="array" ref="P128">IF($BA125="","",INDEX(tblServicios[Contrato],$BA125))</f>
        <v/>
      </c>
      <c r="Q128" s="1" t="str" cm="1">
        <f t="array" ref="Q128">IF($BA125="","",INDEX(tblServicios[Vehículo],$BA125))</f>
        <v/>
      </c>
      <c r="R128" s="34" t="str" cm="1">
        <f t="array" ref="R128">IF($BA125="","",INDEX(tblServicios[Base imponible (€)],$BA125)-INDEX(tblServicios[Imp. suplemento (€)],$BA125))</f>
        <v/>
      </c>
      <c r="S128" s="34" t="str" cm="1">
        <f t="array" ref="S128">IF($BA125="","",INDEX(tblServicios[Imp. suplemento (€)],$BA125))</f>
        <v/>
      </c>
      <c r="T128" t="str" cm="1">
        <f t="array" ref="T128">IF($BA125="","",INDEX(tblServicios[Tipo suplemento],$BA125))</f>
        <v/>
      </c>
      <c r="U128" s="34" t="str">
        <f t="shared" si="2"/>
        <v/>
      </c>
      <c r="V128" s="1" t="str" cm="1">
        <f t="array" ref="V128">IF($BA125="","",IF(INDEX(tblServicios[Conductor],$BA125)=$T$2,"Conductor","Personal adicional"))</f>
        <v/>
      </c>
      <c r="BA128" s="33" t="str" cm="1">
        <f t="array" ref="BA1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adicional]=$T$2))&gt;0)),ROW(A129)),"")</f>
        <v/>
      </c>
    </row>
    <row r="129" spans="15:53" x14ac:dyDescent="0.35">
      <c r="O129" s="1" t="str" cm="1">
        <f t="array" ref="O129">IF($BA126="","",INDEX(tblServicios[Fecha],$BA126))</f>
        <v/>
      </c>
      <c r="P129" s="1" t="str" cm="1">
        <f t="array" ref="P129">IF($BA126="","",INDEX(tblServicios[Contrato],$BA126))</f>
        <v/>
      </c>
      <c r="Q129" s="1" t="str" cm="1">
        <f t="array" ref="Q129">IF($BA126="","",INDEX(tblServicios[Vehículo],$BA126))</f>
        <v/>
      </c>
      <c r="R129" s="34" t="str" cm="1">
        <f t="array" ref="R129">IF($BA126="","",INDEX(tblServicios[Base imponible (€)],$BA126)-INDEX(tblServicios[Imp. suplemento (€)],$BA126))</f>
        <v/>
      </c>
      <c r="S129" s="34" t="str" cm="1">
        <f t="array" ref="S129">IF($BA126="","",INDEX(tblServicios[Imp. suplemento (€)],$BA126))</f>
        <v/>
      </c>
      <c r="T129" t="str" cm="1">
        <f t="array" ref="T129">IF($BA126="","",INDEX(tblServicios[Tipo suplemento],$BA126))</f>
        <v/>
      </c>
      <c r="U129" s="34" t="str">
        <f t="shared" si="2"/>
        <v/>
      </c>
      <c r="V129" s="1" t="str" cm="1">
        <f t="array" ref="V129">IF($BA126="","",IF(INDEX(tblServicios[Conductor],$BA126)=$T$2,"Conductor","Personal adicional"))</f>
        <v/>
      </c>
      <c r="BA129" s="33" t="str" cm="1">
        <f t="array" ref="BA1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adicional]=$T$2))&gt;0)),ROW(A130)),"")</f>
        <v/>
      </c>
    </row>
    <row r="130" spans="15:53" x14ac:dyDescent="0.35">
      <c r="O130" s="1" t="str" cm="1">
        <f t="array" ref="O130">IF($BA127="","",INDEX(tblServicios[Fecha],$BA127))</f>
        <v/>
      </c>
      <c r="P130" s="1" t="str" cm="1">
        <f t="array" ref="P130">IF($BA127="","",INDEX(tblServicios[Contrato],$BA127))</f>
        <v/>
      </c>
      <c r="Q130" s="1" t="str" cm="1">
        <f t="array" ref="Q130">IF($BA127="","",INDEX(tblServicios[Vehículo],$BA127))</f>
        <v/>
      </c>
      <c r="R130" s="34" t="str" cm="1">
        <f t="array" ref="R130">IF($BA127="","",INDEX(tblServicios[Base imponible (€)],$BA127)-INDEX(tblServicios[Imp. suplemento (€)],$BA127))</f>
        <v/>
      </c>
      <c r="S130" s="34" t="str" cm="1">
        <f t="array" ref="S130">IF($BA127="","",INDEX(tblServicios[Imp. suplemento (€)],$BA127))</f>
        <v/>
      </c>
      <c r="T130" t="str" cm="1">
        <f t="array" ref="T130">IF($BA127="","",INDEX(tblServicios[Tipo suplemento],$BA127))</f>
        <v/>
      </c>
      <c r="U130" s="34" t="str">
        <f t="shared" si="2"/>
        <v/>
      </c>
      <c r="V130" s="1" t="str" cm="1">
        <f t="array" ref="V130">IF($BA127="","",IF(INDEX(tblServicios[Conductor],$BA127)=$T$2,"Conductor","Personal adicional"))</f>
        <v/>
      </c>
      <c r="BA130" s="33" t="str" cm="1">
        <f t="array" ref="BA1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adicional]=$T$2))&gt;0)),ROW(A131)),"")</f>
        <v/>
      </c>
    </row>
    <row r="131" spans="15:53" x14ac:dyDescent="0.35">
      <c r="O131" s="1" t="str" cm="1">
        <f t="array" ref="O131">IF($BA128="","",INDEX(tblServicios[Fecha],$BA128))</f>
        <v/>
      </c>
      <c r="P131" s="1" t="str" cm="1">
        <f t="array" ref="P131">IF($BA128="","",INDEX(tblServicios[Contrato],$BA128))</f>
        <v/>
      </c>
      <c r="Q131" s="1" t="str" cm="1">
        <f t="array" ref="Q131">IF($BA128="","",INDEX(tblServicios[Vehículo],$BA128))</f>
        <v/>
      </c>
      <c r="R131" s="34" t="str" cm="1">
        <f t="array" ref="R131">IF($BA128="","",INDEX(tblServicios[Base imponible (€)],$BA128)-INDEX(tblServicios[Imp. suplemento (€)],$BA128))</f>
        <v/>
      </c>
      <c r="S131" s="34" t="str" cm="1">
        <f t="array" ref="S131">IF($BA128="","",INDEX(tblServicios[Imp. suplemento (€)],$BA128))</f>
        <v/>
      </c>
      <c r="T131" t="str" cm="1">
        <f t="array" ref="T131">IF($BA128="","",INDEX(tblServicios[Tipo suplemento],$BA128))</f>
        <v/>
      </c>
      <c r="U131" s="34" t="str">
        <f t="shared" si="2"/>
        <v/>
      </c>
      <c r="V131" s="1" t="str" cm="1">
        <f t="array" ref="V131">IF($BA128="","",IF(INDEX(tblServicios[Conductor],$BA128)=$T$2,"Conductor","Personal adicional"))</f>
        <v/>
      </c>
      <c r="BA131" s="33" t="str" cm="1">
        <f t="array" ref="BA1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adicional]=$T$2))&gt;0)),ROW(A132)),"")</f>
        <v/>
      </c>
    </row>
    <row r="132" spans="15:53" x14ac:dyDescent="0.35">
      <c r="O132" s="1" t="str" cm="1">
        <f t="array" ref="O132">IF($BA129="","",INDEX(tblServicios[Fecha],$BA129))</f>
        <v/>
      </c>
      <c r="P132" s="1" t="str" cm="1">
        <f t="array" ref="P132">IF($BA129="","",INDEX(tblServicios[Contrato],$BA129))</f>
        <v/>
      </c>
      <c r="Q132" s="1" t="str" cm="1">
        <f t="array" ref="Q132">IF($BA129="","",INDEX(tblServicios[Vehículo],$BA129))</f>
        <v/>
      </c>
      <c r="R132" s="34" t="str" cm="1">
        <f t="array" ref="R132">IF($BA129="","",INDEX(tblServicios[Base imponible (€)],$BA129)-INDEX(tblServicios[Imp. suplemento (€)],$BA129))</f>
        <v/>
      </c>
      <c r="S132" s="34" t="str" cm="1">
        <f t="array" ref="S132">IF($BA129="","",INDEX(tblServicios[Imp. suplemento (€)],$BA129))</f>
        <v/>
      </c>
      <c r="T132" t="str" cm="1">
        <f t="array" ref="T132">IF($BA129="","",INDEX(tblServicios[Tipo suplemento],$BA129))</f>
        <v/>
      </c>
      <c r="U132" s="34" t="str">
        <f t="shared" si="2"/>
        <v/>
      </c>
      <c r="V132" s="1" t="str" cm="1">
        <f t="array" ref="V132">IF($BA129="","",IF(INDEX(tblServicios[Conductor],$BA129)=$T$2,"Conductor","Personal adicional"))</f>
        <v/>
      </c>
      <c r="BA132" s="33" t="str" cm="1">
        <f t="array" ref="BA1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adicional]=$T$2))&gt;0)),ROW(A133)),"")</f>
        <v/>
      </c>
    </row>
    <row r="133" spans="15:53" x14ac:dyDescent="0.35">
      <c r="O133" s="1" t="str" cm="1">
        <f t="array" ref="O133">IF($BA130="","",INDEX(tblServicios[Fecha],$BA130))</f>
        <v/>
      </c>
      <c r="P133" s="1" t="str" cm="1">
        <f t="array" ref="P133">IF($BA130="","",INDEX(tblServicios[Contrato],$BA130))</f>
        <v/>
      </c>
      <c r="Q133" s="1" t="str" cm="1">
        <f t="array" ref="Q133">IF($BA130="","",INDEX(tblServicios[Vehículo],$BA130))</f>
        <v/>
      </c>
      <c r="R133" s="34" t="str" cm="1">
        <f t="array" ref="R133">IF($BA130="","",INDEX(tblServicios[Base imponible (€)],$BA130)-INDEX(tblServicios[Imp. suplemento (€)],$BA130))</f>
        <v/>
      </c>
      <c r="S133" s="34" t="str" cm="1">
        <f t="array" ref="S133">IF($BA130="","",INDEX(tblServicios[Imp. suplemento (€)],$BA130))</f>
        <v/>
      </c>
      <c r="T133" t="str" cm="1">
        <f t="array" ref="T133">IF($BA130="","",INDEX(tblServicios[Tipo suplemento],$BA130))</f>
        <v/>
      </c>
      <c r="U133" s="34" t="str">
        <f t="shared" si="2"/>
        <v/>
      </c>
      <c r="V133" s="1" t="str" cm="1">
        <f t="array" ref="V133">IF($BA130="","",IF(INDEX(tblServicios[Conductor],$BA130)=$T$2,"Conductor","Personal adicional"))</f>
        <v/>
      </c>
      <c r="BA133" s="33" t="str" cm="1">
        <f t="array" ref="BA1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adicional]=$T$2))&gt;0)),ROW(A134)),"")</f>
        <v/>
      </c>
    </row>
    <row r="134" spans="15:53" x14ac:dyDescent="0.35">
      <c r="O134" s="1" t="str" cm="1">
        <f t="array" ref="O134">IF($BA131="","",INDEX(tblServicios[Fecha],$BA131))</f>
        <v/>
      </c>
      <c r="P134" s="1" t="str" cm="1">
        <f t="array" ref="P134">IF($BA131="","",INDEX(tblServicios[Contrato],$BA131))</f>
        <v/>
      </c>
      <c r="Q134" s="1" t="str" cm="1">
        <f t="array" ref="Q134">IF($BA131="","",INDEX(tblServicios[Vehículo],$BA131))</f>
        <v/>
      </c>
      <c r="R134" s="34" t="str" cm="1">
        <f t="array" ref="R134">IF($BA131="","",INDEX(tblServicios[Base imponible (€)],$BA131)-INDEX(tblServicios[Imp. suplemento (€)],$BA131))</f>
        <v/>
      </c>
      <c r="S134" s="34" t="str" cm="1">
        <f t="array" ref="S134">IF($BA131="","",INDEX(tblServicios[Imp. suplemento (€)],$BA131))</f>
        <v/>
      </c>
      <c r="T134" t="str" cm="1">
        <f t="array" ref="T134">IF($BA131="","",INDEX(tblServicios[Tipo suplemento],$BA131))</f>
        <v/>
      </c>
      <c r="U134" s="34" t="str">
        <f t="shared" si="2"/>
        <v/>
      </c>
      <c r="V134" s="1" t="str" cm="1">
        <f t="array" ref="V134">IF($BA131="","",IF(INDEX(tblServicios[Conductor],$BA131)=$T$2,"Conductor","Personal adicional"))</f>
        <v/>
      </c>
      <c r="BA134" s="33" t="str" cm="1">
        <f t="array" ref="BA1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adicional]=$T$2))&gt;0)),ROW(A135)),"")</f>
        <v/>
      </c>
    </row>
    <row r="135" spans="15:53" x14ac:dyDescent="0.35">
      <c r="O135" s="1" t="str" cm="1">
        <f t="array" ref="O135">IF($BA132="","",INDEX(tblServicios[Fecha],$BA132))</f>
        <v/>
      </c>
      <c r="P135" s="1" t="str" cm="1">
        <f t="array" ref="P135">IF($BA132="","",INDEX(tblServicios[Contrato],$BA132))</f>
        <v/>
      </c>
      <c r="Q135" s="1" t="str" cm="1">
        <f t="array" ref="Q135">IF($BA132="","",INDEX(tblServicios[Vehículo],$BA132))</f>
        <v/>
      </c>
      <c r="R135" s="34" t="str" cm="1">
        <f t="array" ref="R135">IF($BA132="","",INDEX(tblServicios[Base imponible (€)],$BA132)-INDEX(tblServicios[Imp. suplemento (€)],$BA132))</f>
        <v/>
      </c>
      <c r="S135" s="34" t="str" cm="1">
        <f t="array" ref="S135">IF($BA132="","",INDEX(tblServicios[Imp. suplemento (€)],$BA132))</f>
        <v/>
      </c>
      <c r="T135" t="str" cm="1">
        <f t="array" ref="T135">IF($BA132="","",INDEX(tblServicios[Tipo suplemento],$BA132))</f>
        <v/>
      </c>
      <c r="U135" s="34" t="str">
        <f t="shared" ref="U135:U198" si="3">IF($BA132="","",R135+S135)</f>
        <v/>
      </c>
      <c r="V135" s="1" t="str" cm="1">
        <f t="array" ref="V135">IF($BA132="","",IF(INDEX(tblServicios[Conductor],$BA132)=$T$2,"Conductor","Personal adicional"))</f>
        <v/>
      </c>
      <c r="BA135" s="33" t="str" cm="1">
        <f t="array" ref="BA1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adicional]=$T$2))&gt;0)),ROW(A136)),"")</f>
        <v/>
      </c>
    </row>
    <row r="136" spans="15:53" x14ac:dyDescent="0.35">
      <c r="O136" s="1" t="str" cm="1">
        <f t="array" ref="O136">IF($BA133="","",INDEX(tblServicios[Fecha],$BA133))</f>
        <v/>
      </c>
      <c r="P136" s="1" t="str" cm="1">
        <f t="array" ref="P136">IF($BA133="","",INDEX(tblServicios[Contrato],$BA133))</f>
        <v/>
      </c>
      <c r="Q136" s="1" t="str" cm="1">
        <f t="array" ref="Q136">IF($BA133="","",INDEX(tblServicios[Vehículo],$BA133))</f>
        <v/>
      </c>
      <c r="R136" s="34" t="str" cm="1">
        <f t="array" ref="R136">IF($BA133="","",INDEX(tblServicios[Base imponible (€)],$BA133)-INDEX(tblServicios[Imp. suplemento (€)],$BA133))</f>
        <v/>
      </c>
      <c r="S136" s="34" t="str" cm="1">
        <f t="array" ref="S136">IF($BA133="","",INDEX(tblServicios[Imp. suplemento (€)],$BA133))</f>
        <v/>
      </c>
      <c r="T136" t="str" cm="1">
        <f t="array" ref="T136">IF($BA133="","",INDEX(tblServicios[Tipo suplemento],$BA133))</f>
        <v/>
      </c>
      <c r="U136" s="34" t="str">
        <f t="shared" si="3"/>
        <v/>
      </c>
      <c r="V136" s="1" t="str" cm="1">
        <f t="array" ref="V136">IF($BA133="","",IF(INDEX(tblServicios[Conductor],$BA133)=$T$2,"Conductor","Personal adicional"))</f>
        <v/>
      </c>
      <c r="BA136" s="33" t="str" cm="1">
        <f t="array" ref="BA1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adicional]=$T$2))&gt;0)),ROW(A137)),"")</f>
        <v/>
      </c>
    </row>
    <row r="137" spans="15:53" x14ac:dyDescent="0.35">
      <c r="O137" s="1" t="str" cm="1">
        <f t="array" ref="O137">IF($BA134="","",INDEX(tblServicios[Fecha],$BA134))</f>
        <v/>
      </c>
      <c r="P137" s="1" t="str" cm="1">
        <f t="array" ref="P137">IF($BA134="","",INDEX(tblServicios[Contrato],$BA134))</f>
        <v/>
      </c>
      <c r="Q137" s="1" t="str" cm="1">
        <f t="array" ref="Q137">IF($BA134="","",INDEX(tblServicios[Vehículo],$BA134))</f>
        <v/>
      </c>
      <c r="R137" s="34" t="str" cm="1">
        <f t="array" ref="R137">IF($BA134="","",INDEX(tblServicios[Base imponible (€)],$BA134)-INDEX(tblServicios[Imp. suplemento (€)],$BA134))</f>
        <v/>
      </c>
      <c r="S137" s="34" t="str" cm="1">
        <f t="array" ref="S137">IF($BA134="","",INDEX(tblServicios[Imp. suplemento (€)],$BA134))</f>
        <v/>
      </c>
      <c r="T137" t="str" cm="1">
        <f t="array" ref="T137">IF($BA134="","",INDEX(tblServicios[Tipo suplemento],$BA134))</f>
        <v/>
      </c>
      <c r="U137" s="34" t="str">
        <f t="shared" si="3"/>
        <v/>
      </c>
      <c r="V137" s="1" t="str" cm="1">
        <f t="array" ref="V137">IF($BA134="","",IF(INDEX(tblServicios[Conductor],$BA134)=$T$2,"Conductor","Personal adicional"))</f>
        <v/>
      </c>
      <c r="BA137" s="33" t="str" cm="1">
        <f t="array" ref="BA1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adicional]=$T$2))&gt;0)),ROW(A138)),"")</f>
        <v/>
      </c>
    </row>
    <row r="138" spans="15:53" x14ac:dyDescent="0.35">
      <c r="O138" s="1" t="str" cm="1">
        <f t="array" ref="O138">IF($BA135="","",INDEX(tblServicios[Fecha],$BA135))</f>
        <v/>
      </c>
      <c r="P138" s="1" t="str" cm="1">
        <f t="array" ref="P138">IF($BA135="","",INDEX(tblServicios[Contrato],$BA135))</f>
        <v/>
      </c>
      <c r="Q138" s="1" t="str" cm="1">
        <f t="array" ref="Q138">IF($BA135="","",INDEX(tblServicios[Vehículo],$BA135))</f>
        <v/>
      </c>
      <c r="R138" s="34" t="str" cm="1">
        <f t="array" ref="R138">IF($BA135="","",INDEX(tblServicios[Base imponible (€)],$BA135)-INDEX(tblServicios[Imp. suplemento (€)],$BA135))</f>
        <v/>
      </c>
      <c r="S138" s="34" t="str" cm="1">
        <f t="array" ref="S138">IF($BA135="","",INDEX(tblServicios[Imp. suplemento (€)],$BA135))</f>
        <v/>
      </c>
      <c r="T138" t="str" cm="1">
        <f t="array" ref="T138">IF($BA135="","",INDEX(tblServicios[Tipo suplemento],$BA135))</f>
        <v/>
      </c>
      <c r="U138" s="34" t="str">
        <f t="shared" si="3"/>
        <v/>
      </c>
      <c r="V138" s="1" t="str" cm="1">
        <f t="array" ref="V138">IF($BA135="","",IF(INDEX(tblServicios[Conductor],$BA135)=$T$2,"Conductor","Personal adicional"))</f>
        <v/>
      </c>
      <c r="BA138" s="33" t="str" cm="1">
        <f t="array" ref="BA1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adicional]=$T$2))&gt;0)),ROW(A139)),"")</f>
        <v/>
      </c>
    </row>
    <row r="139" spans="15:53" x14ac:dyDescent="0.35">
      <c r="O139" s="1" t="str" cm="1">
        <f t="array" ref="O139">IF($BA136="","",INDEX(tblServicios[Fecha],$BA136))</f>
        <v/>
      </c>
      <c r="P139" s="1" t="str" cm="1">
        <f t="array" ref="P139">IF($BA136="","",INDEX(tblServicios[Contrato],$BA136))</f>
        <v/>
      </c>
      <c r="Q139" s="1" t="str" cm="1">
        <f t="array" ref="Q139">IF($BA136="","",INDEX(tblServicios[Vehículo],$BA136))</f>
        <v/>
      </c>
      <c r="R139" s="34" t="str" cm="1">
        <f t="array" ref="R139">IF($BA136="","",INDEX(tblServicios[Base imponible (€)],$BA136)-INDEX(tblServicios[Imp. suplemento (€)],$BA136))</f>
        <v/>
      </c>
      <c r="S139" s="34" t="str" cm="1">
        <f t="array" ref="S139">IF($BA136="","",INDEX(tblServicios[Imp. suplemento (€)],$BA136))</f>
        <v/>
      </c>
      <c r="T139" t="str" cm="1">
        <f t="array" ref="T139">IF($BA136="","",INDEX(tblServicios[Tipo suplemento],$BA136))</f>
        <v/>
      </c>
      <c r="U139" s="34" t="str">
        <f t="shared" si="3"/>
        <v/>
      </c>
      <c r="V139" s="1" t="str" cm="1">
        <f t="array" ref="V139">IF($BA136="","",IF(INDEX(tblServicios[Conductor],$BA136)=$T$2,"Conductor","Personal adicional"))</f>
        <v/>
      </c>
      <c r="BA139" s="33" t="str" cm="1">
        <f t="array" ref="BA1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adicional]=$T$2))&gt;0)),ROW(A140)),"")</f>
        <v/>
      </c>
    </row>
    <row r="140" spans="15:53" x14ac:dyDescent="0.35">
      <c r="O140" s="1" t="str" cm="1">
        <f t="array" ref="O140">IF($BA137="","",INDEX(tblServicios[Fecha],$BA137))</f>
        <v/>
      </c>
      <c r="P140" s="1" t="str" cm="1">
        <f t="array" ref="P140">IF($BA137="","",INDEX(tblServicios[Contrato],$BA137))</f>
        <v/>
      </c>
      <c r="Q140" s="1" t="str" cm="1">
        <f t="array" ref="Q140">IF($BA137="","",INDEX(tblServicios[Vehículo],$BA137))</f>
        <v/>
      </c>
      <c r="R140" s="34" t="str" cm="1">
        <f t="array" ref="R140">IF($BA137="","",INDEX(tblServicios[Base imponible (€)],$BA137)-INDEX(tblServicios[Imp. suplemento (€)],$BA137))</f>
        <v/>
      </c>
      <c r="S140" s="34" t="str" cm="1">
        <f t="array" ref="S140">IF($BA137="","",INDEX(tblServicios[Imp. suplemento (€)],$BA137))</f>
        <v/>
      </c>
      <c r="T140" t="str" cm="1">
        <f t="array" ref="T140">IF($BA137="","",INDEX(tblServicios[Tipo suplemento],$BA137))</f>
        <v/>
      </c>
      <c r="U140" s="34" t="str">
        <f t="shared" si="3"/>
        <v/>
      </c>
      <c r="V140" s="1" t="str" cm="1">
        <f t="array" ref="V140">IF($BA137="","",IF(INDEX(tblServicios[Conductor],$BA137)=$T$2,"Conductor","Personal adicional"))</f>
        <v/>
      </c>
      <c r="BA140" s="33" t="str" cm="1">
        <f t="array" ref="BA1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adicional]=$T$2))&gt;0)),ROW(A141)),"")</f>
        <v/>
      </c>
    </row>
    <row r="141" spans="15:53" x14ac:dyDescent="0.35">
      <c r="O141" s="1" t="str" cm="1">
        <f t="array" ref="O141">IF($BA138="","",INDEX(tblServicios[Fecha],$BA138))</f>
        <v/>
      </c>
      <c r="P141" s="1" t="str" cm="1">
        <f t="array" ref="P141">IF($BA138="","",INDEX(tblServicios[Contrato],$BA138))</f>
        <v/>
      </c>
      <c r="Q141" s="1" t="str" cm="1">
        <f t="array" ref="Q141">IF($BA138="","",INDEX(tblServicios[Vehículo],$BA138))</f>
        <v/>
      </c>
      <c r="R141" s="34" t="str" cm="1">
        <f t="array" ref="R141">IF($BA138="","",INDEX(tblServicios[Base imponible (€)],$BA138)-INDEX(tblServicios[Imp. suplemento (€)],$BA138))</f>
        <v/>
      </c>
      <c r="S141" s="34" t="str" cm="1">
        <f t="array" ref="S141">IF($BA138="","",INDEX(tblServicios[Imp. suplemento (€)],$BA138))</f>
        <v/>
      </c>
      <c r="T141" t="str" cm="1">
        <f t="array" ref="T141">IF($BA138="","",INDEX(tblServicios[Tipo suplemento],$BA138))</f>
        <v/>
      </c>
      <c r="U141" s="34" t="str">
        <f t="shared" si="3"/>
        <v/>
      </c>
      <c r="V141" s="1" t="str" cm="1">
        <f t="array" ref="V141">IF($BA138="","",IF(INDEX(tblServicios[Conductor],$BA138)=$T$2,"Conductor","Personal adicional"))</f>
        <v/>
      </c>
      <c r="BA141" s="33" t="str" cm="1">
        <f t="array" ref="BA1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adicional]=$T$2))&gt;0)),ROW(A142)),"")</f>
        <v/>
      </c>
    </row>
    <row r="142" spans="15:53" x14ac:dyDescent="0.35">
      <c r="O142" s="1" t="str" cm="1">
        <f t="array" ref="O142">IF($BA139="","",INDEX(tblServicios[Fecha],$BA139))</f>
        <v/>
      </c>
      <c r="P142" s="1" t="str" cm="1">
        <f t="array" ref="P142">IF($BA139="","",INDEX(tblServicios[Contrato],$BA139))</f>
        <v/>
      </c>
      <c r="Q142" s="1" t="str" cm="1">
        <f t="array" ref="Q142">IF($BA139="","",INDEX(tblServicios[Vehículo],$BA139))</f>
        <v/>
      </c>
      <c r="R142" s="34" t="str" cm="1">
        <f t="array" ref="R142">IF($BA139="","",INDEX(tblServicios[Base imponible (€)],$BA139)-INDEX(tblServicios[Imp. suplemento (€)],$BA139))</f>
        <v/>
      </c>
      <c r="S142" s="34" t="str" cm="1">
        <f t="array" ref="S142">IF($BA139="","",INDEX(tblServicios[Imp. suplemento (€)],$BA139))</f>
        <v/>
      </c>
      <c r="T142" t="str" cm="1">
        <f t="array" ref="T142">IF($BA139="","",INDEX(tblServicios[Tipo suplemento],$BA139))</f>
        <v/>
      </c>
      <c r="U142" s="34" t="str">
        <f t="shared" si="3"/>
        <v/>
      </c>
      <c r="V142" s="1" t="str" cm="1">
        <f t="array" ref="V142">IF($BA139="","",IF(INDEX(tblServicios[Conductor],$BA139)=$T$2,"Conductor","Personal adicional"))</f>
        <v/>
      </c>
      <c r="BA142" s="33" t="str" cm="1">
        <f t="array" ref="BA1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adicional]=$T$2))&gt;0)),ROW(A143)),"")</f>
        <v/>
      </c>
    </row>
    <row r="143" spans="15:53" x14ac:dyDescent="0.35">
      <c r="O143" s="1" t="str" cm="1">
        <f t="array" ref="O143">IF($BA140="","",INDEX(tblServicios[Fecha],$BA140))</f>
        <v/>
      </c>
      <c r="P143" s="1" t="str" cm="1">
        <f t="array" ref="P143">IF($BA140="","",INDEX(tblServicios[Contrato],$BA140))</f>
        <v/>
      </c>
      <c r="Q143" s="1" t="str" cm="1">
        <f t="array" ref="Q143">IF($BA140="","",INDEX(tblServicios[Vehículo],$BA140))</f>
        <v/>
      </c>
      <c r="R143" s="34" t="str" cm="1">
        <f t="array" ref="R143">IF($BA140="","",INDEX(tblServicios[Base imponible (€)],$BA140)-INDEX(tblServicios[Imp. suplemento (€)],$BA140))</f>
        <v/>
      </c>
      <c r="S143" s="34" t="str" cm="1">
        <f t="array" ref="S143">IF($BA140="","",INDEX(tblServicios[Imp. suplemento (€)],$BA140))</f>
        <v/>
      </c>
      <c r="T143" t="str" cm="1">
        <f t="array" ref="T143">IF($BA140="","",INDEX(tblServicios[Tipo suplemento],$BA140))</f>
        <v/>
      </c>
      <c r="U143" s="34" t="str">
        <f t="shared" si="3"/>
        <v/>
      </c>
      <c r="V143" s="1" t="str" cm="1">
        <f t="array" ref="V143">IF($BA140="","",IF(INDEX(tblServicios[Conductor],$BA140)=$T$2,"Conductor","Personal adicional"))</f>
        <v/>
      </c>
      <c r="BA143" s="33" t="str" cm="1">
        <f t="array" ref="BA1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adicional]=$T$2))&gt;0)),ROW(A144)),"")</f>
        <v/>
      </c>
    </row>
    <row r="144" spans="15:53" x14ac:dyDescent="0.35">
      <c r="O144" s="1" t="str" cm="1">
        <f t="array" ref="O144">IF($BA141="","",INDEX(tblServicios[Fecha],$BA141))</f>
        <v/>
      </c>
      <c r="P144" s="1" t="str" cm="1">
        <f t="array" ref="P144">IF($BA141="","",INDEX(tblServicios[Contrato],$BA141))</f>
        <v/>
      </c>
      <c r="Q144" s="1" t="str" cm="1">
        <f t="array" ref="Q144">IF($BA141="","",INDEX(tblServicios[Vehículo],$BA141))</f>
        <v/>
      </c>
      <c r="R144" s="34" t="str" cm="1">
        <f t="array" ref="R144">IF($BA141="","",INDEX(tblServicios[Base imponible (€)],$BA141)-INDEX(tblServicios[Imp. suplemento (€)],$BA141))</f>
        <v/>
      </c>
      <c r="S144" s="34" t="str" cm="1">
        <f t="array" ref="S144">IF($BA141="","",INDEX(tblServicios[Imp. suplemento (€)],$BA141))</f>
        <v/>
      </c>
      <c r="T144" t="str" cm="1">
        <f t="array" ref="T144">IF($BA141="","",INDEX(tblServicios[Tipo suplemento],$BA141))</f>
        <v/>
      </c>
      <c r="U144" s="34" t="str">
        <f t="shared" si="3"/>
        <v/>
      </c>
      <c r="V144" s="1" t="str" cm="1">
        <f t="array" ref="V144">IF($BA141="","",IF(INDEX(tblServicios[Conductor],$BA141)=$T$2,"Conductor","Personal adicional"))</f>
        <v/>
      </c>
      <c r="BA144" s="33" t="str" cm="1">
        <f t="array" ref="BA1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adicional]=$T$2))&gt;0)),ROW(A145)),"")</f>
        <v/>
      </c>
    </row>
    <row r="145" spans="15:53" x14ac:dyDescent="0.35">
      <c r="O145" s="1" t="str" cm="1">
        <f t="array" ref="O145">IF($BA142="","",INDEX(tblServicios[Fecha],$BA142))</f>
        <v/>
      </c>
      <c r="P145" s="1" t="str" cm="1">
        <f t="array" ref="P145">IF($BA142="","",INDEX(tblServicios[Contrato],$BA142))</f>
        <v/>
      </c>
      <c r="Q145" s="1" t="str" cm="1">
        <f t="array" ref="Q145">IF($BA142="","",INDEX(tblServicios[Vehículo],$BA142))</f>
        <v/>
      </c>
      <c r="R145" s="34" t="str" cm="1">
        <f t="array" ref="R145">IF($BA142="","",INDEX(tblServicios[Base imponible (€)],$BA142)-INDEX(tblServicios[Imp. suplemento (€)],$BA142))</f>
        <v/>
      </c>
      <c r="S145" s="34" t="str" cm="1">
        <f t="array" ref="S145">IF($BA142="","",INDEX(tblServicios[Imp. suplemento (€)],$BA142))</f>
        <v/>
      </c>
      <c r="T145" t="str" cm="1">
        <f t="array" ref="T145">IF($BA142="","",INDEX(tblServicios[Tipo suplemento],$BA142))</f>
        <v/>
      </c>
      <c r="U145" s="34" t="str">
        <f t="shared" si="3"/>
        <v/>
      </c>
      <c r="V145" s="1" t="str" cm="1">
        <f t="array" ref="V145">IF($BA142="","",IF(INDEX(tblServicios[Conductor],$BA142)=$T$2,"Conductor","Personal adicional"))</f>
        <v/>
      </c>
      <c r="BA145" s="33" t="str" cm="1">
        <f t="array" ref="BA1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adicional]=$T$2))&gt;0)),ROW(A146)),"")</f>
        <v/>
      </c>
    </row>
    <row r="146" spans="15:53" x14ac:dyDescent="0.35">
      <c r="O146" s="1" t="str" cm="1">
        <f t="array" ref="O146">IF($BA143="","",INDEX(tblServicios[Fecha],$BA143))</f>
        <v/>
      </c>
      <c r="P146" s="1" t="str" cm="1">
        <f t="array" ref="P146">IF($BA143="","",INDEX(tblServicios[Contrato],$BA143))</f>
        <v/>
      </c>
      <c r="Q146" s="1" t="str" cm="1">
        <f t="array" ref="Q146">IF($BA143="","",INDEX(tblServicios[Vehículo],$BA143))</f>
        <v/>
      </c>
      <c r="R146" s="34" t="str" cm="1">
        <f t="array" ref="R146">IF($BA143="","",INDEX(tblServicios[Base imponible (€)],$BA143)-INDEX(tblServicios[Imp. suplemento (€)],$BA143))</f>
        <v/>
      </c>
      <c r="S146" s="34" t="str" cm="1">
        <f t="array" ref="S146">IF($BA143="","",INDEX(tblServicios[Imp. suplemento (€)],$BA143))</f>
        <v/>
      </c>
      <c r="T146" t="str" cm="1">
        <f t="array" ref="T146">IF($BA143="","",INDEX(tblServicios[Tipo suplemento],$BA143))</f>
        <v/>
      </c>
      <c r="U146" s="34" t="str">
        <f t="shared" si="3"/>
        <v/>
      </c>
      <c r="V146" s="1" t="str" cm="1">
        <f t="array" ref="V146">IF($BA143="","",IF(INDEX(tblServicios[Conductor],$BA143)=$T$2,"Conductor","Personal adicional"))</f>
        <v/>
      </c>
      <c r="BA146" s="33" t="str" cm="1">
        <f t="array" ref="BA1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adicional]=$T$2))&gt;0)),ROW(A147)),"")</f>
        <v/>
      </c>
    </row>
    <row r="147" spans="15:53" x14ac:dyDescent="0.35">
      <c r="O147" s="1" t="str" cm="1">
        <f t="array" ref="O147">IF($BA144="","",INDEX(tblServicios[Fecha],$BA144))</f>
        <v/>
      </c>
      <c r="P147" s="1" t="str" cm="1">
        <f t="array" ref="P147">IF($BA144="","",INDEX(tblServicios[Contrato],$BA144))</f>
        <v/>
      </c>
      <c r="Q147" s="1" t="str" cm="1">
        <f t="array" ref="Q147">IF($BA144="","",INDEX(tblServicios[Vehículo],$BA144))</f>
        <v/>
      </c>
      <c r="R147" s="34" t="str" cm="1">
        <f t="array" ref="R147">IF($BA144="","",INDEX(tblServicios[Base imponible (€)],$BA144)-INDEX(tblServicios[Imp. suplemento (€)],$BA144))</f>
        <v/>
      </c>
      <c r="S147" s="34" t="str" cm="1">
        <f t="array" ref="S147">IF($BA144="","",INDEX(tblServicios[Imp. suplemento (€)],$BA144))</f>
        <v/>
      </c>
      <c r="T147" t="str" cm="1">
        <f t="array" ref="T147">IF($BA144="","",INDEX(tblServicios[Tipo suplemento],$BA144))</f>
        <v/>
      </c>
      <c r="U147" s="34" t="str">
        <f t="shared" si="3"/>
        <v/>
      </c>
      <c r="V147" s="1" t="str" cm="1">
        <f t="array" ref="V147">IF($BA144="","",IF(INDEX(tblServicios[Conductor],$BA144)=$T$2,"Conductor","Personal adicional"))</f>
        <v/>
      </c>
      <c r="BA147" s="33" t="str" cm="1">
        <f t="array" ref="BA1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adicional]=$T$2))&gt;0)),ROW(A148)),"")</f>
        <v/>
      </c>
    </row>
    <row r="148" spans="15:53" x14ac:dyDescent="0.35">
      <c r="O148" s="1" t="str" cm="1">
        <f t="array" ref="O148">IF($BA145="","",INDEX(tblServicios[Fecha],$BA145))</f>
        <v/>
      </c>
      <c r="P148" s="1" t="str" cm="1">
        <f t="array" ref="P148">IF($BA145="","",INDEX(tblServicios[Contrato],$BA145))</f>
        <v/>
      </c>
      <c r="Q148" s="1" t="str" cm="1">
        <f t="array" ref="Q148">IF($BA145="","",INDEX(tblServicios[Vehículo],$BA145))</f>
        <v/>
      </c>
      <c r="R148" s="34" t="str" cm="1">
        <f t="array" ref="R148">IF($BA145="","",INDEX(tblServicios[Base imponible (€)],$BA145)-INDEX(tblServicios[Imp. suplemento (€)],$BA145))</f>
        <v/>
      </c>
      <c r="S148" s="34" t="str" cm="1">
        <f t="array" ref="S148">IF($BA145="","",INDEX(tblServicios[Imp. suplemento (€)],$BA145))</f>
        <v/>
      </c>
      <c r="T148" t="str" cm="1">
        <f t="array" ref="T148">IF($BA145="","",INDEX(tblServicios[Tipo suplemento],$BA145))</f>
        <v/>
      </c>
      <c r="U148" s="34" t="str">
        <f t="shared" si="3"/>
        <v/>
      </c>
      <c r="V148" s="1" t="str" cm="1">
        <f t="array" ref="V148">IF($BA145="","",IF(INDEX(tblServicios[Conductor],$BA145)=$T$2,"Conductor","Personal adicional"))</f>
        <v/>
      </c>
      <c r="BA148" s="33" t="str" cm="1">
        <f t="array" ref="BA1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adicional]=$T$2))&gt;0)),ROW(A149)),"")</f>
        <v/>
      </c>
    </row>
    <row r="149" spans="15:53" x14ac:dyDescent="0.35">
      <c r="O149" s="1" t="str" cm="1">
        <f t="array" ref="O149">IF($BA146="","",INDEX(tblServicios[Fecha],$BA146))</f>
        <v/>
      </c>
      <c r="P149" s="1" t="str" cm="1">
        <f t="array" ref="P149">IF($BA146="","",INDEX(tblServicios[Contrato],$BA146))</f>
        <v/>
      </c>
      <c r="Q149" s="1" t="str" cm="1">
        <f t="array" ref="Q149">IF($BA146="","",INDEX(tblServicios[Vehículo],$BA146))</f>
        <v/>
      </c>
      <c r="R149" s="34" t="str" cm="1">
        <f t="array" ref="R149">IF($BA146="","",INDEX(tblServicios[Base imponible (€)],$BA146)-INDEX(tblServicios[Imp. suplemento (€)],$BA146))</f>
        <v/>
      </c>
      <c r="S149" s="34" t="str" cm="1">
        <f t="array" ref="S149">IF($BA146="","",INDEX(tblServicios[Imp. suplemento (€)],$BA146))</f>
        <v/>
      </c>
      <c r="T149" t="str" cm="1">
        <f t="array" ref="T149">IF($BA146="","",INDEX(tblServicios[Tipo suplemento],$BA146))</f>
        <v/>
      </c>
      <c r="U149" s="34" t="str">
        <f t="shared" si="3"/>
        <v/>
      </c>
      <c r="V149" s="1" t="str" cm="1">
        <f t="array" ref="V149">IF($BA146="","",IF(INDEX(tblServicios[Conductor],$BA146)=$T$2,"Conductor","Personal adicional"))</f>
        <v/>
      </c>
      <c r="BA149" s="33" t="str" cm="1">
        <f t="array" ref="BA1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adicional]=$T$2))&gt;0)),ROW(A150)),"")</f>
        <v/>
      </c>
    </row>
    <row r="150" spans="15:53" x14ac:dyDescent="0.35">
      <c r="O150" s="1" t="str" cm="1">
        <f t="array" ref="O150">IF($BA147="","",INDEX(tblServicios[Fecha],$BA147))</f>
        <v/>
      </c>
      <c r="P150" s="1" t="str" cm="1">
        <f t="array" ref="P150">IF($BA147="","",INDEX(tblServicios[Contrato],$BA147))</f>
        <v/>
      </c>
      <c r="Q150" s="1" t="str" cm="1">
        <f t="array" ref="Q150">IF($BA147="","",INDEX(tblServicios[Vehículo],$BA147))</f>
        <v/>
      </c>
      <c r="R150" s="34" t="str" cm="1">
        <f t="array" ref="R150">IF($BA147="","",INDEX(tblServicios[Base imponible (€)],$BA147)-INDEX(tblServicios[Imp. suplemento (€)],$BA147))</f>
        <v/>
      </c>
      <c r="S150" s="34" t="str" cm="1">
        <f t="array" ref="S150">IF($BA147="","",INDEX(tblServicios[Imp. suplemento (€)],$BA147))</f>
        <v/>
      </c>
      <c r="T150" t="str" cm="1">
        <f t="array" ref="T150">IF($BA147="","",INDEX(tblServicios[Tipo suplemento],$BA147))</f>
        <v/>
      </c>
      <c r="U150" s="34" t="str">
        <f t="shared" si="3"/>
        <v/>
      </c>
      <c r="V150" s="1" t="str" cm="1">
        <f t="array" ref="V150">IF($BA147="","",IF(INDEX(tblServicios[Conductor],$BA147)=$T$2,"Conductor","Personal adicional"))</f>
        <v/>
      </c>
      <c r="BA150" s="33" t="str" cm="1">
        <f t="array" ref="BA1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adicional]=$T$2))&gt;0)),ROW(A151)),"")</f>
        <v/>
      </c>
    </row>
    <row r="151" spans="15:53" x14ac:dyDescent="0.35">
      <c r="O151" s="1" t="str" cm="1">
        <f t="array" ref="O151">IF($BA148="","",INDEX(tblServicios[Fecha],$BA148))</f>
        <v/>
      </c>
      <c r="P151" s="1" t="str" cm="1">
        <f t="array" ref="P151">IF($BA148="","",INDEX(tblServicios[Contrato],$BA148))</f>
        <v/>
      </c>
      <c r="Q151" s="1" t="str" cm="1">
        <f t="array" ref="Q151">IF($BA148="","",INDEX(tblServicios[Vehículo],$BA148))</f>
        <v/>
      </c>
      <c r="R151" s="34" t="str" cm="1">
        <f t="array" ref="R151">IF($BA148="","",INDEX(tblServicios[Base imponible (€)],$BA148)-INDEX(tblServicios[Imp. suplemento (€)],$BA148))</f>
        <v/>
      </c>
      <c r="S151" s="34" t="str" cm="1">
        <f t="array" ref="S151">IF($BA148="","",INDEX(tblServicios[Imp. suplemento (€)],$BA148))</f>
        <v/>
      </c>
      <c r="T151" t="str" cm="1">
        <f t="array" ref="T151">IF($BA148="","",INDEX(tblServicios[Tipo suplemento],$BA148))</f>
        <v/>
      </c>
      <c r="U151" s="34" t="str">
        <f t="shared" si="3"/>
        <v/>
      </c>
      <c r="V151" s="1" t="str" cm="1">
        <f t="array" ref="V151">IF($BA148="","",IF(INDEX(tblServicios[Conductor],$BA148)=$T$2,"Conductor","Personal adicional"))</f>
        <v/>
      </c>
      <c r="BA151" s="33" t="str" cm="1">
        <f t="array" ref="BA1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adicional]=$T$2))&gt;0)),ROW(A152)),"")</f>
        <v/>
      </c>
    </row>
    <row r="152" spans="15:53" x14ac:dyDescent="0.35">
      <c r="O152" s="1" t="str" cm="1">
        <f t="array" ref="O152">IF($BA149="","",INDEX(tblServicios[Fecha],$BA149))</f>
        <v/>
      </c>
      <c r="P152" s="1" t="str" cm="1">
        <f t="array" ref="P152">IF($BA149="","",INDEX(tblServicios[Contrato],$BA149))</f>
        <v/>
      </c>
      <c r="Q152" s="1" t="str" cm="1">
        <f t="array" ref="Q152">IF($BA149="","",INDEX(tblServicios[Vehículo],$BA149))</f>
        <v/>
      </c>
      <c r="R152" s="34" t="str" cm="1">
        <f t="array" ref="R152">IF($BA149="","",INDEX(tblServicios[Base imponible (€)],$BA149)-INDEX(tblServicios[Imp. suplemento (€)],$BA149))</f>
        <v/>
      </c>
      <c r="S152" s="34" t="str" cm="1">
        <f t="array" ref="S152">IF($BA149="","",INDEX(tblServicios[Imp. suplemento (€)],$BA149))</f>
        <v/>
      </c>
      <c r="T152" t="str" cm="1">
        <f t="array" ref="T152">IF($BA149="","",INDEX(tblServicios[Tipo suplemento],$BA149))</f>
        <v/>
      </c>
      <c r="U152" s="34" t="str">
        <f t="shared" si="3"/>
        <v/>
      </c>
      <c r="V152" s="1" t="str" cm="1">
        <f t="array" ref="V152">IF($BA149="","",IF(INDEX(tblServicios[Conductor],$BA149)=$T$2,"Conductor","Personal adicional"))</f>
        <v/>
      </c>
      <c r="BA152" s="33" t="str" cm="1">
        <f t="array" ref="BA1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adicional]=$T$2))&gt;0)),ROW(A153)),"")</f>
        <v/>
      </c>
    </row>
    <row r="153" spans="15:53" x14ac:dyDescent="0.35">
      <c r="O153" s="1" t="str" cm="1">
        <f t="array" ref="O153">IF($BA150="","",INDEX(tblServicios[Fecha],$BA150))</f>
        <v/>
      </c>
      <c r="P153" s="1" t="str" cm="1">
        <f t="array" ref="P153">IF($BA150="","",INDEX(tblServicios[Contrato],$BA150))</f>
        <v/>
      </c>
      <c r="Q153" s="1" t="str" cm="1">
        <f t="array" ref="Q153">IF($BA150="","",INDEX(tblServicios[Vehículo],$BA150))</f>
        <v/>
      </c>
      <c r="R153" s="34" t="str" cm="1">
        <f t="array" ref="R153">IF($BA150="","",INDEX(tblServicios[Base imponible (€)],$BA150)-INDEX(tblServicios[Imp. suplemento (€)],$BA150))</f>
        <v/>
      </c>
      <c r="S153" s="34" t="str" cm="1">
        <f t="array" ref="S153">IF($BA150="","",INDEX(tblServicios[Imp. suplemento (€)],$BA150))</f>
        <v/>
      </c>
      <c r="T153" t="str" cm="1">
        <f t="array" ref="T153">IF($BA150="","",INDEX(tblServicios[Tipo suplemento],$BA150))</f>
        <v/>
      </c>
      <c r="U153" s="34" t="str">
        <f t="shared" si="3"/>
        <v/>
      </c>
      <c r="V153" s="1" t="str" cm="1">
        <f t="array" ref="V153">IF($BA150="","",IF(INDEX(tblServicios[Conductor],$BA150)=$T$2,"Conductor","Personal adicional"))</f>
        <v/>
      </c>
      <c r="BA153" s="33" t="str" cm="1">
        <f t="array" ref="BA1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adicional]=$T$2))&gt;0)),ROW(A154)),"")</f>
        <v/>
      </c>
    </row>
    <row r="154" spans="15:53" x14ac:dyDescent="0.35">
      <c r="O154" s="1" t="str" cm="1">
        <f t="array" ref="O154">IF($BA151="","",INDEX(tblServicios[Fecha],$BA151))</f>
        <v/>
      </c>
      <c r="P154" s="1" t="str" cm="1">
        <f t="array" ref="P154">IF($BA151="","",INDEX(tblServicios[Contrato],$BA151))</f>
        <v/>
      </c>
      <c r="Q154" s="1" t="str" cm="1">
        <f t="array" ref="Q154">IF($BA151="","",INDEX(tblServicios[Vehículo],$BA151))</f>
        <v/>
      </c>
      <c r="R154" s="34" t="str" cm="1">
        <f t="array" ref="R154">IF($BA151="","",INDEX(tblServicios[Base imponible (€)],$BA151)-INDEX(tblServicios[Imp. suplemento (€)],$BA151))</f>
        <v/>
      </c>
      <c r="S154" s="34" t="str" cm="1">
        <f t="array" ref="S154">IF($BA151="","",INDEX(tblServicios[Imp. suplemento (€)],$BA151))</f>
        <v/>
      </c>
      <c r="T154" t="str" cm="1">
        <f t="array" ref="T154">IF($BA151="","",INDEX(tblServicios[Tipo suplemento],$BA151))</f>
        <v/>
      </c>
      <c r="U154" s="34" t="str">
        <f t="shared" si="3"/>
        <v/>
      </c>
      <c r="V154" s="1" t="str" cm="1">
        <f t="array" ref="V154">IF($BA151="","",IF(INDEX(tblServicios[Conductor],$BA151)=$T$2,"Conductor","Personal adicional"))</f>
        <v/>
      </c>
      <c r="BA154" s="33" t="str" cm="1">
        <f t="array" ref="BA1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adicional]=$T$2))&gt;0)),ROW(A155)),"")</f>
        <v/>
      </c>
    </row>
    <row r="155" spans="15:53" x14ac:dyDescent="0.35">
      <c r="O155" s="1" t="str" cm="1">
        <f t="array" ref="O155">IF($BA152="","",INDEX(tblServicios[Fecha],$BA152))</f>
        <v/>
      </c>
      <c r="P155" s="1" t="str" cm="1">
        <f t="array" ref="P155">IF($BA152="","",INDEX(tblServicios[Contrato],$BA152))</f>
        <v/>
      </c>
      <c r="Q155" s="1" t="str" cm="1">
        <f t="array" ref="Q155">IF($BA152="","",INDEX(tblServicios[Vehículo],$BA152))</f>
        <v/>
      </c>
      <c r="R155" s="34" t="str" cm="1">
        <f t="array" ref="R155">IF($BA152="","",INDEX(tblServicios[Base imponible (€)],$BA152)-INDEX(tblServicios[Imp. suplemento (€)],$BA152))</f>
        <v/>
      </c>
      <c r="S155" s="34" t="str" cm="1">
        <f t="array" ref="S155">IF($BA152="","",INDEX(tblServicios[Imp. suplemento (€)],$BA152))</f>
        <v/>
      </c>
      <c r="T155" t="str" cm="1">
        <f t="array" ref="T155">IF($BA152="","",INDEX(tblServicios[Tipo suplemento],$BA152))</f>
        <v/>
      </c>
      <c r="U155" s="34" t="str">
        <f t="shared" si="3"/>
        <v/>
      </c>
      <c r="V155" s="1" t="str" cm="1">
        <f t="array" ref="V155">IF($BA152="","",IF(INDEX(tblServicios[Conductor],$BA152)=$T$2,"Conductor","Personal adicional"))</f>
        <v/>
      </c>
      <c r="BA155" s="33" t="str" cm="1">
        <f t="array" ref="BA1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adicional]=$T$2))&gt;0)),ROW(A156)),"")</f>
        <v/>
      </c>
    </row>
    <row r="156" spans="15:53" x14ac:dyDescent="0.35">
      <c r="O156" s="1" t="str" cm="1">
        <f t="array" ref="O156">IF($BA153="","",INDEX(tblServicios[Fecha],$BA153))</f>
        <v/>
      </c>
      <c r="P156" s="1" t="str" cm="1">
        <f t="array" ref="P156">IF($BA153="","",INDEX(tblServicios[Contrato],$BA153))</f>
        <v/>
      </c>
      <c r="Q156" s="1" t="str" cm="1">
        <f t="array" ref="Q156">IF($BA153="","",INDEX(tblServicios[Vehículo],$BA153))</f>
        <v/>
      </c>
      <c r="R156" s="34" t="str" cm="1">
        <f t="array" ref="R156">IF($BA153="","",INDEX(tblServicios[Base imponible (€)],$BA153)-INDEX(tblServicios[Imp. suplemento (€)],$BA153))</f>
        <v/>
      </c>
      <c r="S156" s="34" t="str" cm="1">
        <f t="array" ref="S156">IF($BA153="","",INDEX(tblServicios[Imp. suplemento (€)],$BA153))</f>
        <v/>
      </c>
      <c r="T156" t="str" cm="1">
        <f t="array" ref="T156">IF($BA153="","",INDEX(tblServicios[Tipo suplemento],$BA153))</f>
        <v/>
      </c>
      <c r="U156" s="34" t="str">
        <f t="shared" si="3"/>
        <v/>
      </c>
      <c r="V156" s="1" t="str" cm="1">
        <f t="array" ref="V156">IF($BA153="","",IF(INDEX(tblServicios[Conductor],$BA153)=$T$2,"Conductor","Personal adicional"))</f>
        <v/>
      </c>
      <c r="BA156" s="33" t="str" cm="1">
        <f t="array" ref="BA1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adicional]=$T$2))&gt;0)),ROW(A157)),"")</f>
        <v/>
      </c>
    </row>
    <row r="157" spans="15:53" x14ac:dyDescent="0.35">
      <c r="O157" s="1" t="str" cm="1">
        <f t="array" ref="O157">IF($BA154="","",INDEX(tblServicios[Fecha],$BA154))</f>
        <v/>
      </c>
      <c r="P157" s="1" t="str" cm="1">
        <f t="array" ref="P157">IF($BA154="","",INDEX(tblServicios[Contrato],$BA154))</f>
        <v/>
      </c>
      <c r="Q157" s="1" t="str" cm="1">
        <f t="array" ref="Q157">IF($BA154="","",INDEX(tblServicios[Vehículo],$BA154))</f>
        <v/>
      </c>
      <c r="R157" s="34" t="str" cm="1">
        <f t="array" ref="R157">IF($BA154="","",INDEX(tblServicios[Base imponible (€)],$BA154)-INDEX(tblServicios[Imp. suplemento (€)],$BA154))</f>
        <v/>
      </c>
      <c r="S157" s="34" t="str" cm="1">
        <f t="array" ref="S157">IF($BA154="","",INDEX(tblServicios[Imp. suplemento (€)],$BA154))</f>
        <v/>
      </c>
      <c r="T157" t="str" cm="1">
        <f t="array" ref="T157">IF($BA154="","",INDEX(tblServicios[Tipo suplemento],$BA154))</f>
        <v/>
      </c>
      <c r="U157" s="34" t="str">
        <f t="shared" si="3"/>
        <v/>
      </c>
      <c r="V157" s="1" t="str" cm="1">
        <f t="array" ref="V157">IF($BA154="","",IF(INDEX(tblServicios[Conductor],$BA154)=$T$2,"Conductor","Personal adicional"))</f>
        <v/>
      </c>
      <c r="BA157" s="33" t="str" cm="1">
        <f t="array" ref="BA1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adicional]=$T$2))&gt;0)),ROW(A158)),"")</f>
        <v/>
      </c>
    </row>
    <row r="158" spans="15:53" x14ac:dyDescent="0.35">
      <c r="O158" s="1" t="str" cm="1">
        <f t="array" ref="O158">IF($BA155="","",INDEX(tblServicios[Fecha],$BA155))</f>
        <v/>
      </c>
      <c r="P158" s="1" t="str" cm="1">
        <f t="array" ref="P158">IF($BA155="","",INDEX(tblServicios[Contrato],$BA155))</f>
        <v/>
      </c>
      <c r="Q158" s="1" t="str" cm="1">
        <f t="array" ref="Q158">IF($BA155="","",INDEX(tblServicios[Vehículo],$BA155))</f>
        <v/>
      </c>
      <c r="R158" s="34" t="str" cm="1">
        <f t="array" ref="R158">IF($BA155="","",INDEX(tblServicios[Base imponible (€)],$BA155)-INDEX(tblServicios[Imp. suplemento (€)],$BA155))</f>
        <v/>
      </c>
      <c r="S158" s="34" t="str" cm="1">
        <f t="array" ref="S158">IF($BA155="","",INDEX(tblServicios[Imp. suplemento (€)],$BA155))</f>
        <v/>
      </c>
      <c r="T158" t="str" cm="1">
        <f t="array" ref="T158">IF($BA155="","",INDEX(tblServicios[Tipo suplemento],$BA155))</f>
        <v/>
      </c>
      <c r="U158" s="34" t="str">
        <f t="shared" si="3"/>
        <v/>
      </c>
      <c r="V158" s="1" t="str" cm="1">
        <f t="array" ref="V158">IF($BA155="","",IF(INDEX(tblServicios[Conductor],$BA155)=$T$2,"Conductor","Personal adicional"))</f>
        <v/>
      </c>
      <c r="BA158" s="33" t="str" cm="1">
        <f t="array" ref="BA1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adicional]=$T$2))&gt;0)),ROW(A159)),"")</f>
        <v/>
      </c>
    </row>
    <row r="159" spans="15:53" x14ac:dyDescent="0.35">
      <c r="O159" s="1" t="str" cm="1">
        <f t="array" ref="O159">IF($BA156="","",INDEX(tblServicios[Fecha],$BA156))</f>
        <v/>
      </c>
      <c r="P159" s="1" t="str" cm="1">
        <f t="array" ref="P159">IF($BA156="","",INDEX(tblServicios[Contrato],$BA156))</f>
        <v/>
      </c>
      <c r="Q159" s="1" t="str" cm="1">
        <f t="array" ref="Q159">IF($BA156="","",INDEX(tblServicios[Vehículo],$BA156))</f>
        <v/>
      </c>
      <c r="R159" s="34" t="str" cm="1">
        <f t="array" ref="R159">IF($BA156="","",INDEX(tblServicios[Base imponible (€)],$BA156)-INDEX(tblServicios[Imp. suplemento (€)],$BA156))</f>
        <v/>
      </c>
      <c r="S159" s="34" t="str" cm="1">
        <f t="array" ref="S159">IF($BA156="","",INDEX(tblServicios[Imp. suplemento (€)],$BA156))</f>
        <v/>
      </c>
      <c r="T159" t="str" cm="1">
        <f t="array" ref="T159">IF($BA156="","",INDEX(tblServicios[Tipo suplemento],$BA156))</f>
        <v/>
      </c>
      <c r="U159" s="34" t="str">
        <f t="shared" si="3"/>
        <v/>
      </c>
      <c r="V159" s="1" t="str" cm="1">
        <f t="array" ref="V159">IF($BA156="","",IF(INDEX(tblServicios[Conductor],$BA156)=$T$2,"Conductor","Personal adicional"))</f>
        <v/>
      </c>
      <c r="BA159" s="33" t="str" cm="1">
        <f t="array" ref="BA1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adicional]=$T$2))&gt;0)),ROW(A160)),"")</f>
        <v/>
      </c>
    </row>
    <row r="160" spans="15:53" x14ac:dyDescent="0.35">
      <c r="O160" s="1" t="str" cm="1">
        <f t="array" ref="O160">IF($BA157="","",INDEX(tblServicios[Fecha],$BA157))</f>
        <v/>
      </c>
      <c r="P160" s="1" t="str" cm="1">
        <f t="array" ref="P160">IF($BA157="","",INDEX(tblServicios[Contrato],$BA157))</f>
        <v/>
      </c>
      <c r="Q160" s="1" t="str" cm="1">
        <f t="array" ref="Q160">IF($BA157="","",INDEX(tblServicios[Vehículo],$BA157))</f>
        <v/>
      </c>
      <c r="R160" s="34" t="str" cm="1">
        <f t="array" ref="R160">IF($BA157="","",INDEX(tblServicios[Base imponible (€)],$BA157)-INDEX(tblServicios[Imp. suplemento (€)],$BA157))</f>
        <v/>
      </c>
      <c r="S160" s="34" t="str" cm="1">
        <f t="array" ref="S160">IF($BA157="","",INDEX(tblServicios[Imp. suplemento (€)],$BA157))</f>
        <v/>
      </c>
      <c r="T160" t="str" cm="1">
        <f t="array" ref="T160">IF($BA157="","",INDEX(tblServicios[Tipo suplemento],$BA157))</f>
        <v/>
      </c>
      <c r="U160" s="34" t="str">
        <f t="shared" si="3"/>
        <v/>
      </c>
      <c r="V160" s="1" t="str" cm="1">
        <f t="array" ref="V160">IF($BA157="","",IF(INDEX(tblServicios[Conductor],$BA157)=$T$2,"Conductor","Personal adicional"))</f>
        <v/>
      </c>
      <c r="BA160" s="33" t="str" cm="1">
        <f t="array" ref="BA1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adicional]=$T$2))&gt;0)),ROW(A161)),"")</f>
        <v/>
      </c>
    </row>
    <row r="161" spans="15:53" x14ac:dyDescent="0.35">
      <c r="O161" s="1" t="str" cm="1">
        <f t="array" ref="O161">IF($BA158="","",INDEX(tblServicios[Fecha],$BA158))</f>
        <v/>
      </c>
      <c r="P161" s="1" t="str" cm="1">
        <f t="array" ref="P161">IF($BA158="","",INDEX(tblServicios[Contrato],$BA158))</f>
        <v/>
      </c>
      <c r="Q161" s="1" t="str" cm="1">
        <f t="array" ref="Q161">IF($BA158="","",INDEX(tblServicios[Vehículo],$BA158))</f>
        <v/>
      </c>
      <c r="R161" s="34" t="str" cm="1">
        <f t="array" ref="R161">IF($BA158="","",INDEX(tblServicios[Base imponible (€)],$BA158)-INDEX(tblServicios[Imp. suplemento (€)],$BA158))</f>
        <v/>
      </c>
      <c r="S161" s="34" t="str" cm="1">
        <f t="array" ref="S161">IF($BA158="","",INDEX(tblServicios[Imp. suplemento (€)],$BA158))</f>
        <v/>
      </c>
      <c r="T161" t="str" cm="1">
        <f t="array" ref="T161">IF($BA158="","",INDEX(tblServicios[Tipo suplemento],$BA158))</f>
        <v/>
      </c>
      <c r="U161" s="34" t="str">
        <f t="shared" si="3"/>
        <v/>
      </c>
      <c r="V161" s="1" t="str" cm="1">
        <f t="array" ref="V161">IF($BA158="","",IF(INDEX(tblServicios[Conductor],$BA158)=$T$2,"Conductor","Personal adicional"))</f>
        <v/>
      </c>
      <c r="BA161" s="33" t="str" cm="1">
        <f t="array" ref="BA1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adicional]=$T$2))&gt;0)),ROW(A162)),"")</f>
        <v/>
      </c>
    </row>
    <row r="162" spans="15:53" x14ac:dyDescent="0.35">
      <c r="O162" s="1" t="str" cm="1">
        <f t="array" ref="O162">IF($BA159="","",INDEX(tblServicios[Fecha],$BA159))</f>
        <v/>
      </c>
      <c r="P162" s="1" t="str" cm="1">
        <f t="array" ref="P162">IF($BA159="","",INDEX(tblServicios[Contrato],$BA159))</f>
        <v/>
      </c>
      <c r="Q162" s="1" t="str" cm="1">
        <f t="array" ref="Q162">IF($BA159="","",INDEX(tblServicios[Vehículo],$BA159))</f>
        <v/>
      </c>
      <c r="R162" s="34" t="str" cm="1">
        <f t="array" ref="R162">IF($BA159="","",INDEX(tblServicios[Base imponible (€)],$BA159)-INDEX(tblServicios[Imp. suplemento (€)],$BA159))</f>
        <v/>
      </c>
      <c r="S162" s="34" t="str" cm="1">
        <f t="array" ref="S162">IF($BA159="","",INDEX(tblServicios[Imp. suplemento (€)],$BA159))</f>
        <v/>
      </c>
      <c r="T162" t="str" cm="1">
        <f t="array" ref="T162">IF($BA159="","",INDEX(tblServicios[Tipo suplemento],$BA159))</f>
        <v/>
      </c>
      <c r="U162" s="34" t="str">
        <f t="shared" si="3"/>
        <v/>
      </c>
      <c r="V162" s="1" t="str" cm="1">
        <f t="array" ref="V162">IF($BA159="","",IF(INDEX(tblServicios[Conductor],$BA159)=$T$2,"Conductor","Personal adicional"))</f>
        <v/>
      </c>
      <c r="BA162" s="33" t="str" cm="1">
        <f t="array" ref="BA1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adicional]=$T$2))&gt;0)),ROW(A163)),"")</f>
        <v/>
      </c>
    </row>
    <row r="163" spans="15:53" x14ac:dyDescent="0.35">
      <c r="O163" s="1" t="str" cm="1">
        <f t="array" ref="O163">IF($BA160="","",INDEX(tblServicios[Fecha],$BA160))</f>
        <v/>
      </c>
      <c r="P163" s="1" t="str" cm="1">
        <f t="array" ref="P163">IF($BA160="","",INDEX(tblServicios[Contrato],$BA160))</f>
        <v/>
      </c>
      <c r="Q163" s="1" t="str" cm="1">
        <f t="array" ref="Q163">IF($BA160="","",INDEX(tblServicios[Vehículo],$BA160))</f>
        <v/>
      </c>
      <c r="R163" s="34" t="str" cm="1">
        <f t="array" ref="R163">IF($BA160="","",INDEX(tblServicios[Base imponible (€)],$BA160)-INDEX(tblServicios[Imp. suplemento (€)],$BA160))</f>
        <v/>
      </c>
      <c r="S163" s="34" t="str" cm="1">
        <f t="array" ref="S163">IF($BA160="","",INDEX(tblServicios[Imp. suplemento (€)],$BA160))</f>
        <v/>
      </c>
      <c r="T163" t="str" cm="1">
        <f t="array" ref="T163">IF($BA160="","",INDEX(tblServicios[Tipo suplemento],$BA160))</f>
        <v/>
      </c>
      <c r="U163" s="34" t="str">
        <f t="shared" si="3"/>
        <v/>
      </c>
      <c r="V163" s="1" t="str" cm="1">
        <f t="array" ref="V163">IF($BA160="","",IF(INDEX(tblServicios[Conductor],$BA160)=$T$2,"Conductor","Personal adicional"))</f>
        <v/>
      </c>
      <c r="BA163" s="33" t="str" cm="1">
        <f t="array" ref="BA1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adicional]=$T$2))&gt;0)),ROW(A164)),"")</f>
        <v/>
      </c>
    </row>
    <row r="164" spans="15:53" x14ac:dyDescent="0.35">
      <c r="O164" s="1" t="str" cm="1">
        <f t="array" ref="O164">IF($BA161="","",INDEX(tblServicios[Fecha],$BA161))</f>
        <v/>
      </c>
      <c r="P164" s="1" t="str" cm="1">
        <f t="array" ref="P164">IF($BA161="","",INDEX(tblServicios[Contrato],$BA161))</f>
        <v/>
      </c>
      <c r="Q164" s="1" t="str" cm="1">
        <f t="array" ref="Q164">IF($BA161="","",INDEX(tblServicios[Vehículo],$BA161))</f>
        <v/>
      </c>
      <c r="R164" s="34" t="str" cm="1">
        <f t="array" ref="R164">IF($BA161="","",INDEX(tblServicios[Base imponible (€)],$BA161)-INDEX(tblServicios[Imp. suplemento (€)],$BA161))</f>
        <v/>
      </c>
      <c r="S164" s="34" t="str" cm="1">
        <f t="array" ref="S164">IF($BA161="","",INDEX(tblServicios[Imp. suplemento (€)],$BA161))</f>
        <v/>
      </c>
      <c r="T164" t="str" cm="1">
        <f t="array" ref="T164">IF($BA161="","",INDEX(tblServicios[Tipo suplemento],$BA161))</f>
        <v/>
      </c>
      <c r="U164" s="34" t="str">
        <f t="shared" si="3"/>
        <v/>
      </c>
      <c r="V164" s="1" t="str" cm="1">
        <f t="array" ref="V164">IF($BA161="","",IF(INDEX(tblServicios[Conductor],$BA161)=$T$2,"Conductor","Personal adicional"))</f>
        <v/>
      </c>
      <c r="BA164" s="33" t="str" cm="1">
        <f t="array" ref="BA1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adicional]=$T$2))&gt;0)),ROW(A165)),"")</f>
        <v/>
      </c>
    </row>
    <row r="165" spans="15:53" x14ac:dyDescent="0.35">
      <c r="O165" s="1" t="str" cm="1">
        <f t="array" ref="O165">IF($BA162="","",INDEX(tblServicios[Fecha],$BA162))</f>
        <v/>
      </c>
      <c r="P165" s="1" t="str" cm="1">
        <f t="array" ref="P165">IF($BA162="","",INDEX(tblServicios[Contrato],$BA162))</f>
        <v/>
      </c>
      <c r="Q165" s="1" t="str" cm="1">
        <f t="array" ref="Q165">IF($BA162="","",INDEX(tblServicios[Vehículo],$BA162))</f>
        <v/>
      </c>
      <c r="R165" s="34" t="str" cm="1">
        <f t="array" ref="R165">IF($BA162="","",INDEX(tblServicios[Base imponible (€)],$BA162)-INDEX(tblServicios[Imp. suplemento (€)],$BA162))</f>
        <v/>
      </c>
      <c r="S165" s="34" t="str" cm="1">
        <f t="array" ref="S165">IF($BA162="","",INDEX(tblServicios[Imp. suplemento (€)],$BA162))</f>
        <v/>
      </c>
      <c r="T165" t="str" cm="1">
        <f t="array" ref="T165">IF($BA162="","",INDEX(tblServicios[Tipo suplemento],$BA162))</f>
        <v/>
      </c>
      <c r="U165" s="34" t="str">
        <f t="shared" si="3"/>
        <v/>
      </c>
      <c r="V165" s="1" t="str" cm="1">
        <f t="array" ref="V165">IF($BA162="","",IF(INDEX(tblServicios[Conductor],$BA162)=$T$2,"Conductor","Personal adicional"))</f>
        <v/>
      </c>
      <c r="BA165" s="33" t="str" cm="1">
        <f t="array" ref="BA1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adicional]=$T$2))&gt;0)),ROW(A166)),"")</f>
        <v/>
      </c>
    </row>
    <row r="166" spans="15:53" x14ac:dyDescent="0.35">
      <c r="O166" s="1" t="str" cm="1">
        <f t="array" ref="O166">IF($BA163="","",INDEX(tblServicios[Fecha],$BA163))</f>
        <v/>
      </c>
      <c r="P166" s="1" t="str" cm="1">
        <f t="array" ref="P166">IF($BA163="","",INDEX(tblServicios[Contrato],$BA163))</f>
        <v/>
      </c>
      <c r="Q166" s="1" t="str" cm="1">
        <f t="array" ref="Q166">IF($BA163="","",INDEX(tblServicios[Vehículo],$BA163))</f>
        <v/>
      </c>
      <c r="R166" s="34" t="str" cm="1">
        <f t="array" ref="R166">IF($BA163="","",INDEX(tblServicios[Base imponible (€)],$BA163)-INDEX(tblServicios[Imp. suplemento (€)],$BA163))</f>
        <v/>
      </c>
      <c r="S166" s="34" t="str" cm="1">
        <f t="array" ref="S166">IF($BA163="","",INDEX(tblServicios[Imp. suplemento (€)],$BA163))</f>
        <v/>
      </c>
      <c r="T166" t="str" cm="1">
        <f t="array" ref="T166">IF($BA163="","",INDEX(tblServicios[Tipo suplemento],$BA163))</f>
        <v/>
      </c>
      <c r="U166" s="34" t="str">
        <f t="shared" si="3"/>
        <v/>
      </c>
      <c r="V166" s="1" t="str" cm="1">
        <f t="array" ref="V166">IF($BA163="","",IF(INDEX(tblServicios[Conductor],$BA163)=$T$2,"Conductor","Personal adicional"))</f>
        <v/>
      </c>
      <c r="BA166" s="33" t="str" cm="1">
        <f t="array" ref="BA1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adicional]=$T$2))&gt;0)),ROW(A167)),"")</f>
        <v/>
      </c>
    </row>
    <row r="167" spans="15:53" x14ac:dyDescent="0.35">
      <c r="O167" s="1" t="str" cm="1">
        <f t="array" ref="O167">IF($BA164="","",INDEX(tblServicios[Fecha],$BA164))</f>
        <v/>
      </c>
      <c r="P167" s="1" t="str" cm="1">
        <f t="array" ref="P167">IF($BA164="","",INDEX(tblServicios[Contrato],$BA164))</f>
        <v/>
      </c>
      <c r="Q167" s="1" t="str" cm="1">
        <f t="array" ref="Q167">IF($BA164="","",INDEX(tblServicios[Vehículo],$BA164))</f>
        <v/>
      </c>
      <c r="R167" s="34" t="str" cm="1">
        <f t="array" ref="R167">IF($BA164="","",INDEX(tblServicios[Base imponible (€)],$BA164)-INDEX(tblServicios[Imp. suplemento (€)],$BA164))</f>
        <v/>
      </c>
      <c r="S167" s="34" t="str" cm="1">
        <f t="array" ref="S167">IF($BA164="","",INDEX(tblServicios[Imp. suplemento (€)],$BA164))</f>
        <v/>
      </c>
      <c r="T167" t="str" cm="1">
        <f t="array" ref="T167">IF($BA164="","",INDEX(tblServicios[Tipo suplemento],$BA164))</f>
        <v/>
      </c>
      <c r="U167" s="34" t="str">
        <f t="shared" si="3"/>
        <v/>
      </c>
      <c r="V167" s="1" t="str" cm="1">
        <f t="array" ref="V167">IF($BA164="","",IF(INDEX(tblServicios[Conductor],$BA164)=$T$2,"Conductor","Personal adicional"))</f>
        <v/>
      </c>
      <c r="BA167" s="33" t="str" cm="1">
        <f t="array" ref="BA1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adicional]=$T$2))&gt;0)),ROW(A168)),"")</f>
        <v/>
      </c>
    </row>
    <row r="168" spans="15:53" x14ac:dyDescent="0.35">
      <c r="O168" s="1" t="str" cm="1">
        <f t="array" ref="O168">IF($BA165="","",INDEX(tblServicios[Fecha],$BA165))</f>
        <v/>
      </c>
      <c r="P168" s="1" t="str" cm="1">
        <f t="array" ref="P168">IF($BA165="","",INDEX(tblServicios[Contrato],$BA165))</f>
        <v/>
      </c>
      <c r="Q168" s="1" t="str" cm="1">
        <f t="array" ref="Q168">IF($BA165="","",INDEX(tblServicios[Vehículo],$BA165))</f>
        <v/>
      </c>
      <c r="R168" s="34" t="str" cm="1">
        <f t="array" ref="R168">IF($BA165="","",INDEX(tblServicios[Base imponible (€)],$BA165)-INDEX(tblServicios[Imp. suplemento (€)],$BA165))</f>
        <v/>
      </c>
      <c r="S168" s="34" t="str" cm="1">
        <f t="array" ref="S168">IF($BA165="","",INDEX(tblServicios[Imp. suplemento (€)],$BA165))</f>
        <v/>
      </c>
      <c r="T168" t="str" cm="1">
        <f t="array" ref="T168">IF($BA165="","",INDEX(tblServicios[Tipo suplemento],$BA165))</f>
        <v/>
      </c>
      <c r="U168" s="34" t="str">
        <f t="shared" si="3"/>
        <v/>
      </c>
      <c r="V168" s="1" t="str" cm="1">
        <f t="array" ref="V168">IF($BA165="","",IF(INDEX(tblServicios[Conductor],$BA165)=$T$2,"Conductor","Personal adicional"))</f>
        <v/>
      </c>
      <c r="BA168" s="33" t="str" cm="1">
        <f t="array" ref="BA1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adicional]=$T$2))&gt;0)),ROW(A169)),"")</f>
        <v/>
      </c>
    </row>
    <row r="169" spans="15:53" x14ac:dyDescent="0.35">
      <c r="O169" s="1" t="str" cm="1">
        <f t="array" ref="O169">IF($BA166="","",INDEX(tblServicios[Fecha],$BA166))</f>
        <v/>
      </c>
      <c r="P169" s="1" t="str" cm="1">
        <f t="array" ref="P169">IF($BA166="","",INDEX(tblServicios[Contrato],$BA166))</f>
        <v/>
      </c>
      <c r="Q169" s="1" t="str" cm="1">
        <f t="array" ref="Q169">IF($BA166="","",INDEX(tblServicios[Vehículo],$BA166))</f>
        <v/>
      </c>
      <c r="R169" s="34" t="str" cm="1">
        <f t="array" ref="R169">IF($BA166="","",INDEX(tblServicios[Base imponible (€)],$BA166)-INDEX(tblServicios[Imp. suplemento (€)],$BA166))</f>
        <v/>
      </c>
      <c r="S169" s="34" t="str" cm="1">
        <f t="array" ref="S169">IF($BA166="","",INDEX(tblServicios[Imp. suplemento (€)],$BA166))</f>
        <v/>
      </c>
      <c r="T169" t="str" cm="1">
        <f t="array" ref="T169">IF($BA166="","",INDEX(tblServicios[Tipo suplemento],$BA166))</f>
        <v/>
      </c>
      <c r="U169" s="34" t="str">
        <f t="shared" si="3"/>
        <v/>
      </c>
      <c r="V169" s="1" t="str" cm="1">
        <f t="array" ref="V169">IF($BA166="","",IF(INDEX(tblServicios[Conductor],$BA166)=$T$2,"Conductor","Personal adicional"))</f>
        <v/>
      </c>
      <c r="BA169" s="33" t="str" cm="1">
        <f t="array" ref="BA1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adicional]=$T$2))&gt;0)),ROW(A170)),"")</f>
        <v/>
      </c>
    </row>
    <row r="170" spans="15:53" x14ac:dyDescent="0.35">
      <c r="O170" s="1" t="str" cm="1">
        <f t="array" ref="O170">IF($BA167="","",INDEX(tblServicios[Fecha],$BA167))</f>
        <v/>
      </c>
      <c r="P170" s="1" t="str" cm="1">
        <f t="array" ref="P170">IF($BA167="","",INDEX(tblServicios[Contrato],$BA167))</f>
        <v/>
      </c>
      <c r="Q170" s="1" t="str" cm="1">
        <f t="array" ref="Q170">IF($BA167="","",INDEX(tblServicios[Vehículo],$BA167))</f>
        <v/>
      </c>
      <c r="R170" s="34" t="str" cm="1">
        <f t="array" ref="R170">IF($BA167="","",INDEX(tblServicios[Base imponible (€)],$BA167)-INDEX(tblServicios[Imp. suplemento (€)],$BA167))</f>
        <v/>
      </c>
      <c r="S170" s="34" t="str" cm="1">
        <f t="array" ref="S170">IF($BA167="","",INDEX(tblServicios[Imp. suplemento (€)],$BA167))</f>
        <v/>
      </c>
      <c r="T170" t="str" cm="1">
        <f t="array" ref="T170">IF($BA167="","",INDEX(tblServicios[Tipo suplemento],$BA167))</f>
        <v/>
      </c>
      <c r="U170" s="34" t="str">
        <f t="shared" si="3"/>
        <v/>
      </c>
      <c r="V170" s="1" t="str" cm="1">
        <f t="array" ref="V170">IF($BA167="","",IF(INDEX(tblServicios[Conductor],$BA167)=$T$2,"Conductor","Personal adicional"))</f>
        <v/>
      </c>
      <c r="BA170" s="33" t="str" cm="1">
        <f t="array" ref="BA1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adicional]=$T$2))&gt;0)),ROW(A171)),"")</f>
        <v/>
      </c>
    </row>
    <row r="171" spans="15:53" x14ac:dyDescent="0.35">
      <c r="O171" s="1" t="str" cm="1">
        <f t="array" ref="O171">IF($BA168="","",INDEX(tblServicios[Fecha],$BA168))</f>
        <v/>
      </c>
      <c r="P171" s="1" t="str" cm="1">
        <f t="array" ref="P171">IF($BA168="","",INDEX(tblServicios[Contrato],$BA168))</f>
        <v/>
      </c>
      <c r="Q171" s="1" t="str" cm="1">
        <f t="array" ref="Q171">IF($BA168="","",INDEX(tblServicios[Vehículo],$BA168))</f>
        <v/>
      </c>
      <c r="R171" s="34" t="str" cm="1">
        <f t="array" ref="R171">IF($BA168="","",INDEX(tblServicios[Base imponible (€)],$BA168)-INDEX(tblServicios[Imp. suplemento (€)],$BA168))</f>
        <v/>
      </c>
      <c r="S171" s="34" t="str" cm="1">
        <f t="array" ref="S171">IF($BA168="","",INDEX(tblServicios[Imp. suplemento (€)],$BA168))</f>
        <v/>
      </c>
      <c r="T171" t="str" cm="1">
        <f t="array" ref="T171">IF($BA168="","",INDEX(tblServicios[Tipo suplemento],$BA168))</f>
        <v/>
      </c>
      <c r="U171" s="34" t="str">
        <f t="shared" si="3"/>
        <v/>
      </c>
      <c r="V171" s="1" t="str" cm="1">
        <f t="array" ref="V171">IF($BA168="","",IF(INDEX(tblServicios[Conductor],$BA168)=$T$2,"Conductor","Personal adicional"))</f>
        <v/>
      </c>
      <c r="BA171" s="33" t="str" cm="1">
        <f t="array" ref="BA1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adicional]=$T$2))&gt;0)),ROW(A172)),"")</f>
        <v/>
      </c>
    </row>
    <row r="172" spans="15:53" x14ac:dyDescent="0.35">
      <c r="O172" s="1" t="str" cm="1">
        <f t="array" ref="O172">IF($BA169="","",INDEX(tblServicios[Fecha],$BA169))</f>
        <v/>
      </c>
      <c r="P172" s="1" t="str" cm="1">
        <f t="array" ref="P172">IF($BA169="","",INDEX(tblServicios[Contrato],$BA169))</f>
        <v/>
      </c>
      <c r="Q172" s="1" t="str" cm="1">
        <f t="array" ref="Q172">IF($BA169="","",INDEX(tblServicios[Vehículo],$BA169))</f>
        <v/>
      </c>
      <c r="R172" s="34" t="str" cm="1">
        <f t="array" ref="R172">IF($BA169="","",INDEX(tblServicios[Base imponible (€)],$BA169)-INDEX(tblServicios[Imp. suplemento (€)],$BA169))</f>
        <v/>
      </c>
      <c r="S172" s="34" t="str" cm="1">
        <f t="array" ref="S172">IF($BA169="","",INDEX(tblServicios[Imp. suplemento (€)],$BA169))</f>
        <v/>
      </c>
      <c r="T172" t="str" cm="1">
        <f t="array" ref="T172">IF($BA169="","",INDEX(tblServicios[Tipo suplemento],$BA169))</f>
        <v/>
      </c>
      <c r="U172" s="34" t="str">
        <f t="shared" si="3"/>
        <v/>
      </c>
      <c r="V172" s="1" t="str" cm="1">
        <f t="array" ref="V172">IF($BA169="","",IF(INDEX(tblServicios[Conductor],$BA169)=$T$2,"Conductor","Personal adicional"))</f>
        <v/>
      </c>
      <c r="BA172" s="33" t="str" cm="1">
        <f t="array" ref="BA1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adicional]=$T$2))&gt;0)),ROW(A173)),"")</f>
        <v/>
      </c>
    </row>
    <row r="173" spans="15:53" x14ac:dyDescent="0.35">
      <c r="O173" s="1" t="str" cm="1">
        <f t="array" ref="O173">IF($BA170="","",INDEX(tblServicios[Fecha],$BA170))</f>
        <v/>
      </c>
      <c r="P173" s="1" t="str" cm="1">
        <f t="array" ref="P173">IF($BA170="","",INDEX(tblServicios[Contrato],$BA170))</f>
        <v/>
      </c>
      <c r="Q173" s="1" t="str" cm="1">
        <f t="array" ref="Q173">IF($BA170="","",INDEX(tblServicios[Vehículo],$BA170))</f>
        <v/>
      </c>
      <c r="R173" s="34" t="str" cm="1">
        <f t="array" ref="R173">IF($BA170="","",INDEX(tblServicios[Base imponible (€)],$BA170)-INDEX(tblServicios[Imp. suplemento (€)],$BA170))</f>
        <v/>
      </c>
      <c r="S173" s="34" t="str" cm="1">
        <f t="array" ref="S173">IF($BA170="","",INDEX(tblServicios[Imp. suplemento (€)],$BA170))</f>
        <v/>
      </c>
      <c r="T173" t="str" cm="1">
        <f t="array" ref="T173">IF($BA170="","",INDEX(tblServicios[Tipo suplemento],$BA170))</f>
        <v/>
      </c>
      <c r="U173" s="34" t="str">
        <f t="shared" si="3"/>
        <v/>
      </c>
      <c r="V173" s="1" t="str" cm="1">
        <f t="array" ref="V173">IF($BA170="","",IF(INDEX(tblServicios[Conductor],$BA170)=$T$2,"Conductor","Personal adicional"))</f>
        <v/>
      </c>
      <c r="BA173" s="33" t="str" cm="1">
        <f t="array" ref="BA1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adicional]=$T$2))&gt;0)),ROW(A174)),"")</f>
        <v/>
      </c>
    </row>
    <row r="174" spans="15:53" x14ac:dyDescent="0.35">
      <c r="O174" s="1" t="str" cm="1">
        <f t="array" ref="O174">IF($BA171="","",INDEX(tblServicios[Fecha],$BA171))</f>
        <v/>
      </c>
      <c r="P174" s="1" t="str" cm="1">
        <f t="array" ref="P174">IF($BA171="","",INDEX(tblServicios[Contrato],$BA171))</f>
        <v/>
      </c>
      <c r="Q174" s="1" t="str" cm="1">
        <f t="array" ref="Q174">IF($BA171="","",INDEX(tblServicios[Vehículo],$BA171))</f>
        <v/>
      </c>
      <c r="R174" s="34" t="str" cm="1">
        <f t="array" ref="R174">IF($BA171="","",INDEX(tblServicios[Base imponible (€)],$BA171)-INDEX(tblServicios[Imp. suplemento (€)],$BA171))</f>
        <v/>
      </c>
      <c r="S174" s="34" t="str" cm="1">
        <f t="array" ref="S174">IF($BA171="","",INDEX(tblServicios[Imp. suplemento (€)],$BA171))</f>
        <v/>
      </c>
      <c r="T174" t="str" cm="1">
        <f t="array" ref="T174">IF($BA171="","",INDEX(tblServicios[Tipo suplemento],$BA171))</f>
        <v/>
      </c>
      <c r="U174" s="34" t="str">
        <f t="shared" si="3"/>
        <v/>
      </c>
      <c r="V174" s="1" t="str" cm="1">
        <f t="array" ref="V174">IF($BA171="","",IF(INDEX(tblServicios[Conductor],$BA171)=$T$2,"Conductor","Personal adicional"))</f>
        <v/>
      </c>
      <c r="BA174" s="33" t="str" cm="1">
        <f t="array" ref="BA1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adicional]=$T$2))&gt;0)),ROW(A175)),"")</f>
        <v/>
      </c>
    </row>
    <row r="175" spans="15:53" x14ac:dyDescent="0.35">
      <c r="O175" s="1" t="str" cm="1">
        <f t="array" ref="O175">IF($BA172="","",INDEX(tblServicios[Fecha],$BA172))</f>
        <v/>
      </c>
      <c r="P175" s="1" t="str" cm="1">
        <f t="array" ref="P175">IF($BA172="","",INDEX(tblServicios[Contrato],$BA172))</f>
        <v/>
      </c>
      <c r="Q175" s="1" t="str" cm="1">
        <f t="array" ref="Q175">IF($BA172="","",INDEX(tblServicios[Vehículo],$BA172))</f>
        <v/>
      </c>
      <c r="R175" s="34" t="str" cm="1">
        <f t="array" ref="R175">IF($BA172="","",INDEX(tblServicios[Base imponible (€)],$BA172)-INDEX(tblServicios[Imp. suplemento (€)],$BA172))</f>
        <v/>
      </c>
      <c r="S175" s="34" t="str" cm="1">
        <f t="array" ref="S175">IF($BA172="","",INDEX(tblServicios[Imp. suplemento (€)],$BA172))</f>
        <v/>
      </c>
      <c r="T175" t="str" cm="1">
        <f t="array" ref="T175">IF($BA172="","",INDEX(tblServicios[Tipo suplemento],$BA172))</f>
        <v/>
      </c>
      <c r="U175" s="34" t="str">
        <f t="shared" si="3"/>
        <v/>
      </c>
      <c r="V175" s="1" t="str" cm="1">
        <f t="array" ref="V175">IF($BA172="","",IF(INDEX(tblServicios[Conductor],$BA172)=$T$2,"Conductor","Personal adicional"))</f>
        <v/>
      </c>
      <c r="BA175" s="33" t="str" cm="1">
        <f t="array" ref="BA1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adicional]=$T$2))&gt;0)),ROW(A176)),"")</f>
        <v/>
      </c>
    </row>
    <row r="176" spans="15:53" x14ac:dyDescent="0.35">
      <c r="O176" s="1" t="str" cm="1">
        <f t="array" ref="O176">IF($BA173="","",INDEX(tblServicios[Fecha],$BA173))</f>
        <v/>
      </c>
      <c r="P176" s="1" t="str" cm="1">
        <f t="array" ref="P176">IF($BA173="","",INDEX(tblServicios[Contrato],$BA173))</f>
        <v/>
      </c>
      <c r="Q176" s="1" t="str" cm="1">
        <f t="array" ref="Q176">IF($BA173="","",INDEX(tblServicios[Vehículo],$BA173))</f>
        <v/>
      </c>
      <c r="R176" s="34" t="str" cm="1">
        <f t="array" ref="R176">IF($BA173="","",INDEX(tblServicios[Base imponible (€)],$BA173)-INDEX(tblServicios[Imp. suplemento (€)],$BA173))</f>
        <v/>
      </c>
      <c r="S176" s="34" t="str" cm="1">
        <f t="array" ref="S176">IF($BA173="","",INDEX(tblServicios[Imp. suplemento (€)],$BA173))</f>
        <v/>
      </c>
      <c r="T176" t="str" cm="1">
        <f t="array" ref="T176">IF($BA173="","",INDEX(tblServicios[Tipo suplemento],$BA173))</f>
        <v/>
      </c>
      <c r="U176" s="34" t="str">
        <f t="shared" si="3"/>
        <v/>
      </c>
      <c r="V176" s="1" t="str" cm="1">
        <f t="array" ref="V176">IF($BA173="","",IF(INDEX(tblServicios[Conductor],$BA173)=$T$2,"Conductor","Personal adicional"))</f>
        <v/>
      </c>
      <c r="BA176" s="33" t="str" cm="1">
        <f t="array" ref="BA1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adicional]=$T$2))&gt;0)),ROW(A177)),"")</f>
        <v/>
      </c>
    </row>
    <row r="177" spans="15:53" x14ac:dyDescent="0.35">
      <c r="O177" s="1" t="str" cm="1">
        <f t="array" ref="O177">IF($BA174="","",INDEX(tblServicios[Fecha],$BA174))</f>
        <v/>
      </c>
      <c r="P177" s="1" t="str" cm="1">
        <f t="array" ref="P177">IF($BA174="","",INDEX(tblServicios[Contrato],$BA174))</f>
        <v/>
      </c>
      <c r="Q177" s="1" t="str" cm="1">
        <f t="array" ref="Q177">IF($BA174="","",INDEX(tblServicios[Vehículo],$BA174))</f>
        <v/>
      </c>
      <c r="R177" s="34" t="str" cm="1">
        <f t="array" ref="R177">IF($BA174="","",INDEX(tblServicios[Base imponible (€)],$BA174)-INDEX(tblServicios[Imp. suplemento (€)],$BA174))</f>
        <v/>
      </c>
      <c r="S177" s="34" t="str" cm="1">
        <f t="array" ref="S177">IF($BA174="","",INDEX(tblServicios[Imp. suplemento (€)],$BA174))</f>
        <v/>
      </c>
      <c r="T177" t="str" cm="1">
        <f t="array" ref="T177">IF($BA174="","",INDEX(tblServicios[Tipo suplemento],$BA174))</f>
        <v/>
      </c>
      <c r="U177" s="34" t="str">
        <f t="shared" si="3"/>
        <v/>
      </c>
      <c r="V177" s="1" t="str" cm="1">
        <f t="array" ref="V177">IF($BA174="","",IF(INDEX(tblServicios[Conductor],$BA174)=$T$2,"Conductor","Personal adicional"))</f>
        <v/>
      </c>
      <c r="BA177" s="33" t="str" cm="1">
        <f t="array" ref="BA1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adicional]=$T$2))&gt;0)),ROW(A178)),"")</f>
        <v/>
      </c>
    </row>
    <row r="178" spans="15:53" x14ac:dyDescent="0.35">
      <c r="O178" s="1" t="str" cm="1">
        <f t="array" ref="O178">IF($BA175="","",INDEX(tblServicios[Fecha],$BA175))</f>
        <v/>
      </c>
      <c r="P178" s="1" t="str" cm="1">
        <f t="array" ref="P178">IF($BA175="","",INDEX(tblServicios[Contrato],$BA175))</f>
        <v/>
      </c>
      <c r="Q178" s="1" t="str" cm="1">
        <f t="array" ref="Q178">IF($BA175="","",INDEX(tblServicios[Vehículo],$BA175))</f>
        <v/>
      </c>
      <c r="R178" s="34" t="str" cm="1">
        <f t="array" ref="R178">IF($BA175="","",INDEX(tblServicios[Base imponible (€)],$BA175)-INDEX(tblServicios[Imp. suplemento (€)],$BA175))</f>
        <v/>
      </c>
      <c r="S178" s="34" t="str" cm="1">
        <f t="array" ref="S178">IF($BA175="","",INDEX(tblServicios[Imp. suplemento (€)],$BA175))</f>
        <v/>
      </c>
      <c r="T178" t="str" cm="1">
        <f t="array" ref="T178">IF($BA175="","",INDEX(tblServicios[Tipo suplemento],$BA175))</f>
        <v/>
      </c>
      <c r="U178" s="34" t="str">
        <f t="shared" si="3"/>
        <v/>
      </c>
      <c r="V178" s="1" t="str" cm="1">
        <f t="array" ref="V178">IF($BA175="","",IF(INDEX(tblServicios[Conductor],$BA175)=$T$2,"Conductor","Personal adicional"))</f>
        <v/>
      </c>
      <c r="BA178" s="33" t="str" cm="1">
        <f t="array" ref="BA1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adicional]=$T$2))&gt;0)),ROW(A179)),"")</f>
        <v/>
      </c>
    </row>
    <row r="179" spans="15:53" x14ac:dyDescent="0.35">
      <c r="O179" s="1" t="str" cm="1">
        <f t="array" ref="O179">IF($BA176="","",INDEX(tblServicios[Fecha],$BA176))</f>
        <v/>
      </c>
      <c r="P179" s="1" t="str" cm="1">
        <f t="array" ref="P179">IF($BA176="","",INDEX(tblServicios[Contrato],$BA176))</f>
        <v/>
      </c>
      <c r="Q179" s="1" t="str" cm="1">
        <f t="array" ref="Q179">IF($BA176="","",INDEX(tblServicios[Vehículo],$BA176))</f>
        <v/>
      </c>
      <c r="R179" s="34" t="str" cm="1">
        <f t="array" ref="R179">IF($BA176="","",INDEX(tblServicios[Base imponible (€)],$BA176)-INDEX(tblServicios[Imp. suplemento (€)],$BA176))</f>
        <v/>
      </c>
      <c r="S179" s="34" t="str" cm="1">
        <f t="array" ref="S179">IF($BA176="","",INDEX(tblServicios[Imp. suplemento (€)],$BA176))</f>
        <v/>
      </c>
      <c r="T179" t="str" cm="1">
        <f t="array" ref="T179">IF($BA176="","",INDEX(tblServicios[Tipo suplemento],$BA176))</f>
        <v/>
      </c>
      <c r="U179" s="34" t="str">
        <f t="shared" si="3"/>
        <v/>
      </c>
      <c r="V179" s="1" t="str" cm="1">
        <f t="array" ref="V179">IF($BA176="","",IF(INDEX(tblServicios[Conductor],$BA176)=$T$2,"Conductor","Personal adicional"))</f>
        <v/>
      </c>
      <c r="BA179" s="33" t="str" cm="1">
        <f t="array" ref="BA1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adicional]=$T$2))&gt;0)),ROW(A180)),"")</f>
        <v/>
      </c>
    </row>
    <row r="180" spans="15:53" x14ac:dyDescent="0.35">
      <c r="O180" s="1" t="str" cm="1">
        <f t="array" ref="O180">IF($BA177="","",INDEX(tblServicios[Fecha],$BA177))</f>
        <v/>
      </c>
      <c r="P180" s="1" t="str" cm="1">
        <f t="array" ref="P180">IF($BA177="","",INDEX(tblServicios[Contrato],$BA177))</f>
        <v/>
      </c>
      <c r="Q180" s="1" t="str" cm="1">
        <f t="array" ref="Q180">IF($BA177="","",INDEX(tblServicios[Vehículo],$BA177))</f>
        <v/>
      </c>
      <c r="R180" s="34" t="str" cm="1">
        <f t="array" ref="R180">IF($BA177="","",INDEX(tblServicios[Base imponible (€)],$BA177)-INDEX(tblServicios[Imp. suplemento (€)],$BA177))</f>
        <v/>
      </c>
      <c r="S180" s="34" t="str" cm="1">
        <f t="array" ref="S180">IF($BA177="","",INDEX(tblServicios[Imp. suplemento (€)],$BA177))</f>
        <v/>
      </c>
      <c r="T180" t="str" cm="1">
        <f t="array" ref="T180">IF($BA177="","",INDEX(tblServicios[Tipo suplemento],$BA177))</f>
        <v/>
      </c>
      <c r="U180" s="34" t="str">
        <f t="shared" si="3"/>
        <v/>
      </c>
      <c r="V180" s="1" t="str" cm="1">
        <f t="array" ref="V180">IF($BA177="","",IF(INDEX(tblServicios[Conductor],$BA177)=$T$2,"Conductor","Personal adicional"))</f>
        <v/>
      </c>
      <c r="BA180" s="33" t="str" cm="1">
        <f t="array" ref="BA1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adicional]=$T$2))&gt;0)),ROW(A181)),"")</f>
        <v/>
      </c>
    </row>
    <row r="181" spans="15:53" x14ac:dyDescent="0.35">
      <c r="O181" s="1" t="str" cm="1">
        <f t="array" ref="O181">IF($BA178="","",INDEX(tblServicios[Fecha],$BA178))</f>
        <v/>
      </c>
      <c r="P181" s="1" t="str" cm="1">
        <f t="array" ref="P181">IF($BA178="","",INDEX(tblServicios[Contrato],$BA178))</f>
        <v/>
      </c>
      <c r="Q181" s="1" t="str" cm="1">
        <f t="array" ref="Q181">IF($BA178="","",INDEX(tblServicios[Vehículo],$BA178))</f>
        <v/>
      </c>
      <c r="R181" s="34" t="str" cm="1">
        <f t="array" ref="R181">IF($BA178="","",INDEX(tblServicios[Base imponible (€)],$BA178)-INDEX(tblServicios[Imp. suplemento (€)],$BA178))</f>
        <v/>
      </c>
      <c r="S181" s="34" t="str" cm="1">
        <f t="array" ref="S181">IF($BA178="","",INDEX(tblServicios[Imp. suplemento (€)],$BA178))</f>
        <v/>
      </c>
      <c r="T181" t="str" cm="1">
        <f t="array" ref="T181">IF($BA178="","",INDEX(tblServicios[Tipo suplemento],$BA178))</f>
        <v/>
      </c>
      <c r="U181" s="34" t="str">
        <f t="shared" si="3"/>
        <v/>
      </c>
      <c r="V181" s="1" t="str" cm="1">
        <f t="array" ref="V181">IF($BA178="","",IF(INDEX(tblServicios[Conductor],$BA178)=$T$2,"Conductor","Personal adicional"))</f>
        <v/>
      </c>
      <c r="BA181" s="33" t="str" cm="1">
        <f t="array" ref="BA1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adicional]=$T$2))&gt;0)),ROW(A182)),"")</f>
        <v/>
      </c>
    </row>
    <row r="182" spans="15:53" x14ac:dyDescent="0.35">
      <c r="O182" s="1" t="str" cm="1">
        <f t="array" ref="O182">IF($BA179="","",INDEX(tblServicios[Fecha],$BA179))</f>
        <v/>
      </c>
      <c r="P182" s="1" t="str" cm="1">
        <f t="array" ref="P182">IF($BA179="","",INDEX(tblServicios[Contrato],$BA179))</f>
        <v/>
      </c>
      <c r="Q182" s="1" t="str" cm="1">
        <f t="array" ref="Q182">IF($BA179="","",INDEX(tblServicios[Vehículo],$BA179))</f>
        <v/>
      </c>
      <c r="R182" s="34" t="str" cm="1">
        <f t="array" ref="R182">IF($BA179="","",INDEX(tblServicios[Base imponible (€)],$BA179)-INDEX(tblServicios[Imp. suplemento (€)],$BA179))</f>
        <v/>
      </c>
      <c r="S182" s="34" t="str" cm="1">
        <f t="array" ref="S182">IF($BA179="","",INDEX(tblServicios[Imp. suplemento (€)],$BA179))</f>
        <v/>
      </c>
      <c r="T182" t="str" cm="1">
        <f t="array" ref="T182">IF($BA179="","",INDEX(tblServicios[Tipo suplemento],$BA179))</f>
        <v/>
      </c>
      <c r="U182" s="34" t="str">
        <f t="shared" si="3"/>
        <v/>
      </c>
      <c r="V182" s="1" t="str" cm="1">
        <f t="array" ref="V182">IF($BA179="","",IF(INDEX(tblServicios[Conductor],$BA179)=$T$2,"Conductor","Personal adicional"))</f>
        <v/>
      </c>
      <c r="BA182" s="33" t="str" cm="1">
        <f t="array" ref="BA1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adicional]=$T$2))&gt;0)),ROW(A183)),"")</f>
        <v/>
      </c>
    </row>
    <row r="183" spans="15:53" x14ac:dyDescent="0.35">
      <c r="O183" s="1" t="str" cm="1">
        <f t="array" ref="O183">IF($BA180="","",INDEX(tblServicios[Fecha],$BA180))</f>
        <v/>
      </c>
      <c r="P183" s="1" t="str" cm="1">
        <f t="array" ref="P183">IF($BA180="","",INDEX(tblServicios[Contrato],$BA180))</f>
        <v/>
      </c>
      <c r="Q183" s="1" t="str" cm="1">
        <f t="array" ref="Q183">IF($BA180="","",INDEX(tblServicios[Vehículo],$BA180))</f>
        <v/>
      </c>
      <c r="R183" s="34" t="str" cm="1">
        <f t="array" ref="R183">IF($BA180="","",INDEX(tblServicios[Base imponible (€)],$BA180)-INDEX(tblServicios[Imp. suplemento (€)],$BA180))</f>
        <v/>
      </c>
      <c r="S183" s="34" t="str" cm="1">
        <f t="array" ref="S183">IF($BA180="","",INDEX(tblServicios[Imp. suplemento (€)],$BA180))</f>
        <v/>
      </c>
      <c r="T183" t="str" cm="1">
        <f t="array" ref="T183">IF($BA180="","",INDEX(tblServicios[Tipo suplemento],$BA180))</f>
        <v/>
      </c>
      <c r="U183" s="34" t="str">
        <f t="shared" si="3"/>
        <v/>
      </c>
      <c r="V183" s="1" t="str" cm="1">
        <f t="array" ref="V183">IF($BA180="","",IF(INDEX(tblServicios[Conductor],$BA180)=$T$2,"Conductor","Personal adicional"))</f>
        <v/>
      </c>
      <c r="BA183" s="33" t="str" cm="1">
        <f t="array" ref="BA1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adicional]=$T$2))&gt;0)),ROW(A184)),"")</f>
        <v/>
      </c>
    </row>
    <row r="184" spans="15:53" x14ac:dyDescent="0.35">
      <c r="O184" s="1" t="str" cm="1">
        <f t="array" ref="O184">IF($BA181="","",INDEX(tblServicios[Fecha],$BA181))</f>
        <v/>
      </c>
      <c r="P184" s="1" t="str" cm="1">
        <f t="array" ref="P184">IF($BA181="","",INDEX(tblServicios[Contrato],$BA181))</f>
        <v/>
      </c>
      <c r="Q184" s="1" t="str" cm="1">
        <f t="array" ref="Q184">IF($BA181="","",INDEX(tblServicios[Vehículo],$BA181))</f>
        <v/>
      </c>
      <c r="R184" s="34" t="str" cm="1">
        <f t="array" ref="R184">IF($BA181="","",INDEX(tblServicios[Base imponible (€)],$BA181)-INDEX(tblServicios[Imp. suplemento (€)],$BA181))</f>
        <v/>
      </c>
      <c r="S184" s="34" t="str" cm="1">
        <f t="array" ref="S184">IF($BA181="","",INDEX(tblServicios[Imp. suplemento (€)],$BA181))</f>
        <v/>
      </c>
      <c r="T184" t="str" cm="1">
        <f t="array" ref="T184">IF($BA181="","",INDEX(tblServicios[Tipo suplemento],$BA181))</f>
        <v/>
      </c>
      <c r="U184" s="34" t="str">
        <f t="shared" si="3"/>
        <v/>
      </c>
      <c r="V184" s="1" t="str" cm="1">
        <f t="array" ref="V184">IF($BA181="","",IF(INDEX(tblServicios[Conductor],$BA181)=$T$2,"Conductor","Personal adicional"))</f>
        <v/>
      </c>
      <c r="BA184" s="33" t="str" cm="1">
        <f t="array" ref="BA1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adicional]=$T$2))&gt;0)),ROW(A185)),"")</f>
        <v/>
      </c>
    </row>
    <row r="185" spans="15:53" x14ac:dyDescent="0.35">
      <c r="O185" s="1" t="str" cm="1">
        <f t="array" ref="O185">IF($BA182="","",INDEX(tblServicios[Fecha],$BA182))</f>
        <v/>
      </c>
      <c r="P185" s="1" t="str" cm="1">
        <f t="array" ref="P185">IF($BA182="","",INDEX(tblServicios[Contrato],$BA182))</f>
        <v/>
      </c>
      <c r="Q185" s="1" t="str" cm="1">
        <f t="array" ref="Q185">IF($BA182="","",INDEX(tblServicios[Vehículo],$BA182))</f>
        <v/>
      </c>
      <c r="R185" s="34" t="str" cm="1">
        <f t="array" ref="R185">IF($BA182="","",INDEX(tblServicios[Base imponible (€)],$BA182)-INDEX(tblServicios[Imp. suplemento (€)],$BA182))</f>
        <v/>
      </c>
      <c r="S185" s="34" t="str" cm="1">
        <f t="array" ref="S185">IF($BA182="","",INDEX(tblServicios[Imp. suplemento (€)],$BA182))</f>
        <v/>
      </c>
      <c r="T185" t="str" cm="1">
        <f t="array" ref="T185">IF($BA182="","",INDEX(tblServicios[Tipo suplemento],$BA182))</f>
        <v/>
      </c>
      <c r="U185" s="34" t="str">
        <f t="shared" si="3"/>
        <v/>
      </c>
      <c r="V185" s="1" t="str" cm="1">
        <f t="array" ref="V185">IF($BA182="","",IF(INDEX(tblServicios[Conductor],$BA182)=$T$2,"Conductor","Personal adicional"))</f>
        <v/>
      </c>
      <c r="BA185" s="33" t="str" cm="1">
        <f t="array" ref="BA1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adicional]=$T$2))&gt;0)),ROW(A186)),"")</f>
        <v/>
      </c>
    </row>
    <row r="186" spans="15:53" x14ac:dyDescent="0.35">
      <c r="O186" s="1" t="str" cm="1">
        <f t="array" ref="O186">IF($BA183="","",INDEX(tblServicios[Fecha],$BA183))</f>
        <v/>
      </c>
      <c r="P186" s="1" t="str" cm="1">
        <f t="array" ref="P186">IF($BA183="","",INDEX(tblServicios[Contrato],$BA183))</f>
        <v/>
      </c>
      <c r="Q186" s="1" t="str" cm="1">
        <f t="array" ref="Q186">IF($BA183="","",INDEX(tblServicios[Vehículo],$BA183))</f>
        <v/>
      </c>
      <c r="R186" s="34" t="str" cm="1">
        <f t="array" ref="R186">IF($BA183="","",INDEX(tblServicios[Base imponible (€)],$BA183)-INDEX(tblServicios[Imp. suplemento (€)],$BA183))</f>
        <v/>
      </c>
      <c r="S186" s="34" t="str" cm="1">
        <f t="array" ref="S186">IF($BA183="","",INDEX(tblServicios[Imp. suplemento (€)],$BA183))</f>
        <v/>
      </c>
      <c r="T186" t="str" cm="1">
        <f t="array" ref="T186">IF($BA183="","",INDEX(tblServicios[Tipo suplemento],$BA183))</f>
        <v/>
      </c>
      <c r="U186" s="34" t="str">
        <f t="shared" si="3"/>
        <v/>
      </c>
      <c r="V186" s="1" t="str" cm="1">
        <f t="array" ref="V186">IF($BA183="","",IF(INDEX(tblServicios[Conductor],$BA183)=$T$2,"Conductor","Personal adicional"))</f>
        <v/>
      </c>
      <c r="BA186" s="33" t="str" cm="1">
        <f t="array" ref="BA1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adicional]=$T$2))&gt;0)),ROW(A187)),"")</f>
        <v/>
      </c>
    </row>
    <row r="187" spans="15:53" x14ac:dyDescent="0.35">
      <c r="O187" s="1" t="str" cm="1">
        <f t="array" ref="O187">IF($BA184="","",INDEX(tblServicios[Fecha],$BA184))</f>
        <v/>
      </c>
      <c r="P187" s="1" t="str" cm="1">
        <f t="array" ref="P187">IF($BA184="","",INDEX(tblServicios[Contrato],$BA184))</f>
        <v/>
      </c>
      <c r="Q187" s="1" t="str" cm="1">
        <f t="array" ref="Q187">IF($BA184="","",INDEX(tblServicios[Vehículo],$BA184))</f>
        <v/>
      </c>
      <c r="R187" s="34" t="str" cm="1">
        <f t="array" ref="R187">IF($BA184="","",INDEX(tblServicios[Base imponible (€)],$BA184)-INDEX(tblServicios[Imp. suplemento (€)],$BA184))</f>
        <v/>
      </c>
      <c r="S187" s="34" t="str" cm="1">
        <f t="array" ref="S187">IF($BA184="","",INDEX(tblServicios[Imp. suplemento (€)],$BA184))</f>
        <v/>
      </c>
      <c r="T187" t="str" cm="1">
        <f t="array" ref="T187">IF($BA184="","",INDEX(tblServicios[Tipo suplemento],$BA184))</f>
        <v/>
      </c>
      <c r="U187" s="34" t="str">
        <f t="shared" si="3"/>
        <v/>
      </c>
      <c r="V187" s="1" t="str" cm="1">
        <f t="array" ref="V187">IF($BA184="","",IF(INDEX(tblServicios[Conductor],$BA184)=$T$2,"Conductor","Personal adicional"))</f>
        <v/>
      </c>
      <c r="BA187" s="33" t="str" cm="1">
        <f t="array" ref="BA1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adicional]=$T$2))&gt;0)),ROW(A188)),"")</f>
        <v/>
      </c>
    </row>
    <row r="188" spans="15:53" x14ac:dyDescent="0.35">
      <c r="O188" s="1" t="str" cm="1">
        <f t="array" ref="O188">IF($BA185="","",INDEX(tblServicios[Fecha],$BA185))</f>
        <v/>
      </c>
      <c r="P188" s="1" t="str" cm="1">
        <f t="array" ref="P188">IF($BA185="","",INDEX(tblServicios[Contrato],$BA185))</f>
        <v/>
      </c>
      <c r="Q188" s="1" t="str" cm="1">
        <f t="array" ref="Q188">IF($BA185="","",INDEX(tblServicios[Vehículo],$BA185))</f>
        <v/>
      </c>
      <c r="R188" s="34" t="str" cm="1">
        <f t="array" ref="R188">IF($BA185="","",INDEX(tblServicios[Base imponible (€)],$BA185)-INDEX(tblServicios[Imp. suplemento (€)],$BA185))</f>
        <v/>
      </c>
      <c r="S188" s="34" t="str" cm="1">
        <f t="array" ref="S188">IF($BA185="","",INDEX(tblServicios[Imp. suplemento (€)],$BA185))</f>
        <v/>
      </c>
      <c r="T188" t="str" cm="1">
        <f t="array" ref="T188">IF($BA185="","",INDEX(tblServicios[Tipo suplemento],$BA185))</f>
        <v/>
      </c>
      <c r="U188" s="34" t="str">
        <f t="shared" si="3"/>
        <v/>
      </c>
      <c r="V188" s="1" t="str" cm="1">
        <f t="array" ref="V188">IF($BA185="","",IF(INDEX(tblServicios[Conductor],$BA185)=$T$2,"Conductor","Personal adicional"))</f>
        <v/>
      </c>
      <c r="BA188" s="33" t="str" cm="1">
        <f t="array" ref="BA1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adicional]=$T$2))&gt;0)),ROW(A189)),"")</f>
        <v/>
      </c>
    </row>
    <row r="189" spans="15:53" x14ac:dyDescent="0.35">
      <c r="O189" s="1" t="str" cm="1">
        <f t="array" ref="O189">IF($BA186="","",INDEX(tblServicios[Fecha],$BA186))</f>
        <v/>
      </c>
      <c r="P189" s="1" t="str" cm="1">
        <f t="array" ref="P189">IF($BA186="","",INDEX(tblServicios[Contrato],$BA186))</f>
        <v/>
      </c>
      <c r="Q189" s="1" t="str" cm="1">
        <f t="array" ref="Q189">IF($BA186="","",INDEX(tblServicios[Vehículo],$BA186))</f>
        <v/>
      </c>
      <c r="R189" s="34" t="str" cm="1">
        <f t="array" ref="R189">IF($BA186="","",INDEX(tblServicios[Base imponible (€)],$BA186)-INDEX(tblServicios[Imp. suplemento (€)],$BA186))</f>
        <v/>
      </c>
      <c r="S189" s="34" t="str" cm="1">
        <f t="array" ref="S189">IF($BA186="","",INDEX(tblServicios[Imp. suplemento (€)],$BA186))</f>
        <v/>
      </c>
      <c r="T189" t="str" cm="1">
        <f t="array" ref="T189">IF($BA186="","",INDEX(tblServicios[Tipo suplemento],$BA186))</f>
        <v/>
      </c>
      <c r="U189" s="34" t="str">
        <f t="shared" si="3"/>
        <v/>
      </c>
      <c r="V189" s="1" t="str" cm="1">
        <f t="array" ref="V189">IF($BA186="","",IF(INDEX(tblServicios[Conductor],$BA186)=$T$2,"Conductor","Personal adicional"))</f>
        <v/>
      </c>
      <c r="BA189" s="33" t="str" cm="1">
        <f t="array" ref="BA1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adicional]=$T$2))&gt;0)),ROW(A190)),"")</f>
        <v/>
      </c>
    </row>
    <row r="190" spans="15:53" x14ac:dyDescent="0.35">
      <c r="O190" s="1" t="str" cm="1">
        <f t="array" ref="O190">IF($BA187="","",INDEX(tblServicios[Fecha],$BA187))</f>
        <v/>
      </c>
      <c r="P190" s="1" t="str" cm="1">
        <f t="array" ref="P190">IF($BA187="","",INDEX(tblServicios[Contrato],$BA187))</f>
        <v/>
      </c>
      <c r="Q190" s="1" t="str" cm="1">
        <f t="array" ref="Q190">IF($BA187="","",INDEX(tblServicios[Vehículo],$BA187))</f>
        <v/>
      </c>
      <c r="R190" s="34" t="str" cm="1">
        <f t="array" ref="R190">IF($BA187="","",INDEX(tblServicios[Base imponible (€)],$BA187)-INDEX(tblServicios[Imp. suplemento (€)],$BA187))</f>
        <v/>
      </c>
      <c r="S190" s="34" t="str" cm="1">
        <f t="array" ref="S190">IF($BA187="","",INDEX(tblServicios[Imp. suplemento (€)],$BA187))</f>
        <v/>
      </c>
      <c r="T190" t="str" cm="1">
        <f t="array" ref="T190">IF($BA187="","",INDEX(tblServicios[Tipo suplemento],$BA187))</f>
        <v/>
      </c>
      <c r="U190" s="34" t="str">
        <f t="shared" si="3"/>
        <v/>
      </c>
      <c r="V190" s="1" t="str" cm="1">
        <f t="array" ref="V190">IF($BA187="","",IF(INDEX(tblServicios[Conductor],$BA187)=$T$2,"Conductor","Personal adicional"))</f>
        <v/>
      </c>
      <c r="BA190" s="33" t="str" cm="1">
        <f t="array" ref="BA1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adicional]=$T$2))&gt;0)),ROW(A191)),"")</f>
        <v/>
      </c>
    </row>
    <row r="191" spans="15:53" x14ac:dyDescent="0.35">
      <c r="O191" s="1" t="str" cm="1">
        <f t="array" ref="O191">IF($BA188="","",INDEX(tblServicios[Fecha],$BA188))</f>
        <v/>
      </c>
      <c r="P191" s="1" t="str" cm="1">
        <f t="array" ref="P191">IF($BA188="","",INDEX(tblServicios[Contrato],$BA188))</f>
        <v/>
      </c>
      <c r="Q191" s="1" t="str" cm="1">
        <f t="array" ref="Q191">IF($BA188="","",INDEX(tblServicios[Vehículo],$BA188))</f>
        <v/>
      </c>
      <c r="R191" s="34" t="str" cm="1">
        <f t="array" ref="R191">IF($BA188="","",INDEX(tblServicios[Base imponible (€)],$BA188)-INDEX(tblServicios[Imp. suplemento (€)],$BA188))</f>
        <v/>
      </c>
      <c r="S191" s="34" t="str" cm="1">
        <f t="array" ref="S191">IF($BA188="","",INDEX(tblServicios[Imp. suplemento (€)],$BA188))</f>
        <v/>
      </c>
      <c r="T191" t="str" cm="1">
        <f t="array" ref="T191">IF($BA188="","",INDEX(tblServicios[Tipo suplemento],$BA188))</f>
        <v/>
      </c>
      <c r="U191" s="34" t="str">
        <f t="shared" si="3"/>
        <v/>
      </c>
      <c r="V191" s="1" t="str" cm="1">
        <f t="array" ref="V191">IF($BA188="","",IF(INDEX(tblServicios[Conductor],$BA188)=$T$2,"Conductor","Personal adicional"))</f>
        <v/>
      </c>
      <c r="BA191" s="33" t="str" cm="1">
        <f t="array" ref="BA1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adicional]=$T$2))&gt;0)),ROW(A192)),"")</f>
        <v/>
      </c>
    </row>
    <row r="192" spans="15:53" x14ac:dyDescent="0.35">
      <c r="O192" s="1" t="str" cm="1">
        <f t="array" ref="O192">IF($BA189="","",INDEX(tblServicios[Fecha],$BA189))</f>
        <v/>
      </c>
      <c r="P192" s="1" t="str" cm="1">
        <f t="array" ref="P192">IF($BA189="","",INDEX(tblServicios[Contrato],$BA189))</f>
        <v/>
      </c>
      <c r="Q192" s="1" t="str" cm="1">
        <f t="array" ref="Q192">IF($BA189="","",INDEX(tblServicios[Vehículo],$BA189))</f>
        <v/>
      </c>
      <c r="R192" s="34" t="str" cm="1">
        <f t="array" ref="R192">IF($BA189="","",INDEX(tblServicios[Base imponible (€)],$BA189)-INDEX(tblServicios[Imp. suplemento (€)],$BA189))</f>
        <v/>
      </c>
      <c r="S192" s="34" t="str" cm="1">
        <f t="array" ref="S192">IF($BA189="","",INDEX(tblServicios[Imp. suplemento (€)],$BA189))</f>
        <v/>
      </c>
      <c r="T192" t="str" cm="1">
        <f t="array" ref="T192">IF($BA189="","",INDEX(tblServicios[Tipo suplemento],$BA189))</f>
        <v/>
      </c>
      <c r="U192" s="34" t="str">
        <f t="shared" si="3"/>
        <v/>
      </c>
      <c r="V192" s="1" t="str" cm="1">
        <f t="array" ref="V192">IF($BA189="","",IF(INDEX(tblServicios[Conductor],$BA189)=$T$2,"Conductor","Personal adicional"))</f>
        <v/>
      </c>
      <c r="BA192" s="33" t="str" cm="1">
        <f t="array" ref="BA1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adicional]=$T$2))&gt;0)),ROW(A193)),"")</f>
        <v/>
      </c>
    </row>
    <row r="193" spans="15:53" x14ac:dyDescent="0.35">
      <c r="O193" s="1" t="str" cm="1">
        <f t="array" ref="O193">IF($BA190="","",INDEX(tblServicios[Fecha],$BA190))</f>
        <v/>
      </c>
      <c r="P193" s="1" t="str" cm="1">
        <f t="array" ref="P193">IF($BA190="","",INDEX(tblServicios[Contrato],$BA190))</f>
        <v/>
      </c>
      <c r="Q193" s="1" t="str" cm="1">
        <f t="array" ref="Q193">IF($BA190="","",INDEX(tblServicios[Vehículo],$BA190))</f>
        <v/>
      </c>
      <c r="R193" s="34" t="str" cm="1">
        <f t="array" ref="R193">IF($BA190="","",INDEX(tblServicios[Base imponible (€)],$BA190)-INDEX(tblServicios[Imp. suplemento (€)],$BA190))</f>
        <v/>
      </c>
      <c r="S193" s="34" t="str" cm="1">
        <f t="array" ref="S193">IF($BA190="","",INDEX(tblServicios[Imp. suplemento (€)],$BA190))</f>
        <v/>
      </c>
      <c r="T193" t="str" cm="1">
        <f t="array" ref="T193">IF($BA190="","",INDEX(tblServicios[Tipo suplemento],$BA190))</f>
        <v/>
      </c>
      <c r="U193" s="34" t="str">
        <f t="shared" si="3"/>
        <v/>
      </c>
      <c r="V193" s="1" t="str" cm="1">
        <f t="array" ref="V193">IF($BA190="","",IF(INDEX(tblServicios[Conductor],$BA190)=$T$2,"Conductor","Personal adicional"))</f>
        <v/>
      </c>
      <c r="BA193" s="33" t="str" cm="1">
        <f t="array" ref="BA19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adicional]=$T$2))&gt;0)),ROW(A194)),"")</f>
        <v/>
      </c>
    </row>
    <row r="194" spans="15:53" x14ac:dyDescent="0.35">
      <c r="O194" s="1" t="str" cm="1">
        <f t="array" ref="O194">IF($BA191="","",INDEX(tblServicios[Fecha],$BA191))</f>
        <v/>
      </c>
      <c r="P194" s="1" t="str" cm="1">
        <f t="array" ref="P194">IF($BA191="","",INDEX(tblServicios[Contrato],$BA191))</f>
        <v/>
      </c>
      <c r="Q194" s="1" t="str" cm="1">
        <f t="array" ref="Q194">IF($BA191="","",INDEX(tblServicios[Vehículo],$BA191))</f>
        <v/>
      </c>
      <c r="R194" s="34" t="str" cm="1">
        <f t="array" ref="R194">IF($BA191="","",INDEX(tblServicios[Base imponible (€)],$BA191)-INDEX(tblServicios[Imp. suplemento (€)],$BA191))</f>
        <v/>
      </c>
      <c r="S194" s="34" t="str" cm="1">
        <f t="array" ref="S194">IF($BA191="","",INDEX(tblServicios[Imp. suplemento (€)],$BA191))</f>
        <v/>
      </c>
      <c r="T194" t="str" cm="1">
        <f t="array" ref="T194">IF($BA191="","",INDEX(tblServicios[Tipo suplemento],$BA191))</f>
        <v/>
      </c>
      <c r="U194" s="34" t="str">
        <f t="shared" si="3"/>
        <v/>
      </c>
      <c r="V194" s="1" t="str" cm="1">
        <f t="array" ref="V194">IF($BA191="","",IF(INDEX(tblServicios[Conductor],$BA191)=$T$2,"Conductor","Personal adicional"))</f>
        <v/>
      </c>
      <c r="BA194" s="33" t="str" cm="1">
        <f t="array" ref="BA19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adicional]=$T$2))&gt;0)),ROW(A195)),"")</f>
        <v/>
      </c>
    </row>
    <row r="195" spans="15:53" x14ac:dyDescent="0.35">
      <c r="O195" s="1" t="str" cm="1">
        <f t="array" ref="O195">IF($BA192="","",INDEX(tblServicios[Fecha],$BA192))</f>
        <v/>
      </c>
      <c r="P195" s="1" t="str" cm="1">
        <f t="array" ref="P195">IF($BA192="","",INDEX(tblServicios[Contrato],$BA192))</f>
        <v/>
      </c>
      <c r="Q195" s="1" t="str" cm="1">
        <f t="array" ref="Q195">IF($BA192="","",INDEX(tblServicios[Vehículo],$BA192))</f>
        <v/>
      </c>
      <c r="R195" s="34" t="str" cm="1">
        <f t="array" ref="R195">IF($BA192="","",INDEX(tblServicios[Base imponible (€)],$BA192)-INDEX(tblServicios[Imp. suplemento (€)],$BA192))</f>
        <v/>
      </c>
      <c r="S195" s="34" t="str" cm="1">
        <f t="array" ref="S195">IF($BA192="","",INDEX(tblServicios[Imp. suplemento (€)],$BA192))</f>
        <v/>
      </c>
      <c r="T195" t="str" cm="1">
        <f t="array" ref="T195">IF($BA192="","",INDEX(tblServicios[Tipo suplemento],$BA192))</f>
        <v/>
      </c>
      <c r="U195" s="34" t="str">
        <f t="shared" si="3"/>
        <v/>
      </c>
      <c r="V195" s="1" t="str" cm="1">
        <f t="array" ref="V195">IF($BA192="","",IF(INDEX(tblServicios[Conductor],$BA192)=$T$2,"Conductor","Personal adicional"))</f>
        <v/>
      </c>
      <c r="BA195" s="33" t="str" cm="1">
        <f t="array" ref="BA19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adicional]=$T$2))&gt;0)),ROW(A196)),"")</f>
        <v/>
      </c>
    </row>
    <row r="196" spans="15:53" x14ac:dyDescent="0.35">
      <c r="O196" s="1" t="str" cm="1">
        <f t="array" ref="O196">IF($BA193="","",INDEX(tblServicios[Fecha],$BA193))</f>
        <v/>
      </c>
      <c r="P196" s="1" t="str" cm="1">
        <f t="array" ref="P196">IF($BA193="","",INDEX(tblServicios[Contrato],$BA193))</f>
        <v/>
      </c>
      <c r="Q196" s="1" t="str" cm="1">
        <f t="array" ref="Q196">IF($BA193="","",INDEX(tblServicios[Vehículo],$BA193))</f>
        <v/>
      </c>
      <c r="R196" s="34" t="str" cm="1">
        <f t="array" ref="R196">IF($BA193="","",INDEX(tblServicios[Base imponible (€)],$BA193)-INDEX(tblServicios[Imp. suplemento (€)],$BA193))</f>
        <v/>
      </c>
      <c r="S196" s="34" t="str" cm="1">
        <f t="array" ref="S196">IF($BA193="","",INDEX(tblServicios[Imp. suplemento (€)],$BA193))</f>
        <v/>
      </c>
      <c r="T196" t="str" cm="1">
        <f t="array" ref="T196">IF($BA193="","",INDEX(tblServicios[Tipo suplemento],$BA193))</f>
        <v/>
      </c>
      <c r="U196" s="34" t="str">
        <f t="shared" si="3"/>
        <v/>
      </c>
      <c r="V196" s="1" t="str" cm="1">
        <f t="array" ref="V196">IF($BA193="","",IF(INDEX(tblServicios[Conductor],$BA193)=$T$2,"Conductor","Personal adicional"))</f>
        <v/>
      </c>
      <c r="BA196" s="33" t="str" cm="1">
        <f t="array" ref="BA19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adicional]=$T$2))&gt;0)),ROW(A197)),"")</f>
        <v/>
      </c>
    </row>
    <row r="197" spans="15:53" x14ac:dyDescent="0.35">
      <c r="O197" s="1" t="str" cm="1">
        <f t="array" ref="O197">IF($BA194="","",INDEX(tblServicios[Fecha],$BA194))</f>
        <v/>
      </c>
      <c r="P197" s="1" t="str" cm="1">
        <f t="array" ref="P197">IF($BA194="","",INDEX(tblServicios[Contrato],$BA194))</f>
        <v/>
      </c>
      <c r="Q197" s="1" t="str" cm="1">
        <f t="array" ref="Q197">IF($BA194="","",INDEX(tblServicios[Vehículo],$BA194))</f>
        <v/>
      </c>
      <c r="R197" s="34" t="str" cm="1">
        <f t="array" ref="R197">IF($BA194="","",INDEX(tblServicios[Base imponible (€)],$BA194)-INDEX(tblServicios[Imp. suplemento (€)],$BA194))</f>
        <v/>
      </c>
      <c r="S197" s="34" t="str" cm="1">
        <f t="array" ref="S197">IF($BA194="","",INDEX(tblServicios[Imp. suplemento (€)],$BA194))</f>
        <v/>
      </c>
      <c r="T197" t="str" cm="1">
        <f t="array" ref="T197">IF($BA194="","",INDEX(tblServicios[Tipo suplemento],$BA194))</f>
        <v/>
      </c>
      <c r="U197" s="34" t="str">
        <f t="shared" si="3"/>
        <v/>
      </c>
      <c r="V197" s="1" t="str" cm="1">
        <f t="array" ref="V197">IF($BA194="","",IF(INDEX(tblServicios[Conductor],$BA194)=$T$2,"Conductor","Personal adicional"))</f>
        <v/>
      </c>
      <c r="BA197" s="33" t="str" cm="1">
        <f t="array" ref="BA19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adicional]=$T$2))&gt;0)),ROW(A198)),"")</f>
        <v/>
      </c>
    </row>
    <row r="198" spans="15:53" x14ac:dyDescent="0.35">
      <c r="O198" s="1" t="str" cm="1">
        <f t="array" ref="O198">IF($BA195="","",INDEX(tblServicios[Fecha],$BA195))</f>
        <v/>
      </c>
      <c r="P198" s="1" t="str" cm="1">
        <f t="array" ref="P198">IF($BA195="","",INDEX(tblServicios[Contrato],$BA195))</f>
        <v/>
      </c>
      <c r="Q198" s="1" t="str" cm="1">
        <f t="array" ref="Q198">IF($BA195="","",INDEX(tblServicios[Vehículo],$BA195))</f>
        <v/>
      </c>
      <c r="R198" s="34" t="str" cm="1">
        <f t="array" ref="R198">IF($BA195="","",INDEX(tblServicios[Base imponible (€)],$BA195)-INDEX(tblServicios[Imp. suplemento (€)],$BA195))</f>
        <v/>
      </c>
      <c r="S198" s="34" t="str" cm="1">
        <f t="array" ref="S198">IF($BA195="","",INDEX(tblServicios[Imp. suplemento (€)],$BA195))</f>
        <v/>
      </c>
      <c r="T198" t="str" cm="1">
        <f t="array" ref="T198">IF($BA195="","",INDEX(tblServicios[Tipo suplemento],$BA195))</f>
        <v/>
      </c>
      <c r="U198" s="34" t="str">
        <f t="shared" si="3"/>
        <v/>
      </c>
      <c r="V198" s="1" t="str" cm="1">
        <f t="array" ref="V198">IF($BA195="","",IF(INDEX(tblServicios[Conductor],$BA195)=$T$2,"Conductor","Personal adicional"))</f>
        <v/>
      </c>
      <c r="BA198" s="33" t="str" cm="1">
        <f t="array" ref="BA19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adicional]=$T$2))&gt;0)),ROW(A199)),"")</f>
        <v/>
      </c>
    </row>
    <row r="199" spans="15:53" x14ac:dyDescent="0.35">
      <c r="O199" s="1" t="str" cm="1">
        <f t="array" ref="O199">IF($BA196="","",INDEX(tblServicios[Fecha],$BA196))</f>
        <v/>
      </c>
      <c r="P199" s="1" t="str" cm="1">
        <f t="array" ref="P199">IF($BA196="","",INDEX(tblServicios[Contrato],$BA196))</f>
        <v/>
      </c>
      <c r="Q199" s="1" t="str" cm="1">
        <f t="array" ref="Q199">IF($BA196="","",INDEX(tblServicios[Vehículo],$BA196))</f>
        <v/>
      </c>
      <c r="R199" s="34" t="str" cm="1">
        <f t="array" ref="R199">IF($BA196="","",INDEX(tblServicios[Base imponible (€)],$BA196)-INDEX(tblServicios[Imp. suplemento (€)],$BA196))</f>
        <v/>
      </c>
      <c r="S199" s="34" t="str" cm="1">
        <f t="array" ref="S199">IF($BA196="","",INDEX(tblServicios[Imp. suplemento (€)],$BA196))</f>
        <v/>
      </c>
      <c r="T199" t="str" cm="1">
        <f t="array" ref="T199">IF($BA196="","",INDEX(tblServicios[Tipo suplemento],$BA196))</f>
        <v/>
      </c>
      <c r="U199" s="34" t="str">
        <f t="shared" ref="U199:U262" si="4">IF($BA196="","",R199+S199)</f>
        <v/>
      </c>
      <c r="V199" s="1" t="str" cm="1">
        <f t="array" ref="V199">IF($BA196="","",IF(INDEX(tblServicios[Conductor],$BA196)=$T$2,"Conductor","Personal adicional"))</f>
        <v/>
      </c>
      <c r="BA199" s="33" t="str" cm="1">
        <f t="array" ref="BA19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adicional]=$T$2))&gt;0)),ROW(A200)),"")</f>
        <v/>
      </c>
    </row>
    <row r="200" spans="15:53" x14ac:dyDescent="0.35">
      <c r="O200" s="1" t="str" cm="1">
        <f t="array" ref="O200">IF($BA197="","",INDEX(tblServicios[Fecha],$BA197))</f>
        <v/>
      </c>
      <c r="P200" s="1" t="str" cm="1">
        <f t="array" ref="P200">IF($BA197="","",INDEX(tblServicios[Contrato],$BA197))</f>
        <v/>
      </c>
      <c r="Q200" s="1" t="str" cm="1">
        <f t="array" ref="Q200">IF($BA197="","",INDEX(tblServicios[Vehículo],$BA197))</f>
        <v/>
      </c>
      <c r="R200" s="34" t="str" cm="1">
        <f t="array" ref="R200">IF($BA197="","",INDEX(tblServicios[Base imponible (€)],$BA197)-INDEX(tblServicios[Imp. suplemento (€)],$BA197))</f>
        <v/>
      </c>
      <c r="S200" s="34" t="str" cm="1">
        <f t="array" ref="S200">IF($BA197="","",INDEX(tblServicios[Imp. suplemento (€)],$BA197))</f>
        <v/>
      </c>
      <c r="T200" t="str" cm="1">
        <f t="array" ref="T200">IF($BA197="","",INDEX(tblServicios[Tipo suplemento],$BA197))</f>
        <v/>
      </c>
      <c r="U200" s="34" t="str">
        <f t="shared" si="4"/>
        <v/>
      </c>
      <c r="V200" s="1" t="str" cm="1">
        <f t="array" ref="V200">IF($BA197="","",IF(INDEX(tblServicios[Conductor],$BA197)=$T$2,"Conductor","Personal adicional"))</f>
        <v/>
      </c>
      <c r="BA200" s="33" t="str" cm="1">
        <f t="array" ref="BA20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adicional]=$T$2))&gt;0)),ROW(A201)),"")</f>
        <v/>
      </c>
    </row>
    <row r="201" spans="15:53" x14ac:dyDescent="0.35">
      <c r="O201" s="1" t="str" cm="1">
        <f t="array" ref="O201">IF($BA198="","",INDEX(tblServicios[Fecha],$BA198))</f>
        <v/>
      </c>
      <c r="P201" s="1" t="str" cm="1">
        <f t="array" ref="P201">IF($BA198="","",INDEX(tblServicios[Contrato],$BA198))</f>
        <v/>
      </c>
      <c r="Q201" s="1" t="str" cm="1">
        <f t="array" ref="Q201">IF($BA198="","",INDEX(tblServicios[Vehículo],$BA198))</f>
        <v/>
      </c>
      <c r="R201" s="34" t="str" cm="1">
        <f t="array" ref="R201">IF($BA198="","",INDEX(tblServicios[Base imponible (€)],$BA198)-INDEX(tblServicios[Imp. suplemento (€)],$BA198))</f>
        <v/>
      </c>
      <c r="S201" s="34" t="str" cm="1">
        <f t="array" ref="S201">IF($BA198="","",INDEX(tblServicios[Imp. suplemento (€)],$BA198))</f>
        <v/>
      </c>
      <c r="T201" t="str" cm="1">
        <f t="array" ref="T201">IF($BA198="","",INDEX(tblServicios[Tipo suplemento],$BA198))</f>
        <v/>
      </c>
      <c r="U201" s="34" t="str">
        <f t="shared" si="4"/>
        <v/>
      </c>
      <c r="V201" s="1" t="str" cm="1">
        <f t="array" ref="V201">IF($BA198="","",IF(INDEX(tblServicios[Conductor],$BA198)=$T$2,"Conductor","Personal adicional"))</f>
        <v/>
      </c>
      <c r="BA201" s="33" t="str" cm="1">
        <f t="array" ref="BA20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adicional]=$T$2))&gt;0)),ROW(A202)),"")</f>
        <v/>
      </c>
    </row>
    <row r="202" spans="15:53" x14ac:dyDescent="0.35">
      <c r="O202" s="1" t="str" cm="1">
        <f t="array" ref="O202">IF($BA199="","",INDEX(tblServicios[Fecha],$BA199))</f>
        <v/>
      </c>
      <c r="P202" s="1" t="str" cm="1">
        <f t="array" ref="P202">IF($BA199="","",INDEX(tblServicios[Contrato],$BA199))</f>
        <v/>
      </c>
      <c r="Q202" s="1" t="str" cm="1">
        <f t="array" ref="Q202">IF($BA199="","",INDEX(tblServicios[Vehículo],$BA199))</f>
        <v/>
      </c>
      <c r="R202" s="34" t="str" cm="1">
        <f t="array" ref="R202">IF($BA199="","",INDEX(tblServicios[Base imponible (€)],$BA199)-INDEX(tblServicios[Imp. suplemento (€)],$BA199))</f>
        <v/>
      </c>
      <c r="S202" s="34" t="str" cm="1">
        <f t="array" ref="S202">IF($BA199="","",INDEX(tblServicios[Imp. suplemento (€)],$BA199))</f>
        <v/>
      </c>
      <c r="T202" t="str" cm="1">
        <f t="array" ref="T202">IF($BA199="","",INDEX(tblServicios[Tipo suplemento],$BA199))</f>
        <v/>
      </c>
      <c r="U202" s="34" t="str">
        <f t="shared" si="4"/>
        <v/>
      </c>
      <c r="V202" s="1" t="str" cm="1">
        <f t="array" ref="V202">IF($BA199="","",IF(INDEX(tblServicios[Conductor],$BA199)=$T$2,"Conductor","Personal adicional"))</f>
        <v/>
      </c>
      <c r="BA202" s="33" t="str" cm="1">
        <f t="array" ref="BA20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adicional]=$T$2))&gt;0)),ROW(A203)),"")</f>
        <v/>
      </c>
    </row>
    <row r="203" spans="15:53" x14ac:dyDescent="0.35">
      <c r="O203" s="1" t="str" cm="1">
        <f t="array" ref="O203">IF($BA200="","",INDEX(tblServicios[Fecha],$BA200))</f>
        <v/>
      </c>
      <c r="P203" s="1" t="str" cm="1">
        <f t="array" ref="P203">IF($BA200="","",INDEX(tblServicios[Contrato],$BA200))</f>
        <v/>
      </c>
      <c r="Q203" s="1" t="str" cm="1">
        <f t="array" ref="Q203">IF($BA200="","",INDEX(tblServicios[Vehículo],$BA200))</f>
        <v/>
      </c>
      <c r="R203" s="34" t="str" cm="1">
        <f t="array" ref="R203">IF($BA200="","",INDEX(tblServicios[Base imponible (€)],$BA200)-INDEX(tblServicios[Imp. suplemento (€)],$BA200))</f>
        <v/>
      </c>
      <c r="S203" s="34" t="str" cm="1">
        <f t="array" ref="S203">IF($BA200="","",INDEX(tblServicios[Imp. suplemento (€)],$BA200))</f>
        <v/>
      </c>
      <c r="T203" t="str" cm="1">
        <f t="array" ref="T203">IF($BA200="","",INDEX(tblServicios[Tipo suplemento],$BA200))</f>
        <v/>
      </c>
      <c r="U203" s="34" t="str">
        <f t="shared" si="4"/>
        <v/>
      </c>
      <c r="V203" s="1" t="str" cm="1">
        <f t="array" ref="V203">IF($BA200="","",IF(INDEX(tblServicios[Conductor],$BA200)=$T$2,"Conductor","Personal adicional"))</f>
        <v/>
      </c>
      <c r="BA203" s="33" t="str" cm="1">
        <f t="array" ref="BA20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adicional]=$T$2))&gt;0)),ROW(A204)),"")</f>
        <v/>
      </c>
    </row>
    <row r="204" spans="15:53" x14ac:dyDescent="0.35">
      <c r="O204" s="1" t="str" cm="1">
        <f t="array" ref="O204">IF($BA201="","",INDEX(tblServicios[Fecha],$BA201))</f>
        <v/>
      </c>
      <c r="P204" s="1" t="str" cm="1">
        <f t="array" ref="P204">IF($BA201="","",INDEX(tblServicios[Contrato],$BA201))</f>
        <v/>
      </c>
      <c r="Q204" s="1" t="str" cm="1">
        <f t="array" ref="Q204">IF($BA201="","",INDEX(tblServicios[Vehículo],$BA201))</f>
        <v/>
      </c>
      <c r="R204" s="34" t="str" cm="1">
        <f t="array" ref="R204">IF($BA201="","",INDEX(tblServicios[Base imponible (€)],$BA201)-INDEX(tblServicios[Imp. suplemento (€)],$BA201))</f>
        <v/>
      </c>
      <c r="S204" s="34" t="str" cm="1">
        <f t="array" ref="S204">IF($BA201="","",INDEX(tblServicios[Imp. suplemento (€)],$BA201))</f>
        <v/>
      </c>
      <c r="T204" t="str" cm="1">
        <f t="array" ref="T204">IF($BA201="","",INDEX(tblServicios[Tipo suplemento],$BA201))</f>
        <v/>
      </c>
      <c r="U204" s="34" t="str">
        <f t="shared" si="4"/>
        <v/>
      </c>
      <c r="V204" s="1" t="str" cm="1">
        <f t="array" ref="V204">IF($BA201="","",IF(INDEX(tblServicios[Conductor],$BA201)=$T$2,"Conductor","Personal adicional"))</f>
        <v/>
      </c>
      <c r="BA204" s="33" t="str" cm="1">
        <f t="array" ref="BA20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adicional]=$T$2))&gt;0)),ROW(A205)),"")</f>
        <v/>
      </c>
    </row>
    <row r="205" spans="15:53" x14ac:dyDescent="0.35">
      <c r="O205" s="1" t="str" cm="1">
        <f t="array" ref="O205">IF($BA202="","",INDEX(tblServicios[Fecha],$BA202))</f>
        <v/>
      </c>
      <c r="P205" s="1" t="str" cm="1">
        <f t="array" ref="P205">IF($BA202="","",INDEX(tblServicios[Contrato],$BA202))</f>
        <v/>
      </c>
      <c r="Q205" s="1" t="str" cm="1">
        <f t="array" ref="Q205">IF($BA202="","",INDEX(tblServicios[Vehículo],$BA202))</f>
        <v/>
      </c>
      <c r="R205" s="34" t="str" cm="1">
        <f t="array" ref="R205">IF($BA202="","",INDEX(tblServicios[Base imponible (€)],$BA202)-INDEX(tblServicios[Imp. suplemento (€)],$BA202))</f>
        <v/>
      </c>
      <c r="S205" s="34" t="str" cm="1">
        <f t="array" ref="S205">IF($BA202="","",INDEX(tblServicios[Imp. suplemento (€)],$BA202))</f>
        <v/>
      </c>
      <c r="T205" t="str" cm="1">
        <f t="array" ref="T205">IF($BA202="","",INDEX(tblServicios[Tipo suplemento],$BA202))</f>
        <v/>
      </c>
      <c r="U205" s="34" t="str">
        <f t="shared" si="4"/>
        <v/>
      </c>
      <c r="V205" s="1" t="str" cm="1">
        <f t="array" ref="V205">IF($BA202="","",IF(INDEX(tblServicios[Conductor],$BA202)=$T$2,"Conductor","Personal adicional"))</f>
        <v/>
      </c>
      <c r="BA205" s="33" t="str" cm="1">
        <f t="array" ref="BA20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adicional]=$T$2))&gt;0)),ROW(A206)),"")</f>
        <v/>
      </c>
    </row>
    <row r="206" spans="15:53" x14ac:dyDescent="0.35">
      <c r="O206" s="1" t="str" cm="1">
        <f t="array" ref="O206">IF($BA203="","",INDEX(tblServicios[Fecha],$BA203))</f>
        <v/>
      </c>
      <c r="P206" s="1" t="str" cm="1">
        <f t="array" ref="P206">IF($BA203="","",INDEX(tblServicios[Contrato],$BA203))</f>
        <v/>
      </c>
      <c r="Q206" s="1" t="str" cm="1">
        <f t="array" ref="Q206">IF($BA203="","",INDEX(tblServicios[Vehículo],$BA203))</f>
        <v/>
      </c>
      <c r="R206" s="34" t="str" cm="1">
        <f t="array" ref="R206">IF($BA203="","",INDEX(tblServicios[Base imponible (€)],$BA203)-INDEX(tblServicios[Imp. suplemento (€)],$BA203))</f>
        <v/>
      </c>
      <c r="S206" s="34" t="str" cm="1">
        <f t="array" ref="S206">IF($BA203="","",INDEX(tblServicios[Imp. suplemento (€)],$BA203))</f>
        <v/>
      </c>
      <c r="T206" t="str" cm="1">
        <f t="array" ref="T206">IF($BA203="","",INDEX(tblServicios[Tipo suplemento],$BA203))</f>
        <v/>
      </c>
      <c r="U206" s="34" t="str">
        <f t="shared" si="4"/>
        <v/>
      </c>
      <c r="V206" s="1" t="str" cm="1">
        <f t="array" ref="V206">IF($BA203="","",IF(INDEX(tblServicios[Conductor],$BA203)=$T$2,"Conductor","Personal adicional"))</f>
        <v/>
      </c>
      <c r="BA206" s="33" t="str" cm="1">
        <f t="array" ref="BA20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adicional]=$T$2))&gt;0)),ROW(A207)),"")</f>
        <v/>
      </c>
    </row>
    <row r="207" spans="15:53" x14ac:dyDescent="0.35">
      <c r="O207" s="1" t="str" cm="1">
        <f t="array" ref="O207">IF($BA204="","",INDEX(tblServicios[Fecha],$BA204))</f>
        <v/>
      </c>
      <c r="P207" s="1" t="str" cm="1">
        <f t="array" ref="P207">IF($BA204="","",INDEX(tblServicios[Contrato],$BA204))</f>
        <v/>
      </c>
      <c r="Q207" s="1" t="str" cm="1">
        <f t="array" ref="Q207">IF($BA204="","",INDEX(tblServicios[Vehículo],$BA204))</f>
        <v/>
      </c>
      <c r="R207" s="34" t="str" cm="1">
        <f t="array" ref="R207">IF($BA204="","",INDEX(tblServicios[Base imponible (€)],$BA204)-INDEX(tblServicios[Imp. suplemento (€)],$BA204))</f>
        <v/>
      </c>
      <c r="S207" s="34" t="str" cm="1">
        <f t="array" ref="S207">IF($BA204="","",INDEX(tblServicios[Imp. suplemento (€)],$BA204))</f>
        <v/>
      </c>
      <c r="T207" t="str" cm="1">
        <f t="array" ref="T207">IF($BA204="","",INDEX(tblServicios[Tipo suplemento],$BA204))</f>
        <v/>
      </c>
      <c r="U207" s="34" t="str">
        <f t="shared" si="4"/>
        <v/>
      </c>
      <c r="V207" s="1" t="str" cm="1">
        <f t="array" ref="V207">IF($BA204="","",IF(INDEX(tblServicios[Conductor],$BA204)=$T$2,"Conductor","Personal adicional"))</f>
        <v/>
      </c>
      <c r="BA207" s="33" t="str" cm="1">
        <f t="array" ref="BA20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adicional]=$T$2))&gt;0)),ROW(A208)),"")</f>
        <v/>
      </c>
    </row>
    <row r="208" spans="15:53" x14ac:dyDescent="0.35">
      <c r="O208" s="1" t="str" cm="1">
        <f t="array" ref="O208">IF($BA205="","",INDEX(tblServicios[Fecha],$BA205))</f>
        <v/>
      </c>
      <c r="P208" s="1" t="str" cm="1">
        <f t="array" ref="P208">IF($BA205="","",INDEX(tblServicios[Contrato],$BA205))</f>
        <v/>
      </c>
      <c r="Q208" s="1" t="str" cm="1">
        <f t="array" ref="Q208">IF($BA205="","",INDEX(tblServicios[Vehículo],$BA205))</f>
        <v/>
      </c>
      <c r="R208" s="34" t="str" cm="1">
        <f t="array" ref="R208">IF($BA205="","",INDEX(tblServicios[Base imponible (€)],$BA205)-INDEX(tblServicios[Imp. suplemento (€)],$BA205))</f>
        <v/>
      </c>
      <c r="S208" s="34" t="str" cm="1">
        <f t="array" ref="S208">IF($BA205="","",INDEX(tblServicios[Imp. suplemento (€)],$BA205))</f>
        <v/>
      </c>
      <c r="T208" t="str" cm="1">
        <f t="array" ref="T208">IF($BA205="","",INDEX(tblServicios[Tipo suplemento],$BA205))</f>
        <v/>
      </c>
      <c r="U208" s="34" t="str">
        <f t="shared" si="4"/>
        <v/>
      </c>
      <c r="V208" s="1" t="str" cm="1">
        <f t="array" ref="V208">IF($BA205="","",IF(INDEX(tblServicios[Conductor],$BA205)=$T$2,"Conductor","Personal adicional"))</f>
        <v/>
      </c>
      <c r="BA208" s="33" t="str" cm="1">
        <f t="array" ref="BA20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adicional]=$T$2))&gt;0)),ROW(A209)),"")</f>
        <v/>
      </c>
    </row>
    <row r="209" spans="15:53" x14ac:dyDescent="0.35">
      <c r="O209" s="1" t="str" cm="1">
        <f t="array" ref="O209">IF($BA206="","",INDEX(tblServicios[Fecha],$BA206))</f>
        <v/>
      </c>
      <c r="P209" s="1" t="str" cm="1">
        <f t="array" ref="P209">IF($BA206="","",INDEX(tblServicios[Contrato],$BA206))</f>
        <v/>
      </c>
      <c r="Q209" s="1" t="str" cm="1">
        <f t="array" ref="Q209">IF($BA206="","",INDEX(tblServicios[Vehículo],$BA206))</f>
        <v/>
      </c>
      <c r="R209" s="34" t="str" cm="1">
        <f t="array" ref="R209">IF($BA206="","",INDEX(tblServicios[Base imponible (€)],$BA206)-INDEX(tblServicios[Imp. suplemento (€)],$BA206))</f>
        <v/>
      </c>
      <c r="S209" s="34" t="str" cm="1">
        <f t="array" ref="S209">IF($BA206="","",INDEX(tblServicios[Imp. suplemento (€)],$BA206))</f>
        <v/>
      </c>
      <c r="T209" t="str" cm="1">
        <f t="array" ref="T209">IF($BA206="","",INDEX(tblServicios[Tipo suplemento],$BA206))</f>
        <v/>
      </c>
      <c r="U209" s="34" t="str">
        <f t="shared" si="4"/>
        <v/>
      </c>
      <c r="V209" s="1" t="str" cm="1">
        <f t="array" ref="V209">IF($BA206="","",IF(INDEX(tblServicios[Conductor],$BA206)=$T$2,"Conductor","Personal adicional"))</f>
        <v/>
      </c>
      <c r="BA209" s="33" t="str" cm="1">
        <f t="array" ref="BA20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adicional]=$T$2))&gt;0)),ROW(A210)),"")</f>
        <v/>
      </c>
    </row>
    <row r="210" spans="15:53" x14ac:dyDescent="0.35">
      <c r="O210" s="1" t="str" cm="1">
        <f t="array" ref="O210">IF($BA207="","",INDEX(tblServicios[Fecha],$BA207))</f>
        <v/>
      </c>
      <c r="P210" s="1" t="str" cm="1">
        <f t="array" ref="P210">IF($BA207="","",INDEX(tblServicios[Contrato],$BA207))</f>
        <v/>
      </c>
      <c r="Q210" s="1" t="str" cm="1">
        <f t="array" ref="Q210">IF($BA207="","",INDEX(tblServicios[Vehículo],$BA207))</f>
        <v/>
      </c>
      <c r="R210" s="34" t="str" cm="1">
        <f t="array" ref="R210">IF($BA207="","",INDEX(tblServicios[Base imponible (€)],$BA207)-INDEX(tblServicios[Imp. suplemento (€)],$BA207))</f>
        <v/>
      </c>
      <c r="S210" s="34" t="str" cm="1">
        <f t="array" ref="S210">IF($BA207="","",INDEX(tblServicios[Imp. suplemento (€)],$BA207))</f>
        <v/>
      </c>
      <c r="T210" t="str" cm="1">
        <f t="array" ref="T210">IF($BA207="","",INDEX(tblServicios[Tipo suplemento],$BA207))</f>
        <v/>
      </c>
      <c r="U210" s="34" t="str">
        <f t="shared" si="4"/>
        <v/>
      </c>
      <c r="V210" s="1" t="str" cm="1">
        <f t="array" ref="V210">IF($BA207="","",IF(INDEX(tblServicios[Conductor],$BA207)=$T$2,"Conductor","Personal adicional"))</f>
        <v/>
      </c>
      <c r="BA210" s="33" t="str" cm="1">
        <f t="array" ref="BA2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adicional]=$T$2))&gt;0)),ROW(A211)),"")</f>
        <v/>
      </c>
    </row>
    <row r="211" spans="15:53" x14ac:dyDescent="0.35">
      <c r="O211" s="1" t="str" cm="1">
        <f t="array" ref="O211">IF($BA208="","",INDEX(tblServicios[Fecha],$BA208))</f>
        <v/>
      </c>
      <c r="P211" s="1" t="str" cm="1">
        <f t="array" ref="P211">IF($BA208="","",INDEX(tblServicios[Contrato],$BA208))</f>
        <v/>
      </c>
      <c r="Q211" s="1" t="str" cm="1">
        <f t="array" ref="Q211">IF($BA208="","",INDEX(tblServicios[Vehículo],$BA208))</f>
        <v/>
      </c>
      <c r="R211" s="34" t="str" cm="1">
        <f t="array" ref="R211">IF($BA208="","",INDEX(tblServicios[Base imponible (€)],$BA208)-INDEX(tblServicios[Imp. suplemento (€)],$BA208))</f>
        <v/>
      </c>
      <c r="S211" s="34" t="str" cm="1">
        <f t="array" ref="S211">IF($BA208="","",INDEX(tblServicios[Imp. suplemento (€)],$BA208))</f>
        <v/>
      </c>
      <c r="T211" t="str" cm="1">
        <f t="array" ref="T211">IF($BA208="","",INDEX(tblServicios[Tipo suplemento],$BA208))</f>
        <v/>
      </c>
      <c r="U211" s="34" t="str">
        <f t="shared" si="4"/>
        <v/>
      </c>
      <c r="V211" s="1" t="str" cm="1">
        <f t="array" ref="V211">IF($BA208="","",IF(INDEX(tblServicios[Conductor],$BA208)=$T$2,"Conductor","Personal adicional"))</f>
        <v/>
      </c>
      <c r="BA211" s="33" t="str" cm="1">
        <f t="array" ref="BA2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adicional]=$T$2))&gt;0)),ROW(A212)),"")</f>
        <v/>
      </c>
    </row>
    <row r="212" spans="15:53" x14ac:dyDescent="0.35">
      <c r="O212" s="1" t="str" cm="1">
        <f t="array" ref="O212">IF($BA209="","",INDEX(tblServicios[Fecha],$BA209))</f>
        <v/>
      </c>
      <c r="P212" s="1" t="str" cm="1">
        <f t="array" ref="P212">IF($BA209="","",INDEX(tblServicios[Contrato],$BA209))</f>
        <v/>
      </c>
      <c r="Q212" s="1" t="str" cm="1">
        <f t="array" ref="Q212">IF($BA209="","",INDEX(tblServicios[Vehículo],$BA209))</f>
        <v/>
      </c>
      <c r="R212" s="34" t="str" cm="1">
        <f t="array" ref="R212">IF($BA209="","",INDEX(tblServicios[Base imponible (€)],$BA209)-INDEX(tblServicios[Imp. suplemento (€)],$BA209))</f>
        <v/>
      </c>
      <c r="S212" s="34" t="str" cm="1">
        <f t="array" ref="S212">IF($BA209="","",INDEX(tblServicios[Imp. suplemento (€)],$BA209))</f>
        <v/>
      </c>
      <c r="T212" t="str" cm="1">
        <f t="array" ref="T212">IF($BA209="","",INDEX(tblServicios[Tipo suplemento],$BA209))</f>
        <v/>
      </c>
      <c r="U212" s="34" t="str">
        <f t="shared" si="4"/>
        <v/>
      </c>
      <c r="V212" s="1" t="str" cm="1">
        <f t="array" ref="V212">IF($BA209="","",IF(INDEX(tblServicios[Conductor],$BA209)=$T$2,"Conductor","Personal adicional"))</f>
        <v/>
      </c>
      <c r="BA212" s="33" t="str" cm="1">
        <f t="array" ref="BA2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adicional]=$T$2))&gt;0)),ROW(A213)),"")</f>
        <v/>
      </c>
    </row>
    <row r="213" spans="15:53" x14ac:dyDescent="0.35">
      <c r="O213" s="1" t="str" cm="1">
        <f t="array" ref="O213">IF($BA210="","",INDEX(tblServicios[Fecha],$BA210))</f>
        <v/>
      </c>
      <c r="P213" s="1" t="str" cm="1">
        <f t="array" ref="P213">IF($BA210="","",INDEX(tblServicios[Contrato],$BA210))</f>
        <v/>
      </c>
      <c r="Q213" s="1" t="str" cm="1">
        <f t="array" ref="Q213">IF($BA210="","",INDEX(tblServicios[Vehículo],$BA210))</f>
        <v/>
      </c>
      <c r="R213" s="34" t="str" cm="1">
        <f t="array" ref="R213">IF($BA210="","",INDEX(tblServicios[Base imponible (€)],$BA210)-INDEX(tblServicios[Imp. suplemento (€)],$BA210))</f>
        <v/>
      </c>
      <c r="S213" s="34" t="str" cm="1">
        <f t="array" ref="S213">IF($BA210="","",INDEX(tblServicios[Imp. suplemento (€)],$BA210))</f>
        <v/>
      </c>
      <c r="T213" t="str" cm="1">
        <f t="array" ref="T213">IF($BA210="","",INDEX(tblServicios[Tipo suplemento],$BA210))</f>
        <v/>
      </c>
      <c r="U213" s="34" t="str">
        <f t="shared" si="4"/>
        <v/>
      </c>
      <c r="V213" s="1" t="str" cm="1">
        <f t="array" ref="V213">IF($BA210="","",IF(INDEX(tblServicios[Conductor],$BA210)=$T$2,"Conductor","Personal adicional"))</f>
        <v/>
      </c>
      <c r="BA213" s="33" t="str" cm="1">
        <f t="array" ref="BA2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adicional]=$T$2))&gt;0)),ROW(A214)),"")</f>
        <v/>
      </c>
    </row>
    <row r="214" spans="15:53" x14ac:dyDescent="0.35">
      <c r="O214" s="1" t="str" cm="1">
        <f t="array" ref="O214">IF($BA211="","",INDEX(tblServicios[Fecha],$BA211))</f>
        <v/>
      </c>
      <c r="P214" s="1" t="str" cm="1">
        <f t="array" ref="P214">IF($BA211="","",INDEX(tblServicios[Contrato],$BA211))</f>
        <v/>
      </c>
      <c r="Q214" s="1" t="str" cm="1">
        <f t="array" ref="Q214">IF($BA211="","",INDEX(tblServicios[Vehículo],$BA211))</f>
        <v/>
      </c>
      <c r="R214" s="34" t="str" cm="1">
        <f t="array" ref="R214">IF($BA211="","",INDEX(tblServicios[Base imponible (€)],$BA211)-INDEX(tblServicios[Imp. suplemento (€)],$BA211))</f>
        <v/>
      </c>
      <c r="S214" s="34" t="str" cm="1">
        <f t="array" ref="S214">IF($BA211="","",INDEX(tblServicios[Imp. suplemento (€)],$BA211))</f>
        <v/>
      </c>
      <c r="T214" t="str" cm="1">
        <f t="array" ref="T214">IF($BA211="","",INDEX(tblServicios[Tipo suplemento],$BA211))</f>
        <v/>
      </c>
      <c r="U214" s="34" t="str">
        <f t="shared" si="4"/>
        <v/>
      </c>
      <c r="V214" s="1" t="str" cm="1">
        <f t="array" ref="V214">IF($BA211="","",IF(INDEX(tblServicios[Conductor],$BA211)=$T$2,"Conductor","Personal adicional"))</f>
        <v/>
      </c>
      <c r="BA214" s="33" t="str" cm="1">
        <f t="array" ref="BA2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adicional]=$T$2))&gt;0)),ROW(A215)),"")</f>
        <v/>
      </c>
    </row>
    <row r="215" spans="15:53" x14ac:dyDescent="0.35">
      <c r="O215" s="1" t="str" cm="1">
        <f t="array" ref="O215">IF($BA212="","",INDEX(tblServicios[Fecha],$BA212))</f>
        <v/>
      </c>
      <c r="P215" s="1" t="str" cm="1">
        <f t="array" ref="P215">IF($BA212="","",INDEX(tblServicios[Contrato],$BA212))</f>
        <v/>
      </c>
      <c r="Q215" s="1" t="str" cm="1">
        <f t="array" ref="Q215">IF($BA212="","",INDEX(tblServicios[Vehículo],$BA212))</f>
        <v/>
      </c>
      <c r="R215" s="34" t="str" cm="1">
        <f t="array" ref="R215">IF($BA212="","",INDEX(tblServicios[Base imponible (€)],$BA212)-INDEX(tblServicios[Imp. suplemento (€)],$BA212))</f>
        <v/>
      </c>
      <c r="S215" s="34" t="str" cm="1">
        <f t="array" ref="S215">IF($BA212="","",INDEX(tblServicios[Imp. suplemento (€)],$BA212))</f>
        <v/>
      </c>
      <c r="T215" t="str" cm="1">
        <f t="array" ref="T215">IF($BA212="","",INDEX(tblServicios[Tipo suplemento],$BA212))</f>
        <v/>
      </c>
      <c r="U215" s="34" t="str">
        <f t="shared" si="4"/>
        <v/>
      </c>
      <c r="V215" s="1" t="str" cm="1">
        <f t="array" ref="V215">IF($BA212="","",IF(INDEX(tblServicios[Conductor],$BA212)=$T$2,"Conductor","Personal adicional"))</f>
        <v/>
      </c>
      <c r="BA215" s="33" t="str" cm="1">
        <f t="array" ref="BA2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adicional]=$T$2))&gt;0)),ROW(A216)),"")</f>
        <v/>
      </c>
    </row>
    <row r="216" spans="15:53" x14ac:dyDescent="0.35">
      <c r="O216" s="1" t="str" cm="1">
        <f t="array" ref="O216">IF($BA213="","",INDEX(tblServicios[Fecha],$BA213))</f>
        <v/>
      </c>
      <c r="P216" s="1" t="str" cm="1">
        <f t="array" ref="P216">IF($BA213="","",INDEX(tblServicios[Contrato],$BA213))</f>
        <v/>
      </c>
      <c r="Q216" s="1" t="str" cm="1">
        <f t="array" ref="Q216">IF($BA213="","",INDEX(tblServicios[Vehículo],$BA213))</f>
        <v/>
      </c>
      <c r="R216" s="34" t="str" cm="1">
        <f t="array" ref="R216">IF($BA213="","",INDEX(tblServicios[Base imponible (€)],$BA213)-INDEX(tblServicios[Imp. suplemento (€)],$BA213))</f>
        <v/>
      </c>
      <c r="S216" s="34" t="str" cm="1">
        <f t="array" ref="S216">IF($BA213="","",INDEX(tblServicios[Imp. suplemento (€)],$BA213))</f>
        <v/>
      </c>
      <c r="T216" t="str" cm="1">
        <f t="array" ref="T216">IF($BA213="","",INDEX(tblServicios[Tipo suplemento],$BA213))</f>
        <v/>
      </c>
      <c r="U216" s="34" t="str">
        <f t="shared" si="4"/>
        <v/>
      </c>
      <c r="V216" s="1" t="str" cm="1">
        <f t="array" ref="V216">IF($BA213="","",IF(INDEX(tblServicios[Conductor],$BA213)=$T$2,"Conductor","Personal adicional"))</f>
        <v/>
      </c>
      <c r="BA216" s="33" t="str" cm="1">
        <f t="array" ref="BA2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adicional]=$T$2))&gt;0)),ROW(A217)),"")</f>
        <v/>
      </c>
    </row>
    <row r="217" spans="15:53" x14ac:dyDescent="0.35">
      <c r="O217" s="1" t="str" cm="1">
        <f t="array" ref="O217">IF($BA214="","",INDEX(tblServicios[Fecha],$BA214))</f>
        <v/>
      </c>
      <c r="P217" s="1" t="str" cm="1">
        <f t="array" ref="P217">IF($BA214="","",INDEX(tblServicios[Contrato],$BA214))</f>
        <v/>
      </c>
      <c r="Q217" s="1" t="str" cm="1">
        <f t="array" ref="Q217">IF($BA214="","",INDEX(tblServicios[Vehículo],$BA214))</f>
        <v/>
      </c>
      <c r="R217" s="34" t="str" cm="1">
        <f t="array" ref="R217">IF($BA214="","",INDEX(tblServicios[Base imponible (€)],$BA214)-INDEX(tblServicios[Imp. suplemento (€)],$BA214))</f>
        <v/>
      </c>
      <c r="S217" s="34" t="str" cm="1">
        <f t="array" ref="S217">IF($BA214="","",INDEX(tblServicios[Imp. suplemento (€)],$BA214))</f>
        <v/>
      </c>
      <c r="T217" t="str" cm="1">
        <f t="array" ref="T217">IF($BA214="","",INDEX(tblServicios[Tipo suplemento],$BA214))</f>
        <v/>
      </c>
      <c r="U217" s="34" t="str">
        <f t="shared" si="4"/>
        <v/>
      </c>
      <c r="V217" s="1" t="str" cm="1">
        <f t="array" ref="V217">IF($BA214="","",IF(INDEX(tblServicios[Conductor],$BA214)=$T$2,"Conductor","Personal adicional"))</f>
        <v/>
      </c>
      <c r="BA217" s="33" t="str" cm="1">
        <f t="array" ref="BA2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adicional]=$T$2))&gt;0)),ROW(A218)),"")</f>
        <v/>
      </c>
    </row>
    <row r="218" spans="15:53" x14ac:dyDescent="0.35">
      <c r="O218" s="1" t="str" cm="1">
        <f t="array" ref="O218">IF($BA215="","",INDEX(tblServicios[Fecha],$BA215))</f>
        <v/>
      </c>
      <c r="P218" s="1" t="str" cm="1">
        <f t="array" ref="P218">IF($BA215="","",INDEX(tblServicios[Contrato],$BA215))</f>
        <v/>
      </c>
      <c r="Q218" s="1" t="str" cm="1">
        <f t="array" ref="Q218">IF($BA215="","",INDEX(tblServicios[Vehículo],$BA215))</f>
        <v/>
      </c>
      <c r="R218" s="34" t="str" cm="1">
        <f t="array" ref="R218">IF($BA215="","",INDEX(tblServicios[Base imponible (€)],$BA215)-INDEX(tblServicios[Imp. suplemento (€)],$BA215))</f>
        <v/>
      </c>
      <c r="S218" s="34" t="str" cm="1">
        <f t="array" ref="S218">IF($BA215="","",INDEX(tblServicios[Imp. suplemento (€)],$BA215))</f>
        <v/>
      </c>
      <c r="T218" t="str" cm="1">
        <f t="array" ref="T218">IF($BA215="","",INDEX(tblServicios[Tipo suplemento],$BA215))</f>
        <v/>
      </c>
      <c r="U218" s="34" t="str">
        <f t="shared" si="4"/>
        <v/>
      </c>
      <c r="V218" s="1" t="str" cm="1">
        <f t="array" ref="V218">IF($BA215="","",IF(INDEX(tblServicios[Conductor],$BA215)=$T$2,"Conductor","Personal adicional"))</f>
        <v/>
      </c>
      <c r="BA218" s="33" t="str" cm="1">
        <f t="array" ref="BA2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adicional]=$T$2))&gt;0)),ROW(A219)),"")</f>
        <v/>
      </c>
    </row>
    <row r="219" spans="15:53" x14ac:dyDescent="0.35">
      <c r="O219" s="1" t="str" cm="1">
        <f t="array" ref="O219">IF($BA216="","",INDEX(tblServicios[Fecha],$BA216))</f>
        <v/>
      </c>
      <c r="P219" s="1" t="str" cm="1">
        <f t="array" ref="P219">IF($BA216="","",INDEX(tblServicios[Contrato],$BA216))</f>
        <v/>
      </c>
      <c r="Q219" s="1" t="str" cm="1">
        <f t="array" ref="Q219">IF($BA216="","",INDEX(tblServicios[Vehículo],$BA216))</f>
        <v/>
      </c>
      <c r="R219" s="34" t="str" cm="1">
        <f t="array" ref="R219">IF($BA216="","",INDEX(tblServicios[Base imponible (€)],$BA216)-INDEX(tblServicios[Imp. suplemento (€)],$BA216))</f>
        <v/>
      </c>
      <c r="S219" s="34" t="str" cm="1">
        <f t="array" ref="S219">IF($BA216="","",INDEX(tblServicios[Imp. suplemento (€)],$BA216))</f>
        <v/>
      </c>
      <c r="T219" t="str" cm="1">
        <f t="array" ref="T219">IF($BA216="","",INDEX(tblServicios[Tipo suplemento],$BA216))</f>
        <v/>
      </c>
      <c r="U219" s="34" t="str">
        <f t="shared" si="4"/>
        <v/>
      </c>
      <c r="V219" s="1" t="str" cm="1">
        <f t="array" ref="V219">IF($BA216="","",IF(INDEX(tblServicios[Conductor],$BA216)=$T$2,"Conductor","Personal adicional"))</f>
        <v/>
      </c>
      <c r="BA219" s="33" t="str" cm="1">
        <f t="array" ref="BA2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adicional]=$T$2))&gt;0)),ROW(A220)),"")</f>
        <v/>
      </c>
    </row>
    <row r="220" spans="15:53" x14ac:dyDescent="0.35">
      <c r="O220" s="1" t="str" cm="1">
        <f t="array" ref="O220">IF($BA217="","",INDEX(tblServicios[Fecha],$BA217))</f>
        <v/>
      </c>
      <c r="P220" s="1" t="str" cm="1">
        <f t="array" ref="P220">IF($BA217="","",INDEX(tblServicios[Contrato],$BA217))</f>
        <v/>
      </c>
      <c r="Q220" s="1" t="str" cm="1">
        <f t="array" ref="Q220">IF($BA217="","",INDEX(tblServicios[Vehículo],$BA217))</f>
        <v/>
      </c>
      <c r="R220" s="34" t="str" cm="1">
        <f t="array" ref="R220">IF($BA217="","",INDEX(tblServicios[Base imponible (€)],$BA217)-INDEX(tblServicios[Imp. suplemento (€)],$BA217))</f>
        <v/>
      </c>
      <c r="S220" s="34" t="str" cm="1">
        <f t="array" ref="S220">IF($BA217="","",INDEX(tblServicios[Imp. suplemento (€)],$BA217))</f>
        <v/>
      </c>
      <c r="T220" t="str" cm="1">
        <f t="array" ref="T220">IF($BA217="","",INDEX(tblServicios[Tipo suplemento],$BA217))</f>
        <v/>
      </c>
      <c r="U220" s="34" t="str">
        <f t="shared" si="4"/>
        <v/>
      </c>
      <c r="V220" s="1" t="str" cm="1">
        <f t="array" ref="V220">IF($BA217="","",IF(INDEX(tblServicios[Conductor],$BA217)=$T$2,"Conductor","Personal adicional"))</f>
        <v/>
      </c>
      <c r="BA220" s="33" t="str" cm="1">
        <f t="array" ref="BA2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adicional]=$T$2))&gt;0)),ROW(A221)),"")</f>
        <v/>
      </c>
    </row>
    <row r="221" spans="15:53" x14ac:dyDescent="0.35">
      <c r="O221" s="1" t="str" cm="1">
        <f t="array" ref="O221">IF($BA218="","",INDEX(tblServicios[Fecha],$BA218))</f>
        <v/>
      </c>
      <c r="P221" s="1" t="str" cm="1">
        <f t="array" ref="P221">IF($BA218="","",INDEX(tblServicios[Contrato],$BA218))</f>
        <v/>
      </c>
      <c r="Q221" s="1" t="str" cm="1">
        <f t="array" ref="Q221">IF($BA218="","",INDEX(tblServicios[Vehículo],$BA218))</f>
        <v/>
      </c>
      <c r="R221" s="34" t="str" cm="1">
        <f t="array" ref="R221">IF($BA218="","",INDEX(tblServicios[Base imponible (€)],$BA218)-INDEX(tblServicios[Imp. suplemento (€)],$BA218))</f>
        <v/>
      </c>
      <c r="S221" s="34" t="str" cm="1">
        <f t="array" ref="S221">IF($BA218="","",INDEX(tblServicios[Imp. suplemento (€)],$BA218))</f>
        <v/>
      </c>
      <c r="T221" t="str" cm="1">
        <f t="array" ref="T221">IF($BA218="","",INDEX(tblServicios[Tipo suplemento],$BA218))</f>
        <v/>
      </c>
      <c r="U221" s="34" t="str">
        <f t="shared" si="4"/>
        <v/>
      </c>
      <c r="V221" s="1" t="str" cm="1">
        <f t="array" ref="V221">IF($BA218="","",IF(INDEX(tblServicios[Conductor],$BA218)=$T$2,"Conductor","Personal adicional"))</f>
        <v/>
      </c>
      <c r="BA221" s="33" t="str" cm="1">
        <f t="array" ref="BA2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adicional]=$T$2))&gt;0)),ROW(A222)),"")</f>
        <v/>
      </c>
    </row>
    <row r="222" spans="15:53" x14ac:dyDescent="0.35">
      <c r="O222" s="1" t="str" cm="1">
        <f t="array" ref="O222">IF($BA219="","",INDEX(tblServicios[Fecha],$BA219))</f>
        <v/>
      </c>
      <c r="P222" s="1" t="str" cm="1">
        <f t="array" ref="P222">IF($BA219="","",INDEX(tblServicios[Contrato],$BA219))</f>
        <v/>
      </c>
      <c r="Q222" s="1" t="str" cm="1">
        <f t="array" ref="Q222">IF($BA219="","",INDEX(tblServicios[Vehículo],$BA219))</f>
        <v/>
      </c>
      <c r="R222" s="34" t="str" cm="1">
        <f t="array" ref="R222">IF($BA219="","",INDEX(tblServicios[Base imponible (€)],$BA219)-INDEX(tblServicios[Imp. suplemento (€)],$BA219))</f>
        <v/>
      </c>
      <c r="S222" s="34" t="str" cm="1">
        <f t="array" ref="S222">IF($BA219="","",INDEX(tblServicios[Imp. suplemento (€)],$BA219))</f>
        <v/>
      </c>
      <c r="T222" t="str" cm="1">
        <f t="array" ref="T222">IF($BA219="","",INDEX(tblServicios[Tipo suplemento],$BA219))</f>
        <v/>
      </c>
      <c r="U222" s="34" t="str">
        <f t="shared" si="4"/>
        <v/>
      </c>
      <c r="V222" s="1" t="str" cm="1">
        <f t="array" ref="V222">IF($BA219="","",IF(INDEX(tblServicios[Conductor],$BA219)=$T$2,"Conductor","Personal adicional"))</f>
        <v/>
      </c>
      <c r="BA222" s="33" t="str" cm="1">
        <f t="array" ref="BA2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adicional]=$T$2))&gt;0)),ROW(A223)),"")</f>
        <v/>
      </c>
    </row>
    <row r="223" spans="15:53" x14ac:dyDescent="0.35">
      <c r="O223" s="1" t="str" cm="1">
        <f t="array" ref="O223">IF($BA220="","",INDEX(tblServicios[Fecha],$BA220))</f>
        <v/>
      </c>
      <c r="P223" s="1" t="str" cm="1">
        <f t="array" ref="P223">IF($BA220="","",INDEX(tblServicios[Contrato],$BA220))</f>
        <v/>
      </c>
      <c r="Q223" s="1" t="str" cm="1">
        <f t="array" ref="Q223">IF($BA220="","",INDEX(tblServicios[Vehículo],$BA220))</f>
        <v/>
      </c>
      <c r="R223" s="34" t="str" cm="1">
        <f t="array" ref="R223">IF($BA220="","",INDEX(tblServicios[Base imponible (€)],$BA220)-INDEX(tblServicios[Imp. suplemento (€)],$BA220))</f>
        <v/>
      </c>
      <c r="S223" s="34" t="str" cm="1">
        <f t="array" ref="S223">IF($BA220="","",INDEX(tblServicios[Imp. suplemento (€)],$BA220))</f>
        <v/>
      </c>
      <c r="T223" t="str" cm="1">
        <f t="array" ref="T223">IF($BA220="","",INDEX(tblServicios[Tipo suplemento],$BA220))</f>
        <v/>
      </c>
      <c r="U223" s="34" t="str">
        <f t="shared" si="4"/>
        <v/>
      </c>
      <c r="V223" s="1" t="str" cm="1">
        <f t="array" ref="V223">IF($BA220="","",IF(INDEX(tblServicios[Conductor],$BA220)=$T$2,"Conductor","Personal adicional"))</f>
        <v/>
      </c>
      <c r="BA223" s="33" t="str" cm="1">
        <f t="array" ref="BA2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adicional]=$T$2))&gt;0)),ROW(A224)),"")</f>
        <v/>
      </c>
    </row>
    <row r="224" spans="15:53" x14ac:dyDescent="0.35">
      <c r="O224" s="1" t="str" cm="1">
        <f t="array" ref="O224">IF($BA221="","",INDEX(tblServicios[Fecha],$BA221))</f>
        <v/>
      </c>
      <c r="P224" s="1" t="str" cm="1">
        <f t="array" ref="P224">IF($BA221="","",INDEX(tblServicios[Contrato],$BA221))</f>
        <v/>
      </c>
      <c r="Q224" s="1" t="str" cm="1">
        <f t="array" ref="Q224">IF($BA221="","",INDEX(tblServicios[Vehículo],$BA221))</f>
        <v/>
      </c>
      <c r="R224" s="34" t="str" cm="1">
        <f t="array" ref="R224">IF($BA221="","",INDEX(tblServicios[Base imponible (€)],$BA221)-INDEX(tblServicios[Imp. suplemento (€)],$BA221))</f>
        <v/>
      </c>
      <c r="S224" s="34" t="str" cm="1">
        <f t="array" ref="S224">IF($BA221="","",INDEX(tblServicios[Imp. suplemento (€)],$BA221))</f>
        <v/>
      </c>
      <c r="T224" t="str" cm="1">
        <f t="array" ref="T224">IF($BA221="","",INDEX(tblServicios[Tipo suplemento],$BA221))</f>
        <v/>
      </c>
      <c r="U224" s="34" t="str">
        <f t="shared" si="4"/>
        <v/>
      </c>
      <c r="V224" s="1" t="str" cm="1">
        <f t="array" ref="V224">IF($BA221="","",IF(INDEX(tblServicios[Conductor],$BA221)=$T$2,"Conductor","Personal adicional"))</f>
        <v/>
      </c>
      <c r="BA224" s="33" t="str" cm="1">
        <f t="array" ref="BA2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adicional]=$T$2))&gt;0)),ROW(A225)),"")</f>
        <v/>
      </c>
    </row>
    <row r="225" spans="15:53" x14ac:dyDescent="0.35">
      <c r="O225" s="1" t="str" cm="1">
        <f t="array" ref="O225">IF($BA222="","",INDEX(tblServicios[Fecha],$BA222))</f>
        <v/>
      </c>
      <c r="P225" s="1" t="str" cm="1">
        <f t="array" ref="P225">IF($BA222="","",INDEX(tblServicios[Contrato],$BA222))</f>
        <v/>
      </c>
      <c r="Q225" s="1" t="str" cm="1">
        <f t="array" ref="Q225">IF($BA222="","",INDEX(tblServicios[Vehículo],$BA222))</f>
        <v/>
      </c>
      <c r="R225" s="34" t="str" cm="1">
        <f t="array" ref="R225">IF($BA222="","",INDEX(tblServicios[Base imponible (€)],$BA222)-INDEX(tblServicios[Imp. suplemento (€)],$BA222))</f>
        <v/>
      </c>
      <c r="S225" s="34" t="str" cm="1">
        <f t="array" ref="S225">IF($BA222="","",INDEX(tblServicios[Imp. suplemento (€)],$BA222))</f>
        <v/>
      </c>
      <c r="T225" t="str" cm="1">
        <f t="array" ref="T225">IF($BA222="","",INDEX(tblServicios[Tipo suplemento],$BA222))</f>
        <v/>
      </c>
      <c r="U225" s="34" t="str">
        <f t="shared" si="4"/>
        <v/>
      </c>
      <c r="V225" s="1" t="str" cm="1">
        <f t="array" ref="V225">IF($BA222="","",IF(INDEX(tblServicios[Conductor],$BA222)=$T$2,"Conductor","Personal adicional"))</f>
        <v/>
      </c>
      <c r="BA225" s="33" t="str" cm="1">
        <f t="array" ref="BA2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adicional]=$T$2))&gt;0)),ROW(A226)),"")</f>
        <v/>
      </c>
    </row>
    <row r="226" spans="15:53" x14ac:dyDescent="0.35">
      <c r="O226" s="1" t="str" cm="1">
        <f t="array" ref="O226">IF($BA223="","",INDEX(tblServicios[Fecha],$BA223))</f>
        <v/>
      </c>
      <c r="P226" s="1" t="str" cm="1">
        <f t="array" ref="P226">IF($BA223="","",INDEX(tblServicios[Contrato],$BA223))</f>
        <v/>
      </c>
      <c r="Q226" s="1" t="str" cm="1">
        <f t="array" ref="Q226">IF($BA223="","",INDEX(tblServicios[Vehículo],$BA223))</f>
        <v/>
      </c>
      <c r="R226" s="34" t="str" cm="1">
        <f t="array" ref="R226">IF($BA223="","",INDEX(tblServicios[Base imponible (€)],$BA223)-INDEX(tblServicios[Imp. suplemento (€)],$BA223))</f>
        <v/>
      </c>
      <c r="S226" s="34" t="str" cm="1">
        <f t="array" ref="S226">IF($BA223="","",INDEX(tblServicios[Imp. suplemento (€)],$BA223))</f>
        <v/>
      </c>
      <c r="T226" t="str" cm="1">
        <f t="array" ref="T226">IF($BA223="","",INDEX(tblServicios[Tipo suplemento],$BA223))</f>
        <v/>
      </c>
      <c r="U226" s="34" t="str">
        <f t="shared" si="4"/>
        <v/>
      </c>
      <c r="V226" s="1" t="str" cm="1">
        <f t="array" ref="V226">IF($BA223="","",IF(INDEX(tblServicios[Conductor],$BA223)=$T$2,"Conductor","Personal adicional"))</f>
        <v/>
      </c>
      <c r="BA226" s="33" t="str" cm="1">
        <f t="array" ref="BA2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adicional]=$T$2))&gt;0)),ROW(A227)),"")</f>
        <v/>
      </c>
    </row>
    <row r="227" spans="15:53" x14ac:dyDescent="0.35">
      <c r="O227" s="1" t="str" cm="1">
        <f t="array" ref="O227">IF($BA224="","",INDEX(tblServicios[Fecha],$BA224))</f>
        <v/>
      </c>
      <c r="P227" s="1" t="str" cm="1">
        <f t="array" ref="P227">IF($BA224="","",INDEX(tblServicios[Contrato],$BA224))</f>
        <v/>
      </c>
      <c r="Q227" s="1" t="str" cm="1">
        <f t="array" ref="Q227">IF($BA224="","",INDEX(tblServicios[Vehículo],$BA224))</f>
        <v/>
      </c>
      <c r="R227" s="34" t="str" cm="1">
        <f t="array" ref="R227">IF($BA224="","",INDEX(tblServicios[Base imponible (€)],$BA224)-INDEX(tblServicios[Imp. suplemento (€)],$BA224))</f>
        <v/>
      </c>
      <c r="S227" s="34" t="str" cm="1">
        <f t="array" ref="S227">IF($BA224="","",INDEX(tblServicios[Imp. suplemento (€)],$BA224))</f>
        <v/>
      </c>
      <c r="T227" t="str" cm="1">
        <f t="array" ref="T227">IF($BA224="","",INDEX(tblServicios[Tipo suplemento],$BA224))</f>
        <v/>
      </c>
      <c r="U227" s="34" t="str">
        <f t="shared" si="4"/>
        <v/>
      </c>
      <c r="V227" s="1" t="str" cm="1">
        <f t="array" ref="V227">IF($BA224="","",IF(INDEX(tblServicios[Conductor],$BA224)=$T$2,"Conductor","Personal adicional"))</f>
        <v/>
      </c>
      <c r="BA227" s="33" t="str" cm="1">
        <f t="array" ref="BA2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adicional]=$T$2))&gt;0)),ROW(A228)),"")</f>
        <v/>
      </c>
    </row>
    <row r="228" spans="15:53" x14ac:dyDescent="0.35">
      <c r="O228" s="1" t="str" cm="1">
        <f t="array" ref="O228">IF($BA225="","",INDEX(tblServicios[Fecha],$BA225))</f>
        <v/>
      </c>
      <c r="P228" s="1" t="str" cm="1">
        <f t="array" ref="P228">IF($BA225="","",INDEX(tblServicios[Contrato],$BA225))</f>
        <v/>
      </c>
      <c r="Q228" s="1" t="str" cm="1">
        <f t="array" ref="Q228">IF($BA225="","",INDEX(tblServicios[Vehículo],$BA225))</f>
        <v/>
      </c>
      <c r="R228" s="34" t="str" cm="1">
        <f t="array" ref="R228">IF($BA225="","",INDEX(tblServicios[Base imponible (€)],$BA225)-INDEX(tblServicios[Imp. suplemento (€)],$BA225))</f>
        <v/>
      </c>
      <c r="S228" s="34" t="str" cm="1">
        <f t="array" ref="S228">IF($BA225="","",INDEX(tblServicios[Imp. suplemento (€)],$BA225))</f>
        <v/>
      </c>
      <c r="T228" t="str" cm="1">
        <f t="array" ref="T228">IF($BA225="","",INDEX(tblServicios[Tipo suplemento],$BA225))</f>
        <v/>
      </c>
      <c r="U228" s="34" t="str">
        <f t="shared" si="4"/>
        <v/>
      </c>
      <c r="V228" s="1" t="str" cm="1">
        <f t="array" ref="V228">IF($BA225="","",IF(INDEX(tblServicios[Conductor],$BA225)=$T$2,"Conductor","Personal adicional"))</f>
        <v/>
      </c>
      <c r="BA228" s="33" t="str" cm="1">
        <f t="array" ref="BA2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adicional]=$T$2))&gt;0)),ROW(A229)),"")</f>
        <v/>
      </c>
    </row>
    <row r="229" spans="15:53" x14ac:dyDescent="0.35">
      <c r="O229" s="1" t="str" cm="1">
        <f t="array" ref="O229">IF($BA226="","",INDEX(tblServicios[Fecha],$BA226))</f>
        <v/>
      </c>
      <c r="P229" s="1" t="str" cm="1">
        <f t="array" ref="P229">IF($BA226="","",INDEX(tblServicios[Contrato],$BA226))</f>
        <v/>
      </c>
      <c r="Q229" s="1" t="str" cm="1">
        <f t="array" ref="Q229">IF($BA226="","",INDEX(tblServicios[Vehículo],$BA226))</f>
        <v/>
      </c>
      <c r="R229" s="34" t="str" cm="1">
        <f t="array" ref="R229">IF($BA226="","",INDEX(tblServicios[Base imponible (€)],$BA226)-INDEX(tblServicios[Imp. suplemento (€)],$BA226))</f>
        <v/>
      </c>
      <c r="S229" s="34" t="str" cm="1">
        <f t="array" ref="S229">IF($BA226="","",INDEX(tblServicios[Imp. suplemento (€)],$BA226))</f>
        <v/>
      </c>
      <c r="T229" t="str" cm="1">
        <f t="array" ref="T229">IF($BA226="","",INDEX(tblServicios[Tipo suplemento],$BA226))</f>
        <v/>
      </c>
      <c r="U229" s="34" t="str">
        <f t="shared" si="4"/>
        <v/>
      </c>
      <c r="V229" s="1" t="str" cm="1">
        <f t="array" ref="V229">IF($BA226="","",IF(INDEX(tblServicios[Conductor],$BA226)=$T$2,"Conductor","Personal adicional"))</f>
        <v/>
      </c>
      <c r="BA229" s="33" t="str" cm="1">
        <f t="array" ref="BA2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adicional]=$T$2))&gt;0)),ROW(A230)),"")</f>
        <v/>
      </c>
    </row>
    <row r="230" spans="15:53" x14ac:dyDescent="0.35">
      <c r="O230" s="1" t="str" cm="1">
        <f t="array" ref="O230">IF($BA227="","",INDEX(tblServicios[Fecha],$BA227))</f>
        <v/>
      </c>
      <c r="P230" s="1" t="str" cm="1">
        <f t="array" ref="P230">IF($BA227="","",INDEX(tblServicios[Contrato],$BA227))</f>
        <v/>
      </c>
      <c r="Q230" s="1" t="str" cm="1">
        <f t="array" ref="Q230">IF($BA227="","",INDEX(tblServicios[Vehículo],$BA227))</f>
        <v/>
      </c>
      <c r="R230" s="34" t="str" cm="1">
        <f t="array" ref="R230">IF($BA227="","",INDEX(tblServicios[Base imponible (€)],$BA227)-INDEX(tblServicios[Imp. suplemento (€)],$BA227))</f>
        <v/>
      </c>
      <c r="S230" s="34" t="str" cm="1">
        <f t="array" ref="S230">IF($BA227="","",INDEX(tblServicios[Imp. suplemento (€)],$BA227))</f>
        <v/>
      </c>
      <c r="T230" t="str" cm="1">
        <f t="array" ref="T230">IF($BA227="","",INDEX(tblServicios[Tipo suplemento],$BA227))</f>
        <v/>
      </c>
      <c r="U230" s="34" t="str">
        <f t="shared" si="4"/>
        <v/>
      </c>
      <c r="V230" s="1" t="str" cm="1">
        <f t="array" ref="V230">IF($BA227="","",IF(INDEX(tblServicios[Conductor],$BA227)=$T$2,"Conductor","Personal adicional"))</f>
        <v/>
      </c>
      <c r="BA230" s="33" t="str" cm="1">
        <f t="array" ref="BA2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adicional]=$T$2))&gt;0)),ROW(A231)),"")</f>
        <v/>
      </c>
    </row>
    <row r="231" spans="15:53" x14ac:dyDescent="0.35">
      <c r="O231" s="1" t="str" cm="1">
        <f t="array" ref="O231">IF($BA228="","",INDEX(tblServicios[Fecha],$BA228))</f>
        <v/>
      </c>
      <c r="P231" s="1" t="str" cm="1">
        <f t="array" ref="P231">IF($BA228="","",INDEX(tblServicios[Contrato],$BA228))</f>
        <v/>
      </c>
      <c r="Q231" s="1" t="str" cm="1">
        <f t="array" ref="Q231">IF($BA228="","",INDEX(tblServicios[Vehículo],$BA228))</f>
        <v/>
      </c>
      <c r="R231" s="34" t="str" cm="1">
        <f t="array" ref="R231">IF($BA228="","",INDEX(tblServicios[Base imponible (€)],$BA228)-INDEX(tblServicios[Imp. suplemento (€)],$BA228))</f>
        <v/>
      </c>
      <c r="S231" s="34" t="str" cm="1">
        <f t="array" ref="S231">IF($BA228="","",INDEX(tblServicios[Imp. suplemento (€)],$BA228))</f>
        <v/>
      </c>
      <c r="T231" t="str" cm="1">
        <f t="array" ref="T231">IF($BA228="","",INDEX(tblServicios[Tipo suplemento],$BA228))</f>
        <v/>
      </c>
      <c r="U231" s="34" t="str">
        <f t="shared" si="4"/>
        <v/>
      </c>
      <c r="V231" s="1" t="str" cm="1">
        <f t="array" ref="V231">IF($BA228="","",IF(INDEX(tblServicios[Conductor],$BA228)=$T$2,"Conductor","Personal adicional"))</f>
        <v/>
      </c>
      <c r="BA231" s="33" t="str" cm="1">
        <f t="array" ref="BA2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adicional]=$T$2))&gt;0)),ROW(A232)),"")</f>
        <v/>
      </c>
    </row>
    <row r="232" spans="15:53" x14ac:dyDescent="0.35">
      <c r="O232" s="1" t="str" cm="1">
        <f t="array" ref="O232">IF($BA229="","",INDEX(tblServicios[Fecha],$BA229))</f>
        <v/>
      </c>
      <c r="P232" s="1" t="str" cm="1">
        <f t="array" ref="P232">IF($BA229="","",INDEX(tblServicios[Contrato],$BA229))</f>
        <v/>
      </c>
      <c r="Q232" s="1" t="str" cm="1">
        <f t="array" ref="Q232">IF($BA229="","",INDEX(tblServicios[Vehículo],$BA229))</f>
        <v/>
      </c>
      <c r="R232" s="34" t="str" cm="1">
        <f t="array" ref="R232">IF($BA229="","",INDEX(tblServicios[Base imponible (€)],$BA229)-INDEX(tblServicios[Imp. suplemento (€)],$BA229))</f>
        <v/>
      </c>
      <c r="S232" s="34" t="str" cm="1">
        <f t="array" ref="S232">IF($BA229="","",INDEX(tblServicios[Imp. suplemento (€)],$BA229))</f>
        <v/>
      </c>
      <c r="T232" t="str" cm="1">
        <f t="array" ref="T232">IF($BA229="","",INDEX(tblServicios[Tipo suplemento],$BA229))</f>
        <v/>
      </c>
      <c r="U232" s="34" t="str">
        <f t="shared" si="4"/>
        <v/>
      </c>
      <c r="V232" s="1" t="str" cm="1">
        <f t="array" ref="V232">IF($BA229="","",IF(INDEX(tblServicios[Conductor],$BA229)=$T$2,"Conductor","Personal adicional"))</f>
        <v/>
      </c>
      <c r="BA232" s="33" t="str" cm="1">
        <f t="array" ref="BA2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adicional]=$T$2))&gt;0)),ROW(A233)),"")</f>
        <v/>
      </c>
    </row>
    <row r="233" spans="15:53" x14ac:dyDescent="0.35">
      <c r="O233" s="1" t="str" cm="1">
        <f t="array" ref="O233">IF($BA230="","",INDEX(tblServicios[Fecha],$BA230))</f>
        <v/>
      </c>
      <c r="P233" s="1" t="str" cm="1">
        <f t="array" ref="P233">IF($BA230="","",INDEX(tblServicios[Contrato],$BA230))</f>
        <v/>
      </c>
      <c r="Q233" s="1" t="str" cm="1">
        <f t="array" ref="Q233">IF($BA230="","",INDEX(tblServicios[Vehículo],$BA230))</f>
        <v/>
      </c>
      <c r="R233" s="34" t="str" cm="1">
        <f t="array" ref="R233">IF($BA230="","",INDEX(tblServicios[Base imponible (€)],$BA230)-INDEX(tblServicios[Imp. suplemento (€)],$BA230))</f>
        <v/>
      </c>
      <c r="S233" s="34" t="str" cm="1">
        <f t="array" ref="S233">IF($BA230="","",INDEX(tblServicios[Imp. suplemento (€)],$BA230))</f>
        <v/>
      </c>
      <c r="T233" t="str" cm="1">
        <f t="array" ref="T233">IF($BA230="","",INDEX(tblServicios[Tipo suplemento],$BA230))</f>
        <v/>
      </c>
      <c r="U233" s="34" t="str">
        <f t="shared" si="4"/>
        <v/>
      </c>
      <c r="V233" s="1" t="str" cm="1">
        <f t="array" ref="V233">IF($BA230="","",IF(INDEX(tblServicios[Conductor],$BA230)=$T$2,"Conductor","Personal adicional"))</f>
        <v/>
      </c>
      <c r="BA233" s="33" t="str" cm="1">
        <f t="array" ref="BA2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adicional]=$T$2))&gt;0)),ROW(A234)),"")</f>
        <v/>
      </c>
    </row>
    <row r="234" spans="15:53" x14ac:dyDescent="0.35">
      <c r="O234" s="1" t="str" cm="1">
        <f t="array" ref="O234">IF($BA231="","",INDEX(tblServicios[Fecha],$BA231))</f>
        <v/>
      </c>
      <c r="P234" s="1" t="str" cm="1">
        <f t="array" ref="P234">IF($BA231="","",INDEX(tblServicios[Contrato],$BA231))</f>
        <v/>
      </c>
      <c r="Q234" s="1" t="str" cm="1">
        <f t="array" ref="Q234">IF($BA231="","",INDEX(tblServicios[Vehículo],$BA231))</f>
        <v/>
      </c>
      <c r="R234" s="34" t="str" cm="1">
        <f t="array" ref="R234">IF($BA231="","",INDEX(tblServicios[Base imponible (€)],$BA231)-INDEX(tblServicios[Imp. suplemento (€)],$BA231))</f>
        <v/>
      </c>
      <c r="S234" s="34" t="str" cm="1">
        <f t="array" ref="S234">IF($BA231="","",INDEX(tblServicios[Imp. suplemento (€)],$BA231))</f>
        <v/>
      </c>
      <c r="T234" t="str" cm="1">
        <f t="array" ref="T234">IF($BA231="","",INDEX(tblServicios[Tipo suplemento],$BA231))</f>
        <v/>
      </c>
      <c r="U234" s="34" t="str">
        <f t="shared" si="4"/>
        <v/>
      </c>
      <c r="V234" s="1" t="str" cm="1">
        <f t="array" ref="V234">IF($BA231="","",IF(INDEX(tblServicios[Conductor],$BA231)=$T$2,"Conductor","Personal adicional"))</f>
        <v/>
      </c>
      <c r="BA234" s="33" t="str" cm="1">
        <f t="array" ref="BA2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adicional]=$T$2))&gt;0)),ROW(A235)),"")</f>
        <v/>
      </c>
    </row>
    <row r="235" spans="15:53" x14ac:dyDescent="0.35">
      <c r="O235" s="1" t="str" cm="1">
        <f t="array" ref="O235">IF($BA232="","",INDEX(tblServicios[Fecha],$BA232))</f>
        <v/>
      </c>
      <c r="P235" s="1" t="str" cm="1">
        <f t="array" ref="P235">IF($BA232="","",INDEX(tblServicios[Contrato],$BA232))</f>
        <v/>
      </c>
      <c r="Q235" s="1" t="str" cm="1">
        <f t="array" ref="Q235">IF($BA232="","",INDEX(tblServicios[Vehículo],$BA232))</f>
        <v/>
      </c>
      <c r="R235" s="34" t="str" cm="1">
        <f t="array" ref="R235">IF($BA232="","",INDEX(tblServicios[Base imponible (€)],$BA232)-INDEX(tblServicios[Imp. suplemento (€)],$BA232))</f>
        <v/>
      </c>
      <c r="S235" s="34" t="str" cm="1">
        <f t="array" ref="S235">IF($BA232="","",INDEX(tblServicios[Imp. suplemento (€)],$BA232))</f>
        <v/>
      </c>
      <c r="T235" t="str" cm="1">
        <f t="array" ref="T235">IF($BA232="","",INDEX(tblServicios[Tipo suplemento],$BA232))</f>
        <v/>
      </c>
      <c r="U235" s="34" t="str">
        <f t="shared" si="4"/>
        <v/>
      </c>
      <c r="V235" s="1" t="str" cm="1">
        <f t="array" ref="V235">IF($BA232="","",IF(INDEX(tblServicios[Conductor],$BA232)=$T$2,"Conductor","Personal adicional"))</f>
        <v/>
      </c>
      <c r="BA235" s="33" t="str" cm="1">
        <f t="array" ref="BA2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adicional]=$T$2))&gt;0)),ROW(A236)),"")</f>
        <v/>
      </c>
    </row>
    <row r="236" spans="15:53" x14ac:dyDescent="0.35">
      <c r="O236" s="1" t="str" cm="1">
        <f t="array" ref="O236">IF($BA233="","",INDEX(tblServicios[Fecha],$BA233))</f>
        <v/>
      </c>
      <c r="P236" s="1" t="str" cm="1">
        <f t="array" ref="P236">IF($BA233="","",INDEX(tblServicios[Contrato],$BA233))</f>
        <v/>
      </c>
      <c r="Q236" s="1" t="str" cm="1">
        <f t="array" ref="Q236">IF($BA233="","",INDEX(tblServicios[Vehículo],$BA233))</f>
        <v/>
      </c>
      <c r="R236" s="34" t="str" cm="1">
        <f t="array" ref="R236">IF($BA233="","",INDEX(tblServicios[Base imponible (€)],$BA233)-INDEX(tblServicios[Imp. suplemento (€)],$BA233))</f>
        <v/>
      </c>
      <c r="S236" s="34" t="str" cm="1">
        <f t="array" ref="S236">IF($BA233="","",INDEX(tblServicios[Imp. suplemento (€)],$BA233))</f>
        <v/>
      </c>
      <c r="T236" t="str" cm="1">
        <f t="array" ref="T236">IF($BA233="","",INDEX(tblServicios[Tipo suplemento],$BA233))</f>
        <v/>
      </c>
      <c r="U236" s="34" t="str">
        <f t="shared" si="4"/>
        <v/>
      </c>
      <c r="V236" s="1" t="str" cm="1">
        <f t="array" ref="V236">IF($BA233="","",IF(INDEX(tblServicios[Conductor],$BA233)=$T$2,"Conductor","Personal adicional"))</f>
        <v/>
      </c>
      <c r="BA236" s="33" t="str" cm="1">
        <f t="array" ref="BA2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adicional]=$T$2))&gt;0)),ROW(A237)),"")</f>
        <v/>
      </c>
    </row>
    <row r="237" spans="15:53" x14ac:dyDescent="0.35">
      <c r="O237" s="1" t="str" cm="1">
        <f t="array" ref="O237">IF($BA234="","",INDEX(tblServicios[Fecha],$BA234))</f>
        <v/>
      </c>
      <c r="P237" s="1" t="str" cm="1">
        <f t="array" ref="P237">IF($BA234="","",INDEX(tblServicios[Contrato],$BA234))</f>
        <v/>
      </c>
      <c r="Q237" s="1" t="str" cm="1">
        <f t="array" ref="Q237">IF($BA234="","",INDEX(tblServicios[Vehículo],$BA234))</f>
        <v/>
      </c>
      <c r="R237" s="34" t="str" cm="1">
        <f t="array" ref="R237">IF($BA234="","",INDEX(tblServicios[Base imponible (€)],$BA234)-INDEX(tblServicios[Imp. suplemento (€)],$BA234))</f>
        <v/>
      </c>
      <c r="S237" s="34" t="str" cm="1">
        <f t="array" ref="S237">IF($BA234="","",INDEX(tblServicios[Imp. suplemento (€)],$BA234))</f>
        <v/>
      </c>
      <c r="T237" t="str" cm="1">
        <f t="array" ref="T237">IF($BA234="","",INDEX(tblServicios[Tipo suplemento],$BA234))</f>
        <v/>
      </c>
      <c r="U237" s="34" t="str">
        <f t="shared" si="4"/>
        <v/>
      </c>
      <c r="V237" s="1" t="str" cm="1">
        <f t="array" ref="V237">IF($BA234="","",IF(INDEX(tblServicios[Conductor],$BA234)=$T$2,"Conductor","Personal adicional"))</f>
        <v/>
      </c>
      <c r="BA237" s="33" t="str" cm="1">
        <f t="array" ref="BA2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adicional]=$T$2))&gt;0)),ROW(A238)),"")</f>
        <v/>
      </c>
    </row>
    <row r="238" spans="15:53" x14ac:dyDescent="0.35">
      <c r="O238" s="1" t="str" cm="1">
        <f t="array" ref="O238">IF($BA235="","",INDEX(tblServicios[Fecha],$BA235))</f>
        <v/>
      </c>
      <c r="P238" s="1" t="str" cm="1">
        <f t="array" ref="P238">IF($BA235="","",INDEX(tblServicios[Contrato],$BA235))</f>
        <v/>
      </c>
      <c r="Q238" s="1" t="str" cm="1">
        <f t="array" ref="Q238">IF($BA235="","",INDEX(tblServicios[Vehículo],$BA235))</f>
        <v/>
      </c>
      <c r="R238" s="34" t="str" cm="1">
        <f t="array" ref="R238">IF($BA235="","",INDEX(tblServicios[Base imponible (€)],$BA235)-INDEX(tblServicios[Imp. suplemento (€)],$BA235))</f>
        <v/>
      </c>
      <c r="S238" s="34" t="str" cm="1">
        <f t="array" ref="S238">IF($BA235="","",INDEX(tblServicios[Imp. suplemento (€)],$BA235))</f>
        <v/>
      </c>
      <c r="T238" t="str" cm="1">
        <f t="array" ref="T238">IF($BA235="","",INDEX(tblServicios[Tipo suplemento],$BA235))</f>
        <v/>
      </c>
      <c r="U238" s="34" t="str">
        <f t="shared" si="4"/>
        <v/>
      </c>
      <c r="V238" s="1" t="str" cm="1">
        <f t="array" ref="V238">IF($BA235="","",IF(INDEX(tblServicios[Conductor],$BA235)=$T$2,"Conductor","Personal adicional"))</f>
        <v/>
      </c>
      <c r="BA238" s="33" t="str" cm="1">
        <f t="array" ref="BA2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adicional]=$T$2))&gt;0)),ROW(A239)),"")</f>
        <v/>
      </c>
    </row>
    <row r="239" spans="15:53" x14ac:dyDescent="0.35">
      <c r="O239" s="1" t="str" cm="1">
        <f t="array" ref="O239">IF($BA236="","",INDEX(tblServicios[Fecha],$BA236))</f>
        <v/>
      </c>
      <c r="P239" s="1" t="str" cm="1">
        <f t="array" ref="P239">IF($BA236="","",INDEX(tblServicios[Contrato],$BA236))</f>
        <v/>
      </c>
      <c r="Q239" s="1" t="str" cm="1">
        <f t="array" ref="Q239">IF($BA236="","",INDEX(tblServicios[Vehículo],$BA236))</f>
        <v/>
      </c>
      <c r="R239" s="34" t="str" cm="1">
        <f t="array" ref="R239">IF($BA236="","",INDEX(tblServicios[Base imponible (€)],$BA236)-INDEX(tblServicios[Imp. suplemento (€)],$BA236))</f>
        <v/>
      </c>
      <c r="S239" s="34" t="str" cm="1">
        <f t="array" ref="S239">IF($BA236="","",INDEX(tblServicios[Imp. suplemento (€)],$BA236))</f>
        <v/>
      </c>
      <c r="T239" t="str" cm="1">
        <f t="array" ref="T239">IF($BA236="","",INDEX(tblServicios[Tipo suplemento],$BA236))</f>
        <v/>
      </c>
      <c r="U239" s="34" t="str">
        <f t="shared" si="4"/>
        <v/>
      </c>
      <c r="V239" s="1" t="str" cm="1">
        <f t="array" ref="V239">IF($BA236="","",IF(INDEX(tblServicios[Conductor],$BA236)=$T$2,"Conductor","Personal adicional"))</f>
        <v/>
      </c>
      <c r="BA239" s="33" t="str" cm="1">
        <f t="array" ref="BA2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adicional]=$T$2))&gt;0)),ROW(A240)),"")</f>
        <v/>
      </c>
    </row>
    <row r="240" spans="15:53" x14ac:dyDescent="0.35">
      <c r="O240" s="1" t="str" cm="1">
        <f t="array" ref="O240">IF($BA237="","",INDEX(tblServicios[Fecha],$BA237))</f>
        <v/>
      </c>
      <c r="P240" s="1" t="str" cm="1">
        <f t="array" ref="P240">IF($BA237="","",INDEX(tblServicios[Contrato],$BA237))</f>
        <v/>
      </c>
      <c r="Q240" s="1" t="str" cm="1">
        <f t="array" ref="Q240">IF($BA237="","",INDEX(tblServicios[Vehículo],$BA237))</f>
        <v/>
      </c>
      <c r="R240" s="34" t="str" cm="1">
        <f t="array" ref="R240">IF($BA237="","",INDEX(tblServicios[Base imponible (€)],$BA237)-INDEX(tblServicios[Imp. suplemento (€)],$BA237))</f>
        <v/>
      </c>
      <c r="S240" s="34" t="str" cm="1">
        <f t="array" ref="S240">IF($BA237="","",INDEX(tblServicios[Imp. suplemento (€)],$BA237))</f>
        <v/>
      </c>
      <c r="T240" t="str" cm="1">
        <f t="array" ref="T240">IF($BA237="","",INDEX(tblServicios[Tipo suplemento],$BA237))</f>
        <v/>
      </c>
      <c r="U240" s="34" t="str">
        <f t="shared" si="4"/>
        <v/>
      </c>
      <c r="V240" s="1" t="str" cm="1">
        <f t="array" ref="V240">IF($BA237="","",IF(INDEX(tblServicios[Conductor],$BA237)=$T$2,"Conductor","Personal adicional"))</f>
        <v/>
      </c>
      <c r="BA240" s="33" t="str" cm="1">
        <f t="array" ref="BA2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adicional]=$T$2))&gt;0)),ROW(A241)),"")</f>
        <v/>
      </c>
    </row>
    <row r="241" spans="15:53" x14ac:dyDescent="0.35">
      <c r="O241" s="1" t="str" cm="1">
        <f t="array" ref="O241">IF($BA238="","",INDEX(tblServicios[Fecha],$BA238))</f>
        <v/>
      </c>
      <c r="P241" s="1" t="str" cm="1">
        <f t="array" ref="P241">IF($BA238="","",INDEX(tblServicios[Contrato],$BA238))</f>
        <v/>
      </c>
      <c r="Q241" s="1" t="str" cm="1">
        <f t="array" ref="Q241">IF($BA238="","",INDEX(tblServicios[Vehículo],$BA238))</f>
        <v/>
      </c>
      <c r="R241" s="34" t="str" cm="1">
        <f t="array" ref="R241">IF($BA238="","",INDEX(tblServicios[Base imponible (€)],$BA238)-INDEX(tblServicios[Imp. suplemento (€)],$BA238))</f>
        <v/>
      </c>
      <c r="S241" s="34" t="str" cm="1">
        <f t="array" ref="S241">IF($BA238="","",INDEX(tblServicios[Imp. suplemento (€)],$BA238))</f>
        <v/>
      </c>
      <c r="T241" t="str" cm="1">
        <f t="array" ref="T241">IF($BA238="","",INDEX(tblServicios[Tipo suplemento],$BA238))</f>
        <v/>
      </c>
      <c r="U241" s="34" t="str">
        <f t="shared" si="4"/>
        <v/>
      </c>
      <c r="V241" s="1" t="str" cm="1">
        <f t="array" ref="V241">IF($BA238="","",IF(INDEX(tblServicios[Conductor],$BA238)=$T$2,"Conductor","Personal adicional"))</f>
        <v/>
      </c>
      <c r="BA241" s="33" t="str" cm="1">
        <f t="array" ref="BA2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adicional]=$T$2))&gt;0)),ROW(A242)),"")</f>
        <v/>
      </c>
    </row>
    <row r="242" spans="15:53" x14ac:dyDescent="0.35">
      <c r="O242" s="1" t="str" cm="1">
        <f t="array" ref="O242">IF($BA239="","",INDEX(tblServicios[Fecha],$BA239))</f>
        <v/>
      </c>
      <c r="P242" s="1" t="str" cm="1">
        <f t="array" ref="P242">IF($BA239="","",INDEX(tblServicios[Contrato],$BA239))</f>
        <v/>
      </c>
      <c r="Q242" s="1" t="str" cm="1">
        <f t="array" ref="Q242">IF($BA239="","",INDEX(tblServicios[Vehículo],$BA239))</f>
        <v/>
      </c>
      <c r="R242" s="34" t="str" cm="1">
        <f t="array" ref="R242">IF($BA239="","",INDEX(tblServicios[Base imponible (€)],$BA239)-INDEX(tblServicios[Imp. suplemento (€)],$BA239))</f>
        <v/>
      </c>
      <c r="S242" s="34" t="str" cm="1">
        <f t="array" ref="S242">IF($BA239="","",INDEX(tblServicios[Imp. suplemento (€)],$BA239))</f>
        <v/>
      </c>
      <c r="T242" t="str" cm="1">
        <f t="array" ref="T242">IF($BA239="","",INDEX(tblServicios[Tipo suplemento],$BA239))</f>
        <v/>
      </c>
      <c r="U242" s="34" t="str">
        <f t="shared" si="4"/>
        <v/>
      </c>
      <c r="V242" s="1" t="str" cm="1">
        <f t="array" ref="V242">IF($BA239="","",IF(INDEX(tblServicios[Conductor],$BA239)=$T$2,"Conductor","Personal adicional"))</f>
        <v/>
      </c>
      <c r="BA242" s="33" t="str" cm="1">
        <f t="array" ref="BA2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adicional]=$T$2))&gt;0)),ROW(A243)),"")</f>
        <v/>
      </c>
    </row>
    <row r="243" spans="15:53" x14ac:dyDescent="0.35">
      <c r="O243" s="1" t="str" cm="1">
        <f t="array" ref="O243">IF($BA240="","",INDEX(tblServicios[Fecha],$BA240))</f>
        <v/>
      </c>
      <c r="P243" s="1" t="str" cm="1">
        <f t="array" ref="P243">IF($BA240="","",INDEX(tblServicios[Contrato],$BA240))</f>
        <v/>
      </c>
      <c r="Q243" s="1" t="str" cm="1">
        <f t="array" ref="Q243">IF($BA240="","",INDEX(tblServicios[Vehículo],$BA240))</f>
        <v/>
      </c>
      <c r="R243" s="34" t="str" cm="1">
        <f t="array" ref="R243">IF($BA240="","",INDEX(tblServicios[Base imponible (€)],$BA240)-INDEX(tblServicios[Imp. suplemento (€)],$BA240))</f>
        <v/>
      </c>
      <c r="S243" s="34" t="str" cm="1">
        <f t="array" ref="S243">IF($BA240="","",INDEX(tblServicios[Imp. suplemento (€)],$BA240))</f>
        <v/>
      </c>
      <c r="T243" t="str" cm="1">
        <f t="array" ref="T243">IF($BA240="","",INDEX(tblServicios[Tipo suplemento],$BA240))</f>
        <v/>
      </c>
      <c r="U243" s="34" t="str">
        <f t="shared" si="4"/>
        <v/>
      </c>
      <c r="V243" s="1" t="str" cm="1">
        <f t="array" ref="V243">IF($BA240="","",IF(INDEX(tblServicios[Conductor],$BA240)=$T$2,"Conductor","Personal adicional"))</f>
        <v/>
      </c>
      <c r="BA243" s="33" t="str" cm="1">
        <f t="array" ref="BA2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adicional]=$T$2))&gt;0)),ROW(A244)),"")</f>
        <v/>
      </c>
    </row>
    <row r="244" spans="15:53" x14ac:dyDescent="0.35">
      <c r="O244" s="1" t="str" cm="1">
        <f t="array" ref="O244">IF($BA241="","",INDEX(tblServicios[Fecha],$BA241))</f>
        <v/>
      </c>
      <c r="P244" s="1" t="str" cm="1">
        <f t="array" ref="P244">IF($BA241="","",INDEX(tblServicios[Contrato],$BA241))</f>
        <v/>
      </c>
      <c r="Q244" s="1" t="str" cm="1">
        <f t="array" ref="Q244">IF($BA241="","",INDEX(tblServicios[Vehículo],$BA241))</f>
        <v/>
      </c>
      <c r="R244" s="34" t="str" cm="1">
        <f t="array" ref="R244">IF($BA241="","",INDEX(tblServicios[Base imponible (€)],$BA241)-INDEX(tblServicios[Imp. suplemento (€)],$BA241))</f>
        <v/>
      </c>
      <c r="S244" s="34" t="str" cm="1">
        <f t="array" ref="S244">IF($BA241="","",INDEX(tblServicios[Imp. suplemento (€)],$BA241))</f>
        <v/>
      </c>
      <c r="T244" t="str" cm="1">
        <f t="array" ref="T244">IF($BA241="","",INDEX(tblServicios[Tipo suplemento],$BA241))</f>
        <v/>
      </c>
      <c r="U244" s="34" t="str">
        <f t="shared" si="4"/>
        <v/>
      </c>
      <c r="V244" s="1" t="str" cm="1">
        <f t="array" ref="V244">IF($BA241="","",IF(INDEX(tblServicios[Conductor],$BA241)=$T$2,"Conductor","Personal adicional"))</f>
        <v/>
      </c>
      <c r="BA244" s="33" t="str" cm="1">
        <f t="array" ref="BA2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adicional]=$T$2))&gt;0)),ROW(A245)),"")</f>
        <v/>
      </c>
    </row>
    <row r="245" spans="15:53" x14ac:dyDescent="0.35">
      <c r="O245" s="1" t="str" cm="1">
        <f t="array" ref="O245">IF($BA242="","",INDEX(tblServicios[Fecha],$BA242))</f>
        <v/>
      </c>
      <c r="P245" s="1" t="str" cm="1">
        <f t="array" ref="P245">IF($BA242="","",INDEX(tblServicios[Contrato],$BA242))</f>
        <v/>
      </c>
      <c r="Q245" s="1" t="str" cm="1">
        <f t="array" ref="Q245">IF($BA242="","",INDEX(tblServicios[Vehículo],$BA242))</f>
        <v/>
      </c>
      <c r="R245" s="34" t="str" cm="1">
        <f t="array" ref="R245">IF($BA242="","",INDEX(tblServicios[Base imponible (€)],$BA242)-INDEX(tblServicios[Imp. suplemento (€)],$BA242))</f>
        <v/>
      </c>
      <c r="S245" s="34" t="str" cm="1">
        <f t="array" ref="S245">IF($BA242="","",INDEX(tblServicios[Imp. suplemento (€)],$BA242))</f>
        <v/>
      </c>
      <c r="T245" t="str" cm="1">
        <f t="array" ref="T245">IF($BA242="","",INDEX(tblServicios[Tipo suplemento],$BA242))</f>
        <v/>
      </c>
      <c r="U245" s="34" t="str">
        <f t="shared" si="4"/>
        <v/>
      </c>
      <c r="V245" s="1" t="str" cm="1">
        <f t="array" ref="V245">IF($BA242="","",IF(INDEX(tblServicios[Conductor],$BA242)=$T$2,"Conductor","Personal adicional"))</f>
        <v/>
      </c>
      <c r="BA245" s="33" t="str" cm="1">
        <f t="array" ref="BA2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adicional]=$T$2))&gt;0)),ROW(A246)),"")</f>
        <v/>
      </c>
    </row>
    <row r="246" spans="15:53" x14ac:dyDescent="0.35">
      <c r="O246" s="1" t="str" cm="1">
        <f t="array" ref="O246">IF($BA243="","",INDEX(tblServicios[Fecha],$BA243))</f>
        <v/>
      </c>
      <c r="P246" s="1" t="str" cm="1">
        <f t="array" ref="P246">IF($BA243="","",INDEX(tblServicios[Contrato],$BA243))</f>
        <v/>
      </c>
      <c r="Q246" s="1" t="str" cm="1">
        <f t="array" ref="Q246">IF($BA243="","",INDEX(tblServicios[Vehículo],$BA243))</f>
        <v/>
      </c>
      <c r="R246" s="34" t="str" cm="1">
        <f t="array" ref="R246">IF($BA243="","",INDEX(tblServicios[Base imponible (€)],$BA243)-INDEX(tblServicios[Imp. suplemento (€)],$BA243))</f>
        <v/>
      </c>
      <c r="S246" s="34" t="str" cm="1">
        <f t="array" ref="S246">IF($BA243="","",INDEX(tblServicios[Imp. suplemento (€)],$BA243))</f>
        <v/>
      </c>
      <c r="T246" t="str" cm="1">
        <f t="array" ref="T246">IF($BA243="","",INDEX(tblServicios[Tipo suplemento],$BA243))</f>
        <v/>
      </c>
      <c r="U246" s="34" t="str">
        <f t="shared" si="4"/>
        <v/>
      </c>
      <c r="V246" s="1" t="str" cm="1">
        <f t="array" ref="V246">IF($BA243="","",IF(INDEX(tblServicios[Conductor],$BA243)=$T$2,"Conductor","Personal adicional"))</f>
        <v/>
      </c>
      <c r="BA246" s="33" t="str" cm="1">
        <f t="array" ref="BA2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adicional]=$T$2))&gt;0)),ROW(A247)),"")</f>
        <v/>
      </c>
    </row>
    <row r="247" spans="15:53" x14ac:dyDescent="0.35">
      <c r="O247" s="1" t="str" cm="1">
        <f t="array" ref="O247">IF($BA244="","",INDEX(tblServicios[Fecha],$BA244))</f>
        <v/>
      </c>
      <c r="P247" s="1" t="str" cm="1">
        <f t="array" ref="P247">IF($BA244="","",INDEX(tblServicios[Contrato],$BA244))</f>
        <v/>
      </c>
      <c r="Q247" s="1" t="str" cm="1">
        <f t="array" ref="Q247">IF($BA244="","",INDEX(tblServicios[Vehículo],$BA244))</f>
        <v/>
      </c>
      <c r="R247" s="34" t="str" cm="1">
        <f t="array" ref="R247">IF($BA244="","",INDEX(tblServicios[Base imponible (€)],$BA244)-INDEX(tblServicios[Imp. suplemento (€)],$BA244))</f>
        <v/>
      </c>
      <c r="S247" s="34" t="str" cm="1">
        <f t="array" ref="S247">IF($BA244="","",INDEX(tblServicios[Imp. suplemento (€)],$BA244))</f>
        <v/>
      </c>
      <c r="T247" t="str" cm="1">
        <f t="array" ref="T247">IF($BA244="","",INDEX(tblServicios[Tipo suplemento],$BA244))</f>
        <v/>
      </c>
      <c r="U247" s="34" t="str">
        <f t="shared" si="4"/>
        <v/>
      </c>
      <c r="V247" s="1" t="str" cm="1">
        <f t="array" ref="V247">IF($BA244="","",IF(INDEX(tblServicios[Conductor],$BA244)=$T$2,"Conductor","Personal adicional"))</f>
        <v/>
      </c>
      <c r="BA247" s="33" t="str" cm="1">
        <f t="array" ref="BA2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adicional]=$T$2))&gt;0)),ROW(A248)),"")</f>
        <v/>
      </c>
    </row>
    <row r="248" spans="15:53" x14ac:dyDescent="0.35">
      <c r="O248" s="1" t="str" cm="1">
        <f t="array" ref="O248">IF($BA245="","",INDEX(tblServicios[Fecha],$BA245))</f>
        <v/>
      </c>
      <c r="P248" s="1" t="str" cm="1">
        <f t="array" ref="P248">IF($BA245="","",INDEX(tblServicios[Contrato],$BA245))</f>
        <v/>
      </c>
      <c r="Q248" s="1" t="str" cm="1">
        <f t="array" ref="Q248">IF($BA245="","",INDEX(tblServicios[Vehículo],$BA245))</f>
        <v/>
      </c>
      <c r="R248" s="34" t="str" cm="1">
        <f t="array" ref="R248">IF($BA245="","",INDEX(tblServicios[Base imponible (€)],$BA245)-INDEX(tblServicios[Imp. suplemento (€)],$BA245))</f>
        <v/>
      </c>
      <c r="S248" s="34" t="str" cm="1">
        <f t="array" ref="S248">IF($BA245="","",INDEX(tblServicios[Imp. suplemento (€)],$BA245))</f>
        <v/>
      </c>
      <c r="T248" t="str" cm="1">
        <f t="array" ref="T248">IF($BA245="","",INDEX(tblServicios[Tipo suplemento],$BA245))</f>
        <v/>
      </c>
      <c r="U248" s="34" t="str">
        <f t="shared" si="4"/>
        <v/>
      </c>
      <c r="V248" s="1" t="str" cm="1">
        <f t="array" ref="V248">IF($BA245="","",IF(INDEX(tblServicios[Conductor],$BA245)=$T$2,"Conductor","Personal adicional"))</f>
        <v/>
      </c>
      <c r="BA248" s="33" t="str" cm="1">
        <f t="array" ref="BA2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adicional]=$T$2))&gt;0)),ROW(A249)),"")</f>
        <v/>
      </c>
    </row>
    <row r="249" spans="15:53" x14ac:dyDescent="0.35">
      <c r="O249" s="1" t="str" cm="1">
        <f t="array" ref="O249">IF($BA246="","",INDEX(tblServicios[Fecha],$BA246))</f>
        <v/>
      </c>
      <c r="P249" s="1" t="str" cm="1">
        <f t="array" ref="P249">IF($BA246="","",INDEX(tblServicios[Contrato],$BA246))</f>
        <v/>
      </c>
      <c r="Q249" s="1" t="str" cm="1">
        <f t="array" ref="Q249">IF($BA246="","",INDEX(tblServicios[Vehículo],$BA246))</f>
        <v/>
      </c>
      <c r="R249" s="34" t="str" cm="1">
        <f t="array" ref="R249">IF($BA246="","",INDEX(tblServicios[Base imponible (€)],$BA246)-INDEX(tblServicios[Imp. suplemento (€)],$BA246))</f>
        <v/>
      </c>
      <c r="S249" s="34" t="str" cm="1">
        <f t="array" ref="S249">IF($BA246="","",INDEX(tblServicios[Imp. suplemento (€)],$BA246))</f>
        <v/>
      </c>
      <c r="T249" t="str" cm="1">
        <f t="array" ref="T249">IF($BA246="","",INDEX(tblServicios[Tipo suplemento],$BA246))</f>
        <v/>
      </c>
      <c r="U249" s="34" t="str">
        <f t="shared" si="4"/>
        <v/>
      </c>
      <c r="V249" s="1" t="str" cm="1">
        <f t="array" ref="V249">IF($BA246="","",IF(INDEX(tblServicios[Conductor],$BA246)=$T$2,"Conductor","Personal adicional"))</f>
        <v/>
      </c>
      <c r="BA249" s="33" t="str" cm="1">
        <f t="array" ref="BA2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adicional]=$T$2))&gt;0)),ROW(A250)),"")</f>
        <v/>
      </c>
    </row>
    <row r="250" spans="15:53" x14ac:dyDescent="0.35">
      <c r="O250" s="1" t="str" cm="1">
        <f t="array" ref="O250">IF($BA247="","",INDEX(tblServicios[Fecha],$BA247))</f>
        <v/>
      </c>
      <c r="P250" s="1" t="str" cm="1">
        <f t="array" ref="P250">IF($BA247="","",INDEX(tblServicios[Contrato],$BA247))</f>
        <v/>
      </c>
      <c r="Q250" s="1" t="str" cm="1">
        <f t="array" ref="Q250">IF($BA247="","",INDEX(tblServicios[Vehículo],$BA247))</f>
        <v/>
      </c>
      <c r="R250" s="34" t="str" cm="1">
        <f t="array" ref="R250">IF($BA247="","",INDEX(tblServicios[Base imponible (€)],$BA247)-INDEX(tblServicios[Imp. suplemento (€)],$BA247))</f>
        <v/>
      </c>
      <c r="S250" s="34" t="str" cm="1">
        <f t="array" ref="S250">IF($BA247="","",INDEX(tblServicios[Imp. suplemento (€)],$BA247))</f>
        <v/>
      </c>
      <c r="T250" t="str" cm="1">
        <f t="array" ref="T250">IF($BA247="","",INDEX(tblServicios[Tipo suplemento],$BA247))</f>
        <v/>
      </c>
      <c r="U250" s="34" t="str">
        <f t="shared" si="4"/>
        <v/>
      </c>
      <c r="V250" s="1" t="str" cm="1">
        <f t="array" ref="V250">IF($BA247="","",IF(INDEX(tblServicios[Conductor],$BA247)=$T$2,"Conductor","Personal adicional"))</f>
        <v/>
      </c>
      <c r="BA250" s="33" t="str" cm="1">
        <f t="array" ref="BA2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adicional]=$T$2))&gt;0)),ROW(A251)),"")</f>
        <v/>
      </c>
    </row>
    <row r="251" spans="15:53" x14ac:dyDescent="0.35">
      <c r="O251" s="1" t="str" cm="1">
        <f t="array" ref="O251">IF($BA248="","",INDEX(tblServicios[Fecha],$BA248))</f>
        <v/>
      </c>
      <c r="P251" s="1" t="str" cm="1">
        <f t="array" ref="P251">IF($BA248="","",INDEX(tblServicios[Contrato],$BA248))</f>
        <v/>
      </c>
      <c r="Q251" s="1" t="str" cm="1">
        <f t="array" ref="Q251">IF($BA248="","",INDEX(tblServicios[Vehículo],$BA248))</f>
        <v/>
      </c>
      <c r="R251" s="34" t="str" cm="1">
        <f t="array" ref="R251">IF($BA248="","",INDEX(tblServicios[Base imponible (€)],$BA248)-INDEX(tblServicios[Imp. suplemento (€)],$BA248))</f>
        <v/>
      </c>
      <c r="S251" s="34" t="str" cm="1">
        <f t="array" ref="S251">IF($BA248="","",INDEX(tblServicios[Imp. suplemento (€)],$BA248))</f>
        <v/>
      </c>
      <c r="T251" t="str" cm="1">
        <f t="array" ref="T251">IF($BA248="","",INDEX(tblServicios[Tipo suplemento],$BA248))</f>
        <v/>
      </c>
      <c r="U251" s="34" t="str">
        <f t="shared" si="4"/>
        <v/>
      </c>
      <c r="V251" s="1" t="str" cm="1">
        <f t="array" ref="V251">IF($BA248="","",IF(INDEX(tblServicios[Conductor],$BA248)=$T$2,"Conductor","Personal adicional"))</f>
        <v/>
      </c>
      <c r="BA251" s="33" t="str" cm="1">
        <f t="array" ref="BA2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adicional]=$T$2))&gt;0)),ROW(A252)),"")</f>
        <v/>
      </c>
    </row>
    <row r="252" spans="15:53" x14ac:dyDescent="0.35">
      <c r="O252" s="1" t="str" cm="1">
        <f t="array" ref="O252">IF($BA249="","",INDEX(tblServicios[Fecha],$BA249))</f>
        <v/>
      </c>
      <c r="P252" s="1" t="str" cm="1">
        <f t="array" ref="P252">IF($BA249="","",INDEX(tblServicios[Contrato],$BA249))</f>
        <v/>
      </c>
      <c r="Q252" s="1" t="str" cm="1">
        <f t="array" ref="Q252">IF($BA249="","",INDEX(tblServicios[Vehículo],$BA249))</f>
        <v/>
      </c>
      <c r="R252" s="34" t="str" cm="1">
        <f t="array" ref="R252">IF($BA249="","",INDEX(tblServicios[Base imponible (€)],$BA249)-INDEX(tblServicios[Imp. suplemento (€)],$BA249))</f>
        <v/>
      </c>
      <c r="S252" s="34" t="str" cm="1">
        <f t="array" ref="S252">IF($BA249="","",INDEX(tblServicios[Imp. suplemento (€)],$BA249))</f>
        <v/>
      </c>
      <c r="T252" t="str" cm="1">
        <f t="array" ref="T252">IF($BA249="","",INDEX(tblServicios[Tipo suplemento],$BA249))</f>
        <v/>
      </c>
      <c r="U252" s="34" t="str">
        <f t="shared" si="4"/>
        <v/>
      </c>
      <c r="V252" s="1" t="str" cm="1">
        <f t="array" ref="V252">IF($BA249="","",IF(INDEX(tblServicios[Conductor],$BA249)=$T$2,"Conductor","Personal adicional"))</f>
        <v/>
      </c>
      <c r="BA252" s="33" t="str" cm="1">
        <f t="array" ref="BA2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adicional]=$T$2))&gt;0)),ROW(A253)),"")</f>
        <v/>
      </c>
    </row>
    <row r="253" spans="15:53" x14ac:dyDescent="0.35">
      <c r="O253" s="1" t="str" cm="1">
        <f t="array" ref="O253">IF($BA250="","",INDEX(tblServicios[Fecha],$BA250))</f>
        <v/>
      </c>
      <c r="P253" s="1" t="str" cm="1">
        <f t="array" ref="P253">IF($BA250="","",INDEX(tblServicios[Contrato],$BA250))</f>
        <v/>
      </c>
      <c r="Q253" s="1" t="str" cm="1">
        <f t="array" ref="Q253">IF($BA250="","",INDEX(tblServicios[Vehículo],$BA250))</f>
        <v/>
      </c>
      <c r="R253" s="34" t="str" cm="1">
        <f t="array" ref="R253">IF($BA250="","",INDEX(tblServicios[Base imponible (€)],$BA250)-INDEX(tblServicios[Imp. suplemento (€)],$BA250))</f>
        <v/>
      </c>
      <c r="S253" s="34" t="str" cm="1">
        <f t="array" ref="S253">IF($BA250="","",INDEX(tblServicios[Imp. suplemento (€)],$BA250))</f>
        <v/>
      </c>
      <c r="T253" t="str" cm="1">
        <f t="array" ref="T253">IF($BA250="","",INDEX(tblServicios[Tipo suplemento],$BA250))</f>
        <v/>
      </c>
      <c r="U253" s="34" t="str">
        <f t="shared" si="4"/>
        <v/>
      </c>
      <c r="V253" s="1" t="str" cm="1">
        <f t="array" ref="V253">IF($BA250="","",IF(INDEX(tblServicios[Conductor],$BA250)=$T$2,"Conductor","Personal adicional"))</f>
        <v/>
      </c>
      <c r="BA253" s="33" t="str" cm="1">
        <f t="array" ref="BA2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adicional]=$T$2))&gt;0)),ROW(A254)),"")</f>
        <v/>
      </c>
    </row>
    <row r="254" spans="15:53" x14ac:dyDescent="0.35">
      <c r="O254" s="1" t="str" cm="1">
        <f t="array" ref="O254">IF($BA251="","",INDEX(tblServicios[Fecha],$BA251))</f>
        <v/>
      </c>
      <c r="P254" s="1" t="str" cm="1">
        <f t="array" ref="P254">IF($BA251="","",INDEX(tblServicios[Contrato],$BA251))</f>
        <v/>
      </c>
      <c r="Q254" s="1" t="str" cm="1">
        <f t="array" ref="Q254">IF($BA251="","",INDEX(tblServicios[Vehículo],$BA251))</f>
        <v/>
      </c>
      <c r="R254" s="34" t="str" cm="1">
        <f t="array" ref="R254">IF($BA251="","",INDEX(tblServicios[Base imponible (€)],$BA251)-INDEX(tblServicios[Imp. suplemento (€)],$BA251))</f>
        <v/>
      </c>
      <c r="S254" s="34" t="str" cm="1">
        <f t="array" ref="S254">IF($BA251="","",INDEX(tblServicios[Imp. suplemento (€)],$BA251))</f>
        <v/>
      </c>
      <c r="T254" t="str" cm="1">
        <f t="array" ref="T254">IF($BA251="","",INDEX(tblServicios[Tipo suplemento],$BA251))</f>
        <v/>
      </c>
      <c r="U254" s="34" t="str">
        <f t="shared" si="4"/>
        <v/>
      </c>
      <c r="V254" s="1" t="str" cm="1">
        <f t="array" ref="V254">IF($BA251="","",IF(INDEX(tblServicios[Conductor],$BA251)=$T$2,"Conductor","Personal adicional"))</f>
        <v/>
      </c>
      <c r="BA254" s="33" t="str" cm="1">
        <f t="array" ref="BA2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adicional]=$T$2))&gt;0)),ROW(A255)),"")</f>
        <v/>
      </c>
    </row>
    <row r="255" spans="15:53" x14ac:dyDescent="0.35">
      <c r="O255" s="1" t="str" cm="1">
        <f t="array" ref="O255">IF($BA252="","",INDEX(tblServicios[Fecha],$BA252))</f>
        <v/>
      </c>
      <c r="P255" s="1" t="str" cm="1">
        <f t="array" ref="P255">IF($BA252="","",INDEX(tblServicios[Contrato],$BA252))</f>
        <v/>
      </c>
      <c r="Q255" s="1" t="str" cm="1">
        <f t="array" ref="Q255">IF($BA252="","",INDEX(tblServicios[Vehículo],$BA252))</f>
        <v/>
      </c>
      <c r="R255" s="34" t="str" cm="1">
        <f t="array" ref="R255">IF($BA252="","",INDEX(tblServicios[Base imponible (€)],$BA252)-INDEX(tblServicios[Imp. suplemento (€)],$BA252))</f>
        <v/>
      </c>
      <c r="S255" s="34" t="str" cm="1">
        <f t="array" ref="S255">IF($BA252="","",INDEX(tblServicios[Imp. suplemento (€)],$BA252))</f>
        <v/>
      </c>
      <c r="T255" t="str" cm="1">
        <f t="array" ref="T255">IF($BA252="","",INDEX(tblServicios[Tipo suplemento],$BA252))</f>
        <v/>
      </c>
      <c r="U255" s="34" t="str">
        <f t="shared" si="4"/>
        <v/>
      </c>
      <c r="V255" s="1" t="str" cm="1">
        <f t="array" ref="V255">IF($BA252="","",IF(INDEX(tblServicios[Conductor],$BA252)=$T$2,"Conductor","Personal adicional"))</f>
        <v/>
      </c>
      <c r="BA255" s="33" t="str" cm="1">
        <f t="array" ref="BA2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adicional]=$T$2))&gt;0)),ROW(A256)),"")</f>
        <v/>
      </c>
    </row>
    <row r="256" spans="15:53" x14ac:dyDescent="0.35">
      <c r="O256" s="1" t="str" cm="1">
        <f t="array" ref="O256">IF($BA253="","",INDEX(tblServicios[Fecha],$BA253))</f>
        <v/>
      </c>
      <c r="P256" s="1" t="str" cm="1">
        <f t="array" ref="P256">IF($BA253="","",INDEX(tblServicios[Contrato],$BA253))</f>
        <v/>
      </c>
      <c r="Q256" s="1" t="str" cm="1">
        <f t="array" ref="Q256">IF($BA253="","",INDEX(tblServicios[Vehículo],$BA253))</f>
        <v/>
      </c>
      <c r="R256" s="34" t="str" cm="1">
        <f t="array" ref="R256">IF($BA253="","",INDEX(tblServicios[Base imponible (€)],$BA253)-INDEX(tblServicios[Imp. suplemento (€)],$BA253))</f>
        <v/>
      </c>
      <c r="S256" s="34" t="str" cm="1">
        <f t="array" ref="S256">IF($BA253="","",INDEX(tblServicios[Imp. suplemento (€)],$BA253))</f>
        <v/>
      </c>
      <c r="T256" t="str" cm="1">
        <f t="array" ref="T256">IF($BA253="","",INDEX(tblServicios[Tipo suplemento],$BA253))</f>
        <v/>
      </c>
      <c r="U256" s="34" t="str">
        <f t="shared" si="4"/>
        <v/>
      </c>
      <c r="V256" s="1" t="str" cm="1">
        <f t="array" ref="V256">IF($BA253="","",IF(INDEX(tblServicios[Conductor],$BA253)=$T$2,"Conductor","Personal adicional"))</f>
        <v/>
      </c>
      <c r="BA256" s="33" t="str" cm="1">
        <f t="array" ref="BA2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adicional]=$T$2))&gt;0)),ROW(A257)),"")</f>
        <v/>
      </c>
    </row>
    <row r="257" spans="15:53" x14ac:dyDescent="0.35">
      <c r="O257" s="1" t="str" cm="1">
        <f t="array" ref="O257">IF($BA254="","",INDEX(tblServicios[Fecha],$BA254))</f>
        <v/>
      </c>
      <c r="P257" s="1" t="str" cm="1">
        <f t="array" ref="P257">IF($BA254="","",INDEX(tblServicios[Contrato],$BA254))</f>
        <v/>
      </c>
      <c r="Q257" s="1" t="str" cm="1">
        <f t="array" ref="Q257">IF($BA254="","",INDEX(tblServicios[Vehículo],$BA254))</f>
        <v/>
      </c>
      <c r="R257" s="34" t="str" cm="1">
        <f t="array" ref="R257">IF($BA254="","",INDEX(tblServicios[Base imponible (€)],$BA254)-INDEX(tblServicios[Imp. suplemento (€)],$BA254))</f>
        <v/>
      </c>
      <c r="S257" s="34" t="str" cm="1">
        <f t="array" ref="S257">IF($BA254="","",INDEX(tblServicios[Imp. suplemento (€)],$BA254))</f>
        <v/>
      </c>
      <c r="T257" t="str" cm="1">
        <f t="array" ref="T257">IF($BA254="","",INDEX(tblServicios[Tipo suplemento],$BA254))</f>
        <v/>
      </c>
      <c r="U257" s="34" t="str">
        <f t="shared" si="4"/>
        <v/>
      </c>
      <c r="V257" s="1" t="str" cm="1">
        <f t="array" ref="V257">IF($BA254="","",IF(INDEX(tblServicios[Conductor],$BA254)=$T$2,"Conductor","Personal adicional"))</f>
        <v/>
      </c>
      <c r="BA257" s="33" t="str" cm="1">
        <f t="array" ref="BA2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adicional]=$T$2))&gt;0)),ROW(A258)),"")</f>
        <v/>
      </c>
    </row>
    <row r="258" spans="15:53" x14ac:dyDescent="0.35">
      <c r="O258" s="1" t="str" cm="1">
        <f t="array" ref="O258">IF($BA255="","",INDEX(tblServicios[Fecha],$BA255))</f>
        <v/>
      </c>
      <c r="P258" s="1" t="str" cm="1">
        <f t="array" ref="P258">IF($BA255="","",INDEX(tblServicios[Contrato],$BA255))</f>
        <v/>
      </c>
      <c r="Q258" s="1" t="str" cm="1">
        <f t="array" ref="Q258">IF($BA255="","",INDEX(tblServicios[Vehículo],$BA255))</f>
        <v/>
      </c>
      <c r="R258" s="34" t="str" cm="1">
        <f t="array" ref="R258">IF($BA255="","",INDEX(tblServicios[Base imponible (€)],$BA255)-INDEX(tblServicios[Imp. suplemento (€)],$BA255))</f>
        <v/>
      </c>
      <c r="S258" s="34" t="str" cm="1">
        <f t="array" ref="S258">IF($BA255="","",INDEX(tblServicios[Imp. suplemento (€)],$BA255))</f>
        <v/>
      </c>
      <c r="T258" t="str" cm="1">
        <f t="array" ref="T258">IF($BA255="","",INDEX(tblServicios[Tipo suplemento],$BA255))</f>
        <v/>
      </c>
      <c r="U258" s="34" t="str">
        <f t="shared" si="4"/>
        <v/>
      </c>
      <c r="V258" s="1" t="str" cm="1">
        <f t="array" ref="V258">IF($BA255="","",IF(INDEX(tblServicios[Conductor],$BA255)=$T$2,"Conductor","Personal adicional"))</f>
        <v/>
      </c>
      <c r="BA258" s="33" t="str" cm="1">
        <f t="array" ref="BA2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adicional]=$T$2))&gt;0)),ROW(A259)),"")</f>
        <v/>
      </c>
    </row>
    <row r="259" spans="15:53" x14ac:dyDescent="0.35">
      <c r="O259" s="1" t="str" cm="1">
        <f t="array" ref="O259">IF($BA256="","",INDEX(tblServicios[Fecha],$BA256))</f>
        <v/>
      </c>
      <c r="P259" s="1" t="str" cm="1">
        <f t="array" ref="P259">IF($BA256="","",INDEX(tblServicios[Contrato],$BA256))</f>
        <v/>
      </c>
      <c r="Q259" s="1" t="str" cm="1">
        <f t="array" ref="Q259">IF($BA256="","",INDEX(tblServicios[Vehículo],$BA256))</f>
        <v/>
      </c>
      <c r="R259" s="34" t="str" cm="1">
        <f t="array" ref="R259">IF($BA256="","",INDEX(tblServicios[Base imponible (€)],$BA256)-INDEX(tblServicios[Imp. suplemento (€)],$BA256))</f>
        <v/>
      </c>
      <c r="S259" s="34" t="str" cm="1">
        <f t="array" ref="S259">IF($BA256="","",INDEX(tblServicios[Imp. suplemento (€)],$BA256))</f>
        <v/>
      </c>
      <c r="T259" t="str" cm="1">
        <f t="array" ref="T259">IF($BA256="","",INDEX(tblServicios[Tipo suplemento],$BA256))</f>
        <v/>
      </c>
      <c r="U259" s="34" t="str">
        <f t="shared" si="4"/>
        <v/>
      </c>
      <c r="V259" s="1" t="str" cm="1">
        <f t="array" ref="V259">IF($BA256="","",IF(INDEX(tblServicios[Conductor],$BA256)=$T$2,"Conductor","Personal adicional"))</f>
        <v/>
      </c>
      <c r="BA259" s="33" t="str" cm="1">
        <f t="array" ref="BA2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adicional]=$T$2))&gt;0)),ROW(A260)),"")</f>
        <v/>
      </c>
    </row>
    <row r="260" spans="15:53" x14ac:dyDescent="0.35">
      <c r="O260" s="1" t="str" cm="1">
        <f t="array" ref="O260">IF($BA257="","",INDEX(tblServicios[Fecha],$BA257))</f>
        <v/>
      </c>
      <c r="P260" s="1" t="str" cm="1">
        <f t="array" ref="P260">IF($BA257="","",INDEX(tblServicios[Contrato],$BA257))</f>
        <v/>
      </c>
      <c r="Q260" s="1" t="str" cm="1">
        <f t="array" ref="Q260">IF($BA257="","",INDEX(tblServicios[Vehículo],$BA257))</f>
        <v/>
      </c>
      <c r="R260" s="34" t="str" cm="1">
        <f t="array" ref="R260">IF($BA257="","",INDEX(tblServicios[Base imponible (€)],$BA257)-INDEX(tblServicios[Imp. suplemento (€)],$BA257))</f>
        <v/>
      </c>
      <c r="S260" s="34" t="str" cm="1">
        <f t="array" ref="S260">IF($BA257="","",INDEX(tblServicios[Imp. suplemento (€)],$BA257))</f>
        <v/>
      </c>
      <c r="T260" t="str" cm="1">
        <f t="array" ref="T260">IF($BA257="","",INDEX(tblServicios[Tipo suplemento],$BA257))</f>
        <v/>
      </c>
      <c r="U260" s="34" t="str">
        <f t="shared" si="4"/>
        <v/>
      </c>
      <c r="V260" s="1" t="str" cm="1">
        <f t="array" ref="V260">IF($BA257="","",IF(INDEX(tblServicios[Conductor],$BA257)=$T$2,"Conductor","Personal adicional"))</f>
        <v/>
      </c>
      <c r="BA260" s="33" t="str" cm="1">
        <f t="array" ref="BA2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adicional]=$T$2))&gt;0)),ROW(A261)),"")</f>
        <v/>
      </c>
    </row>
    <row r="261" spans="15:53" x14ac:dyDescent="0.35">
      <c r="O261" s="1" t="str" cm="1">
        <f t="array" ref="O261">IF($BA258="","",INDEX(tblServicios[Fecha],$BA258))</f>
        <v/>
      </c>
      <c r="P261" s="1" t="str" cm="1">
        <f t="array" ref="P261">IF($BA258="","",INDEX(tblServicios[Contrato],$BA258))</f>
        <v/>
      </c>
      <c r="Q261" s="1" t="str" cm="1">
        <f t="array" ref="Q261">IF($BA258="","",INDEX(tblServicios[Vehículo],$BA258))</f>
        <v/>
      </c>
      <c r="R261" s="34" t="str" cm="1">
        <f t="array" ref="R261">IF($BA258="","",INDEX(tblServicios[Base imponible (€)],$BA258)-INDEX(tblServicios[Imp. suplemento (€)],$BA258))</f>
        <v/>
      </c>
      <c r="S261" s="34" t="str" cm="1">
        <f t="array" ref="S261">IF($BA258="","",INDEX(tblServicios[Imp. suplemento (€)],$BA258))</f>
        <v/>
      </c>
      <c r="T261" t="str" cm="1">
        <f t="array" ref="T261">IF($BA258="","",INDEX(tblServicios[Tipo suplemento],$BA258))</f>
        <v/>
      </c>
      <c r="U261" s="34" t="str">
        <f t="shared" si="4"/>
        <v/>
      </c>
      <c r="V261" s="1" t="str" cm="1">
        <f t="array" ref="V261">IF($BA258="","",IF(INDEX(tblServicios[Conductor],$BA258)=$T$2,"Conductor","Personal adicional"))</f>
        <v/>
      </c>
      <c r="BA261" s="33" t="str" cm="1">
        <f t="array" ref="BA2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adicional]=$T$2))&gt;0)),ROW(A262)),"")</f>
        <v/>
      </c>
    </row>
    <row r="262" spans="15:53" x14ac:dyDescent="0.35">
      <c r="O262" s="1" t="str" cm="1">
        <f t="array" ref="O262">IF($BA259="","",INDEX(tblServicios[Fecha],$BA259))</f>
        <v/>
      </c>
      <c r="P262" s="1" t="str" cm="1">
        <f t="array" ref="P262">IF($BA259="","",INDEX(tblServicios[Contrato],$BA259))</f>
        <v/>
      </c>
      <c r="Q262" s="1" t="str" cm="1">
        <f t="array" ref="Q262">IF($BA259="","",INDEX(tblServicios[Vehículo],$BA259))</f>
        <v/>
      </c>
      <c r="R262" s="34" t="str" cm="1">
        <f t="array" ref="R262">IF($BA259="","",INDEX(tblServicios[Base imponible (€)],$BA259)-INDEX(tblServicios[Imp. suplemento (€)],$BA259))</f>
        <v/>
      </c>
      <c r="S262" s="34" t="str" cm="1">
        <f t="array" ref="S262">IF($BA259="","",INDEX(tblServicios[Imp. suplemento (€)],$BA259))</f>
        <v/>
      </c>
      <c r="T262" s="1" t="str" cm="1">
        <f t="array" ref="T262">IF($BA259="","",INDEX(tblServicios[Tipo suplemento],$BA259))</f>
        <v/>
      </c>
      <c r="U262" s="34" t="str">
        <f t="shared" si="4"/>
        <v/>
      </c>
      <c r="V262" s="1" t="str" cm="1">
        <f t="array" ref="V262">IF($BA259="","",IF(INDEX(tblServicios[Conductor],$BA259)=$T$2,"Conductor","Personal adicional"))</f>
        <v/>
      </c>
      <c r="BA262" s="33" t="str" cm="1">
        <f t="array" ref="BA2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adicional]=$T$2))&gt;0)),ROW(A263)),"")</f>
        <v/>
      </c>
    </row>
    <row r="263" spans="15:53" x14ac:dyDescent="0.35">
      <c r="O263" s="1" t="str" cm="1">
        <f t="array" ref="O263">IF($BA260="","",INDEX(tblServicios[Fecha],$BA260))</f>
        <v/>
      </c>
      <c r="P263" s="1" t="str" cm="1">
        <f t="array" ref="P263">IF($BA260="","",INDEX(tblServicios[Contrato],$BA260))</f>
        <v/>
      </c>
      <c r="Q263" s="1" t="str" cm="1">
        <f t="array" ref="Q263">IF($BA260="","",INDEX(tblServicios[Vehículo],$BA260))</f>
        <v/>
      </c>
      <c r="R263" s="34" t="str" cm="1">
        <f t="array" ref="R263">IF($BA260="","",INDEX(tblServicios[Base imponible (€)],$BA260)-INDEX(tblServicios[Imp. suplemento (€)],$BA260))</f>
        <v/>
      </c>
      <c r="S263" s="34" t="str" cm="1">
        <f t="array" ref="S263">IF($BA260="","",INDEX(tblServicios[Imp. suplemento (€)],$BA260))</f>
        <v/>
      </c>
      <c r="T263" t="str" cm="1">
        <f t="array" ref="T263">IF($BA263="","",INDEX(tblServicios[Tipo suplemento],$BA263))</f>
        <v/>
      </c>
      <c r="U263" s="34" t="str">
        <f t="shared" ref="U263:U326" si="5">IF($BA260="","",R263+S263)</f>
        <v/>
      </c>
      <c r="V263" s="1" t="str" cm="1">
        <f t="array" ref="V263">IF($BA260="","",IF(INDEX(tblServicios[Conductor],$BA260)=$T$2,"Conductor","Personal adicional"))</f>
        <v/>
      </c>
      <c r="BA263" s="33" t="str" cm="1">
        <f t="array" ref="BA2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adicional]=$T$2))&gt;0)),ROW(A264)),"")</f>
        <v/>
      </c>
    </row>
    <row r="264" spans="15:53" x14ac:dyDescent="0.35">
      <c r="O264" s="1" t="str" cm="1">
        <f t="array" ref="O264">IF($BA261="","",INDEX(tblServicios[Fecha],$BA261))</f>
        <v/>
      </c>
      <c r="P264" s="1" t="str" cm="1">
        <f t="array" ref="P264">IF($BA261="","",INDEX(tblServicios[Contrato],$BA261))</f>
        <v/>
      </c>
      <c r="Q264" s="1" t="str" cm="1">
        <f t="array" ref="Q264">IF($BA261="","",INDEX(tblServicios[Vehículo],$BA261))</f>
        <v/>
      </c>
      <c r="R264" s="34" t="str" cm="1">
        <f t="array" ref="R264">IF($BA261="","",INDEX(tblServicios[Base imponible (€)],$BA261)-INDEX(tblServicios[Imp. suplemento (€)],$BA261))</f>
        <v/>
      </c>
      <c r="S264" s="34" t="str" cm="1">
        <f t="array" ref="S264">IF($BA261="","",INDEX(tblServicios[Imp. suplemento (€)],$BA261))</f>
        <v/>
      </c>
      <c r="T264" t="str" cm="1">
        <f t="array" ref="T264">IF($BA264="","",INDEX(tblServicios[Tipo suplemento],$BA264))</f>
        <v/>
      </c>
      <c r="U264" s="34" t="str">
        <f t="shared" si="5"/>
        <v/>
      </c>
      <c r="V264" s="1" t="str" cm="1">
        <f t="array" ref="V264">IF($BA261="","",IF(INDEX(tblServicios[Conductor],$BA261)=$T$2,"Conductor","Personal adicional"))</f>
        <v/>
      </c>
      <c r="BA264" s="33" t="str" cm="1">
        <f t="array" ref="BA2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adicional]=$T$2))&gt;0)),ROW(A265)),"")</f>
        <v/>
      </c>
    </row>
    <row r="265" spans="15:53" x14ac:dyDescent="0.35">
      <c r="O265" s="1" t="str" cm="1">
        <f t="array" ref="O265">IF($BA262="","",INDEX(tblServicios[Fecha],$BA262))</f>
        <v/>
      </c>
      <c r="P265" s="1" t="str" cm="1">
        <f t="array" ref="P265">IF($BA262="","",INDEX(tblServicios[Contrato],$BA262))</f>
        <v/>
      </c>
      <c r="Q265" s="1" t="str" cm="1">
        <f t="array" ref="Q265">IF($BA262="","",INDEX(tblServicios[Vehículo],$BA262))</f>
        <v/>
      </c>
      <c r="R265" s="34" t="str" cm="1">
        <f t="array" ref="R265">IF($BA262="","",INDEX(tblServicios[Base imponible (€)],$BA262)-INDEX(tblServicios[Imp. suplemento (€)],$BA262))</f>
        <v/>
      </c>
      <c r="S265" s="34" t="str" cm="1">
        <f t="array" ref="S265">IF($BA262="","",INDEX(tblServicios[Imp. suplemento (€)],$BA262))</f>
        <v/>
      </c>
      <c r="T265" t="str" cm="1">
        <f t="array" ref="T265">IF($BA265="","",INDEX(tblServicios[Tipo suplemento],$BA265))</f>
        <v/>
      </c>
      <c r="U265" s="34" t="str">
        <f t="shared" si="5"/>
        <v/>
      </c>
      <c r="V265" s="1" t="str" cm="1">
        <f t="array" ref="V265">IF($BA262="","",IF(INDEX(tblServicios[Conductor],$BA262)=$T$2,"Conductor","Personal adicional"))</f>
        <v/>
      </c>
      <c r="BA265" s="33" t="str" cm="1">
        <f t="array" ref="BA2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adicional]=$T$2))&gt;0)),ROW(A266)),"")</f>
        <v/>
      </c>
    </row>
    <row r="266" spans="15:53" x14ac:dyDescent="0.35">
      <c r="O266" s="1" t="str" cm="1">
        <f t="array" ref="O266">IF($BA263="","",INDEX(tblServicios[Fecha],$BA263))</f>
        <v/>
      </c>
      <c r="P266" s="1" t="str" cm="1">
        <f t="array" ref="P266">IF($BA263="","",INDEX(tblServicios[Contrato],$BA263))</f>
        <v/>
      </c>
      <c r="Q266" s="1" t="str" cm="1">
        <f t="array" ref="Q266">IF($BA263="","",INDEX(tblServicios[Vehículo],$BA263))</f>
        <v/>
      </c>
      <c r="R266" s="34" t="str" cm="1">
        <f t="array" ref="R266">IF($BA263="","",INDEX(tblServicios[Base imponible (€)],$BA263)-INDEX(tblServicios[Imp. suplemento (€)],$BA263))</f>
        <v/>
      </c>
      <c r="S266" s="34" t="str" cm="1">
        <f t="array" ref="S266">IF($BA263="","",INDEX(tblServicios[Imp. suplemento (€)],$BA263))</f>
        <v/>
      </c>
      <c r="T266" t="str" cm="1">
        <f t="array" ref="T266">IF($BA266="","",INDEX(tblServicios[Tipo suplemento],$BA266))</f>
        <v/>
      </c>
      <c r="U266" s="34" t="str">
        <f t="shared" si="5"/>
        <v/>
      </c>
      <c r="V266" s="1" t="str" cm="1">
        <f t="array" ref="V266">IF($BA263="","",IF(INDEX(tblServicios[Conductor],$BA263)=$T$2,"Conductor","Personal adicional"))</f>
        <v/>
      </c>
      <c r="BA266" s="33" t="str" cm="1">
        <f t="array" ref="BA2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adicional]=$T$2))&gt;0)),ROW(A267)),"")</f>
        <v/>
      </c>
    </row>
    <row r="267" spans="15:53" x14ac:dyDescent="0.35">
      <c r="O267" s="1" t="str" cm="1">
        <f t="array" ref="O267">IF($BA264="","",INDEX(tblServicios[Fecha],$BA264))</f>
        <v/>
      </c>
      <c r="P267" s="1" t="str" cm="1">
        <f t="array" ref="P267">IF($BA264="","",INDEX(tblServicios[Contrato],$BA264))</f>
        <v/>
      </c>
      <c r="Q267" s="1" t="str" cm="1">
        <f t="array" ref="Q267">IF($BA264="","",INDEX(tblServicios[Vehículo],$BA264))</f>
        <v/>
      </c>
      <c r="R267" s="34" t="str" cm="1">
        <f t="array" ref="R267">IF($BA264="","",INDEX(tblServicios[Base imponible (€)],$BA264)-INDEX(tblServicios[Imp. suplemento (€)],$BA264))</f>
        <v/>
      </c>
      <c r="S267" s="34" t="str" cm="1">
        <f t="array" ref="S267">IF($BA264="","",INDEX(tblServicios[Imp. suplemento (€)],$BA264))</f>
        <v/>
      </c>
      <c r="T267" t="str" cm="1">
        <f t="array" ref="T267">IF($BA267="","",INDEX(tblServicios[Tipo suplemento],$BA267))</f>
        <v/>
      </c>
      <c r="U267" s="34" t="str">
        <f t="shared" si="5"/>
        <v/>
      </c>
      <c r="V267" s="1" t="str" cm="1">
        <f t="array" ref="V267">IF($BA264="","",IF(INDEX(tblServicios[Conductor],$BA264)=$T$2,"Conductor","Personal adicional"))</f>
        <v/>
      </c>
      <c r="BA267" s="33" t="str" cm="1">
        <f t="array" ref="BA2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adicional]=$T$2))&gt;0)),ROW(A268)),"")</f>
        <v/>
      </c>
    </row>
    <row r="268" spans="15:53" x14ac:dyDescent="0.35">
      <c r="O268" s="1" t="str" cm="1">
        <f t="array" ref="O268">IF($BA265="","",INDEX(tblServicios[Fecha],$BA265))</f>
        <v/>
      </c>
      <c r="P268" s="1" t="str" cm="1">
        <f t="array" ref="P268">IF($BA265="","",INDEX(tblServicios[Contrato],$BA265))</f>
        <v/>
      </c>
      <c r="Q268" s="1" t="str" cm="1">
        <f t="array" ref="Q268">IF($BA265="","",INDEX(tblServicios[Vehículo],$BA265))</f>
        <v/>
      </c>
      <c r="R268" s="34" t="str" cm="1">
        <f t="array" ref="R268">IF($BA265="","",INDEX(tblServicios[Base imponible (€)],$BA265)-INDEX(tblServicios[Imp. suplemento (€)],$BA265))</f>
        <v/>
      </c>
      <c r="S268" s="34" t="str" cm="1">
        <f t="array" ref="S268">IF($BA265="","",INDEX(tblServicios[Imp. suplemento (€)],$BA265))</f>
        <v/>
      </c>
      <c r="T268" t="str" cm="1">
        <f t="array" ref="T268">IF($BA268="","",INDEX(tblServicios[Tipo suplemento],$BA268))</f>
        <v/>
      </c>
      <c r="U268" s="34" t="str">
        <f t="shared" si="5"/>
        <v/>
      </c>
      <c r="V268" s="1" t="str" cm="1">
        <f t="array" ref="V268">IF($BA265="","",IF(INDEX(tblServicios[Conductor],$BA265)=$T$2,"Conductor","Personal adicional"))</f>
        <v/>
      </c>
      <c r="BA268" s="33" t="str" cm="1">
        <f t="array" ref="BA2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adicional]=$T$2))&gt;0)),ROW(A269)),"")</f>
        <v/>
      </c>
    </row>
    <row r="269" spans="15:53" x14ac:dyDescent="0.35">
      <c r="O269" s="1" t="str" cm="1">
        <f t="array" ref="O269">IF($BA266="","",INDEX(tblServicios[Fecha],$BA266))</f>
        <v/>
      </c>
      <c r="P269" s="1" t="str" cm="1">
        <f t="array" ref="P269">IF($BA266="","",INDEX(tblServicios[Contrato],$BA266))</f>
        <v/>
      </c>
      <c r="Q269" s="1" t="str" cm="1">
        <f t="array" ref="Q269">IF($BA266="","",INDEX(tblServicios[Vehículo],$BA266))</f>
        <v/>
      </c>
      <c r="R269" s="34" t="str" cm="1">
        <f t="array" ref="R269">IF($BA266="","",INDEX(tblServicios[Base imponible (€)],$BA266)-INDEX(tblServicios[Imp. suplemento (€)],$BA266))</f>
        <v/>
      </c>
      <c r="S269" s="34" t="str" cm="1">
        <f t="array" ref="S269">IF($BA266="","",INDEX(tblServicios[Imp. suplemento (€)],$BA266))</f>
        <v/>
      </c>
      <c r="T269" t="str" cm="1">
        <f t="array" ref="T269">IF($BA269="","",INDEX(tblServicios[Tipo suplemento],$BA269))</f>
        <v/>
      </c>
      <c r="U269" s="34" t="str">
        <f t="shared" si="5"/>
        <v/>
      </c>
      <c r="V269" s="1" t="str" cm="1">
        <f t="array" ref="V269">IF($BA266="","",IF(INDEX(tblServicios[Conductor],$BA266)=$T$2,"Conductor","Personal adicional"))</f>
        <v/>
      </c>
      <c r="BA269" s="33" t="str" cm="1">
        <f t="array" ref="BA2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adicional]=$T$2))&gt;0)),ROW(A270)),"")</f>
        <v/>
      </c>
    </row>
    <row r="270" spans="15:53" x14ac:dyDescent="0.35">
      <c r="O270" s="1" t="str" cm="1">
        <f t="array" ref="O270">IF($BA267="","",INDEX(tblServicios[Fecha],$BA267))</f>
        <v/>
      </c>
      <c r="P270" s="1" t="str" cm="1">
        <f t="array" ref="P270">IF($BA267="","",INDEX(tblServicios[Contrato],$BA267))</f>
        <v/>
      </c>
      <c r="Q270" s="1" t="str" cm="1">
        <f t="array" ref="Q270">IF($BA267="","",INDEX(tblServicios[Vehículo],$BA267))</f>
        <v/>
      </c>
      <c r="R270" s="34" t="str" cm="1">
        <f t="array" ref="R270">IF($BA267="","",INDEX(tblServicios[Base imponible (€)],$BA267)-INDEX(tblServicios[Imp. suplemento (€)],$BA267))</f>
        <v/>
      </c>
      <c r="S270" s="34" t="str" cm="1">
        <f t="array" ref="S270">IF($BA267="","",INDEX(tblServicios[Imp. suplemento (€)],$BA267))</f>
        <v/>
      </c>
      <c r="T270" t="str" cm="1">
        <f t="array" ref="T270">IF($BA270="","",INDEX(tblServicios[Tipo suplemento],$BA270))</f>
        <v/>
      </c>
      <c r="U270" s="34" t="str">
        <f t="shared" si="5"/>
        <v/>
      </c>
      <c r="V270" s="1" t="str" cm="1">
        <f t="array" ref="V270">IF($BA267="","",IF(INDEX(tblServicios[Conductor],$BA267)=$T$2,"Conductor","Personal adicional"))</f>
        <v/>
      </c>
      <c r="BA270" s="33" t="str" cm="1">
        <f t="array" ref="BA2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adicional]=$T$2))&gt;0)),ROW(A271)),"")</f>
        <v/>
      </c>
    </row>
    <row r="271" spans="15:53" x14ac:dyDescent="0.35">
      <c r="O271" s="1" t="str" cm="1">
        <f t="array" ref="O271">IF($BA268="","",INDEX(tblServicios[Fecha],$BA268))</f>
        <v/>
      </c>
      <c r="P271" s="1" t="str" cm="1">
        <f t="array" ref="P271">IF($BA268="","",INDEX(tblServicios[Contrato],$BA268))</f>
        <v/>
      </c>
      <c r="Q271" s="1" t="str" cm="1">
        <f t="array" ref="Q271">IF($BA268="","",INDEX(tblServicios[Vehículo],$BA268))</f>
        <v/>
      </c>
      <c r="R271" s="34" t="str" cm="1">
        <f t="array" ref="R271">IF($BA268="","",INDEX(tblServicios[Base imponible (€)],$BA268)-INDEX(tblServicios[Imp. suplemento (€)],$BA268))</f>
        <v/>
      </c>
      <c r="S271" s="34" t="str" cm="1">
        <f t="array" ref="S271">IF($BA268="","",INDEX(tblServicios[Imp. suplemento (€)],$BA268))</f>
        <v/>
      </c>
      <c r="T271" t="str" cm="1">
        <f t="array" ref="T271">IF($BA271="","",INDEX(tblServicios[Tipo suplemento],$BA271))</f>
        <v/>
      </c>
      <c r="U271" s="34" t="str">
        <f t="shared" si="5"/>
        <v/>
      </c>
      <c r="V271" s="1" t="str" cm="1">
        <f t="array" ref="V271">IF($BA268="","",IF(INDEX(tblServicios[Conductor],$BA268)=$T$2,"Conductor","Personal adicional"))</f>
        <v/>
      </c>
      <c r="BA271" s="33" t="str" cm="1">
        <f t="array" ref="BA2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adicional]=$T$2))&gt;0)),ROW(A272)),"")</f>
        <v/>
      </c>
    </row>
    <row r="272" spans="15:53" x14ac:dyDescent="0.35">
      <c r="O272" s="1" t="str" cm="1">
        <f t="array" ref="O272">IF($BA269="","",INDEX(tblServicios[Fecha],$BA269))</f>
        <v/>
      </c>
      <c r="P272" s="1" t="str" cm="1">
        <f t="array" ref="P272">IF($BA269="","",INDEX(tblServicios[Contrato],$BA269))</f>
        <v/>
      </c>
      <c r="Q272" s="1" t="str" cm="1">
        <f t="array" ref="Q272">IF($BA269="","",INDEX(tblServicios[Vehículo],$BA269))</f>
        <v/>
      </c>
      <c r="R272" s="34" t="str" cm="1">
        <f t="array" ref="R272">IF($BA269="","",INDEX(tblServicios[Base imponible (€)],$BA269)-INDEX(tblServicios[Imp. suplemento (€)],$BA269))</f>
        <v/>
      </c>
      <c r="S272" s="34" t="str" cm="1">
        <f t="array" ref="S272">IF($BA269="","",INDEX(tblServicios[Imp. suplemento (€)],$BA269))</f>
        <v/>
      </c>
      <c r="T272" t="str" cm="1">
        <f t="array" ref="T272">IF($BA272="","",INDEX(tblServicios[Tipo suplemento],$BA272))</f>
        <v/>
      </c>
      <c r="U272" s="34" t="str">
        <f t="shared" si="5"/>
        <v/>
      </c>
      <c r="V272" s="1" t="str" cm="1">
        <f t="array" ref="V272">IF($BA269="","",IF(INDEX(tblServicios[Conductor],$BA269)=$T$2,"Conductor","Personal adicional"))</f>
        <v/>
      </c>
      <c r="BA272" s="33" t="str" cm="1">
        <f t="array" ref="BA2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adicional]=$T$2))&gt;0)),ROW(A273)),"")</f>
        <v/>
      </c>
    </row>
    <row r="273" spans="15:53" x14ac:dyDescent="0.35">
      <c r="O273" s="1" t="str" cm="1">
        <f t="array" ref="O273">IF($BA270="","",INDEX(tblServicios[Fecha],$BA270))</f>
        <v/>
      </c>
      <c r="P273" s="1" t="str" cm="1">
        <f t="array" ref="P273">IF($BA270="","",INDEX(tblServicios[Contrato],$BA270))</f>
        <v/>
      </c>
      <c r="Q273" s="1" t="str" cm="1">
        <f t="array" ref="Q273">IF($BA270="","",INDEX(tblServicios[Vehículo],$BA270))</f>
        <v/>
      </c>
      <c r="R273" s="34" t="str" cm="1">
        <f t="array" ref="R273">IF($BA270="","",INDEX(tblServicios[Base imponible (€)],$BA270)-INDEX(tblServicios[Imp. suplemento (€)],$BA270))</f>
        <v/>
      </c>
      <c r="S273" s="34" t="str" cm="1">
        <f t="array" ref="S273">IF($BA270="","",INDEX(tblServicios[Imp. suplemento (€)],$BA270))</f>
        <v/>
      </c>
      <c r="T273" t="str" cm="1">
        <f t="array" ref="T273">IF($BA273="","",INDEX(tblServicios[Tipo suplemento],$BA273))</f>
        <v/>
      </c>
      <c r="U273" s="34" t="str">
        <f t="shared" si="5"/>
        <v/>
      </c>
      <c r="V273" s="1" t="str" cm="1">
        <f t="array" ref="V273">IF($BA270="","",IF(INDEX(tblServicios[Conductor],$BA270)=$T$2,"Conductor","Personal adicional"))</f>
        <v/>
      </c>
      <c r="BA273" s="33" t="str" cm="1">
        <f t="array" ref="BA2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adicional]=$T$2))&gt;0)),ROW(A274)),"")</f>
        <v/>
      </c>
    </row>
    <row r="274" spans="15:53" x14ac:dyDescent="0.35">
      <c r="O274" s="1" t="str" cm="1">
        <f t="array" ref="O274">IF($BA271="","",INDEX(tblServicios[Fecha],$BA271))</f>
        <v/>
      </c>
      <c r="P274" s="1" t="str" cm="1">
        <f t="array" ref="P274">IF($BA271="","",INDEX(tblServicios[Contrato],$BA271))</f>
        <v/>
      </c>
      <c r="Q274" s="1" t="str" cm="1">
        <f t="array" ref="Q274">IF($BA271="","",INDEX(tblServicios[Vehículo],$BA271))</f>
        <v/>
      </c>
      <c r="R274" s="34" t="str" cm="1">
        <f t="array" ref="R274">IF($BA271="","",INDEX(tblServicios[Base imponible (€)],$BA271)-INDEX(tblServicios[Imp. suplemento (€)],$BA271))</f>
        <v/>
      </c>
      <c r="S274" s="34" t="str" cm="1">
        <f t="array" ref="S274">IF($BA271="","",INDEX(tblServicios[Imp. suplemento (€)],$BA271))</f>
        <v/>
      </c>
      <c r="T274" t="str" cm="1">
        <f t="array" ref="T274">IF($BA274="","",INDEX(tblServicios[Tipo suplemento],$BA274))</f>
        <v/>
      </c>
      <c r="U274" s="34" t="str">
        <f t="shared" si="5"/>
        <v/>
      </c>
      <c r="V274" s="1" t="str" cm="1">
        <f t="array" ref="V274">IF($BA271="","",IF(INDEX(tblServicios[Conductor],$BA271)=$T$2,"Conductor","Personal adicional"))</f>
        <v/>
      </c>
      <c r="BA274" s="33" t="str" cm="1">
        <f t="array" ref="BA2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adicional]=$T$2))&gt;0)),ROW(A275)),"")</f>
        <v/>
      </c>
    </row>
    <row r="275" spans="15:53" x14ac:dyDescent="0.35">
      <c r="O275" s="1" t="str" cm="1">
        <f t="array" ref="O275">IF($BA272="","",INDEX(tblServicios[Fecha],$BA272))</f>
        <v/>
      </c>
      <c r="P275" s="1" t="str" cm="1">
        <f t="array" ref="P275">IF($BA272="","",INDEX(tblServicios[Contrato],$BA272))</f>
        <v/>
      </c>
      <c r="Q275" s="1" t="str" cm="1">
        <f t="array" ref="Q275">IF($BA272="","",INDEX(tblServicios[Vehículo],$BA272))</f>
        <v/>
      </c>
      <c r="R275" s="34" t="str" cm="1">
        <f t="array" ref="R275">IF($BA272="","",INDEX(tblServicios[Base imponible (€)],$BA272)-INDEX(tblServicios[Imp. suplemento (€)],$BA272))</f>
        <v/>
      </c>
      <c r="S275" s="34" t="str" cm="1">
        <f t="array" ref="S275">IF($BA272="","",INDEX(tblServicios[Imp. suplemento (€)],$BA272))</f>
        <v/>
      </c>
      <c r="T275" t="str" cm="1">
        <f t="array" ref="T275">IF($BA275="","",INDEX(tblServicios[Tipo suplemento],$BA275))</f>
        <v/>
      </c>
      <c r="U275" s="34" t="str">
        <f t="shared" si="5"/>
        <v/>
      </c>
      <c r="V275" s="1" t="str" cm="1">
        <f t="array" ref="V275">IF($BA272="","",IF(INDEX(tblServicios[Conductor],$BA272)=$T$2,"Conductor","Personal adicional"))</f>
        <v/>
      </c>
      <c r="BA275" s="33" t="str" cm="1">
        <f t="array" ref="BA2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adicional]=$T$2))&gt;0)),ROW(A276)),"")</f>
        <v/>
      </c>
    </row>
    <row r="276" spans="15:53" x14ac:dyDescent="0.35">
      <c r="O276" s="1" t="str" cm="1">
        <f t="array" ref="O276">IF($BA273="","",INDEX(tblServicios[Fecha],$BA273))</f>
        <v/>
      </c>
      <c r="P276" s="1" t="str" cm="1">
        <f t="array" ref="P276">IF($BA273="","",INDEX(tblServicios[Contrato],$BA273))</f>
        <v/>
      </c>
      <c r="Q276" s="1" t="str" cm="1">
        <f t="array" ref="Q276">IF($BA273="","",INDEX(tblServicios[Vehículo],$BA273))</f>
        <v/>
      </c>
      <c r="R276" s="34" t="str" cm="1">
        <f t="array" ref="R276">IF($BA273="","",INDEX(tblServicios[Base imponible (€)],$BA273)-INDEX(tblServicios[Imp. suplemento (€)],$BA273))</f>
        <v/>
      </c>
      <c r="S276" s="34" t="str" cm="1">
        <f t="array" ref="S276">IF($BA273="","",INDEX(tblServicios[Imp. suplemento (€)],$BA273))</f>
        <v/>
      </c>
      <c r="T276" t="str" cm="1">
        <f t="array" ref="T276">IF($BA276="","",INDEX(tblServicios[Tipo suplemento],$BA276))</f>
        <v/>
      </c>
      <c r="U276" s="34" t="str">
        <f t="shared" si="5"/>
        <v/>
      </c>
      <c r="V276" s="1" t="str" cm="1">
        <f t="array" ref="V276">IF($BA273="","",IF(INDEX(tblServicios[Conductor],$BA273)=$T$2,"Conductor","Personal adicional"))</f>
        <v/>
      </c>
      <c r="BA276" s="33" t="str" cm="1">
        <f t="array" ref="BA2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adicional]=$T$2))&gt;0)),ROW(A277)),"")</f>
        <v/>
      </c>
    </row>
    <row r="277" spans="15:53" x14ac:dyDescent="0.35">
      <c r="O277" s="1" t="str" cm="1">
        <f t="array" ref="O277">IF($BA274="","",INDEX(tblServicios[Fecha],$BA274))</f>
        <v/>
      </c>
      <c r="P277" s="1" t="str" cm="1">
        <f t="array" ref="P277">IF($BA274="","",INDEX(tblServicios[Contrato],$BA274))</f>
        <v/>
      </c>
      <c r="Q277" s="1" t="str" cm="1">
        <f t="array" ref="Q277">IF($BA274="","",INDEX(tblServicios[Vehículo],$BA274))</f>
        <v/>
      </c>
      <c r="R277" s="34" t="str" cm="1">
        <f t="array" ref="R277">IF($BA274="","",INDEX(tblServicios[Base imponible (€)],$BA274)-INDEX(tblServicios[Imp. suplemento (€)],$BA274))</f>
        <v/>
      </c>
      <c r="S277" s="34" t="str" cm="1">
        <f t="array" ref="S277">IF($BA274="","",INDEX(tblServicios[Imp. suplemento (€)],$BA274))</f>
        <v/>
      </c>
      <c r="T277" t="str" cm="1">
        <f t="array" ref="T277">IF($BA277="","",INDEX(tblServicios[Tipo suplemento],$BA277))</f>
        <v/>
      </c>
      <c r="U277" s="34" t="str">
        <f t="shared" si="5"/>
        <v/>
      </c>
      <c r="V277" s="1" t="str" cm="1">
        <f t="array" ref="V277">IF($BA274="","",IF(INDEX(tblServicios[Conductor],$BA274)=$T$2,"Conductor","Personal adicional"))</f>
        <v/>
      </c>
      <c r="BA277" s="33" t="str" cm="1">
        <f t="array" ref="BA2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adicional]=$T$2))&gt;0)),ROW(A278)),"")</f>
        <v/>
      </c>
    </row>
    <row r="278" spans="15:53" x14ac:dyDescent="0.35">
      <c r="O278" s="1" t="str" cm="1">
        <f t="array" ref="O278">IF($BA275="","",INDEX(tblServicios[Fecha],$BA275))</f>
        <v/>
      </c>
      <c r="P278" s="1" t="str" cm="1">
        <f t="array" ref="P278">IF($BA275="","",INDEX(tblServicios[Contrato],$BA275))</f>
        <v/>
      </c>
      <c r="Q278" s="1" t="str" cm="1">
        <f t="array" ref="Q278">IF($BA275="","",INDEX(tblServicios[Vehículo],$BA275))</f>
        <v/>
      </c>
      <c r="R278" s="34" t="str" cm="1">
        <f t="array" ref="R278">IF($BA275="","",INDEX(tblServicios[Base imponible (€)],$BA275)-INDEX(tblServicios[Imp. suplemento (€)],$BA275))</f>
        <v/>
      </c>
      <c r="S278" s="34" t="str" cm="1">
        <f t="array" ref="S278">IF($BA275="","",INDEX(tblServicios[Imp. suplemento (€)],$BA275))</f>
        <v/>
      </c>
      <c r="T278" t="str" cm="1">
        <f t="array" ref="T278">IF($BA278="","",INDEX(tblServicios[Tipo suplemento],$BA278))</f>
        <v/>
      </c>
      <c r="U278" s="34" t="str">
        <f t="shared" si="5"/>
        <v/>
      </c>
      <c r="V278" s="1" t="str" cm="1">
        <f t="array" ref="V278">IF($BA275="","",IF(INDEX(tblServicios[Conductor],$BA275)=$T$2,"Conductor","Personal adicional"))</f>
        <v/>
      </c>
      <c r="BA278" s="33" t="str" cm="1">
        <f t="array" ref="BA2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adicional]=$T$2))&gt;0)),ROW(A279)),"")</f>
        <v/>
      </c>
    </row>
    <row r="279" spans="15:53" x14ac:dyDescent="0.35">
      <c r="O279" s="1" t="str" cm="1">
        <f t="array" ref="O279">IF($BA276="","",INDEX(tblServicios[Fecha],$BA276))</f>
        <v/>
      </c>
      <c r="P279" s="1" t="str" cm="1">
        <f t="array" ref="P279">IF($BA276="","",INDEX(tblServicios[Contrato],$BA276))</f>
        <v/>
      </c>
      <c r="Q279" s="1" t="str" cm="1">
        <f t="array" ref="Q279">IF($BA276="","",INDEX(tblServicios[Vehículo],$BA276))</f>
        <v/>
      </c>
      <c r="R279" s="34" t="str" cm="1">
        <f t="array" ref="R279">IF($BA276="","",INDEX(tblServicios[Base imponible (€)],$BA276)-INDEX(tblServicios[Imp. suplemento (€)],$BA276))</f>
        <v/>
      </c>
      <c r="S279" s="34" t="str" cm="1">
        <f t="array" ref="S279">IF($BA276="","",INDEX(tblServicios[Imp. suplemento (€)],$BA276))</f>
        <v/>
      </c>
      <c r="T279" t="str" cm="1">
        <f t="array" ref="T279">IF($BA279="","",INDEX(tblServicios[Tipo suplemento],$BA279))</f>
        <v/>
      </c>
      <c r="U279" s="34" t="str">
        <f t="shared" si="5"/>
        <v/>
      </c>
      <c r="V279" s="1" t="str" cm="1">
        <f t="array" ref="V279">IF($BA276="","",IF(INDEX(tblServicios[Conductor],$BA276)=$T$2,"Conductor","Personal adicional"))</f>
        <v/>
      </c>
      <c r="BA279" s="33" t="str" cm="1">
        <f t="array" ref="BA2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adicional]=$T$2))&gt;0)),ROW(A280)),"")</f>
        <v/>
      </c>
    </row>
    <row r="280" spans="15:53" x14ac:dyDescent="0.35">
      <c r="O280" s="1" t="str" cm="1">
        <f t="array" ref="O280">IF($BA277="","",INDEX(tblServicios[Fecha],$BA277))</f>
        <v/>
      </c>
      <c r="P280" s="1" t="str" cm="1">
        <f t="array" ref="P280">IF($BA277="","",INDEX(tblServicios[Contrato],$BA277))</f>
        <v/>
      </c>
      <c r="Q280" s="1" t="str" cm="1">
        <f t="array" ref="Q280">IF($BA277="","",INDEX(tblServicios[Vehículo],$BA277))</f>
        <v/>
      </c>
      <c r="R280" s="34" t="str" cm="1">
        <f t="array" ref="R280">IF($BA277="","",INDEX(tblServicios[Base imponible (€)],$BA277)-INDEX(tblServicios[Imp. suplemento (€)],$BA277))</f>
        <v/>
      </c>
      <c r="S280" s="34" t="str" cm="1">
        <f t="array" ref="S280">IF($BA277="","",INDEX(tblServicios[Imp. suplemento (€)],$BA277))</f>
        <v/>
      </c>
      <c r="T280" t="str" cm="1">
        <f t="array" ref="T280">IF($BA280="","",INDEX(tblServicios[Tipo suplemento],$BA280))</f>
        <v/>
      </c>
      <c r="U280" s="34" t="str">
        <f t="shared" si="5"/>
        <v/>
      </c>
      <c r="V280" s="1" t="str" cm="1">
        <f t="array" ref="V280">IF($BA277="","",IF(INDEX(tblServicios[Conductor],$BA277)=$T$2,"Conductor","Personal adicional"))</f>
        <v/>
      </c>
      <c r="BA280" s="33" t="str" cm="1">
        <f t="array" ref="BA2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adicional]=$T$2))&gt;0)),ROW(A281)),"")</f>
        <v/>
      </c>
    </row>
    <row r="281" spans="15:53" x14ac:dyDescent="0.35">
      <c r="O281" s="1" t="str" cm="1">
        <f t="array" ref="O281">IF($BA278="","",INDEX(tblServicios[Fecha],$BA278))</f>
        <v/>
      </c>
      <c r="P281" s="1" t="str" cm="1">
        <f t="array" ref="P281">IF($BA278="","",INDEX(tblServicios[Contrato],$BA278))</f>
        <v/>
      </c>
      <c r="Q281" s="1" t="str" cm="1">
        <f t="array" ref="Q281">IF($BA278="","",INDEX(tblServicios[Vehículo],$BA278))</f>
        <v/>
      </c>
      <c r="R281" s="34" t="str" cm="1">
        <f t="array" ref="R281">IF($BA278="","",INDEX(tblServicios[Base imponible (€)],$BA278)-INDEX(tblServicios[Imp. suplemento (€)],$BA278))</f>
        <v/>
      </c>
      <c r="S281" s="34" t="str" cm="1">
        <f t="array" ref="S281">IF($BA278="","",INDEX(tblServicios[Imp. suplemento (€)],$BA278))</f>
        <v/>
      </c>
      <c r="T281" t="str" cm="1">
        <f t="array" ref="T281">IF($BA281="","",INDEX(tblServicios[Tipo suplemento],$BA281))</f>
        <v/>
      </c>
      <c r="U281" s="34" t="str">
        <f t="shared" si="5"/>
        <v/>
      </c>
      <c r="V281" s="1" t="str" cm="1">
        <f t="array" ref="V281">IF($BA278="","",IF(INDEX(tblServicios[Conductor],$BA278)=$T$2,"Conductor","Personal adicional"))</f>
        <v/>
      </c>
      <c r="BA281" s="33" t="str" cm="1">
        <f t="array" ref="BA2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adicional]=$T$2))&gt;0)),ROW(A282)),"")</f>
        <v/>
      </c>
    </row>
    <row r="282" spans="15:53" x14ac:dyDescent="0.35">
      <c r="O282" s="1" t="str" cm="1">
        <f t="array" ref="O282">IF($BA279="","",INDEX(tblServicios[Fecha],$BA279))</f>
        <v/>
      </c>
      <c r="P282" s="1" t="str" cm="1">
        <f t="array" ref="P282">IF($BA279="","",INDEX(tblServicios[Contrato],$BA279))</f>
        <v/>
      </c>
      <c r="Q282" s="1" t="str" cm="1">
        <f t="array" ref="Q282">IF($BA279="","",INDEX(tblServicios[Vehículo],$BA279))</f>
        <v/>
      </c>
      <c r="R282" s="34" t="str" cm="1">
        <f t="array" ref="R282">IF($BA279="","",INDEX(tblServicios[Base imponible (€)],$BA279)-INDEX(tblServicios[Imp. suplemento (€)],$BA279))</f>
        <v/>
      </c>
      <c r="S282" s="34" t="str" cm="1">
        <f t="array" ref="S282">IF($BA279="","",INDEX(tblServicios[Imp. suplemento (€)],$BA279))</f>
        <v/>
      </c>
      <c r="T282" t="str" cm="1">
        <f t="array" ref="T282">IF($BA282="","",INDEX(tblServicios[Tipo suplemento],$BA282))</f>
        <v/>
      </c>
      <c r="U282" s="34" t="str">
        <f t="shared" si="5"/>
        <v/>
      </c>
      <c r="V282" s="1" t="str" cm="1">
        <f t="array" ref="V282">IF($BA279="","",IF(INDEX(tblServicios[Conductor],$BA279)=$T$2,"Conductor","Personal adicional"))</f>
        <v/>
      </c>
      <c r="BA282" s="33" t="str" cm="1">
        <f t="array" ref="BA2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adicional]=$T$2))&gt;0)),ROW(A283)),"")</f>
        <v/>
      </c>
    </row>
    <row r="283" spans="15:53" x14ac:dyDescent="0.35">
      <c r="O283" s="1" t="str" cm="1">
        <f t="array" ref="O283">IF($BA280="","",INDEX(tblServicios[Fecha],$BA280))</f>
        <v/>
      </c>
      <c r="P283" s="1" t="str" cm="1">
        <f t="array" ref="P283">IF($BA280="","",INDEX(tblServicios[Contrato],$BA280))</f>
        <v/>
      </c>
      <c r="Q283" s="1" t="str" cm="1">
        <f t="array" ref="Q283">IF($BA280="","",INDEX(tblServicios[Vehículo],$BA280))</f>
        <v/>
      </c>
      <c r="R283" s="34" t="str" cm="1">
        <f t="array" ref="R283">IF($BA280="","",INDEX(tblServicios[Base imponible (€)],$BA280)-INDEX(tblServicios[Imp. suplemento (€)],$BA280))</f>
        <v/>
      </c>
      <c r="S283" s="34" t="str" cm="1">
        <f t="array" ref="S283">IF($BA280="","",INDEX(tblServicios[Imp. suplemento (€)],$BA280))</f>
        <v/>
      </c>
      <c r="T283" t="str" cm="1">
        <f t="array" ref="T283">IF($BA283="","",INDEX(tblServicios[Tipo suplemento],$BA283))</f>
        <v/>
      </c>
      <c r="U283" s="34" t="str">
        <f t="shared" si="5"/>
        <v/>
      </c>
      <c r="V283" s="1" t="str" cm="1">
        <f t="array" ref="V283">IF($BA280="","",IF(INDEX(tblServicios[Conductor],$BA280)=$T$2,"Conductor","Personal adicional"))</f>
        <v/>
      </c>
      <c r="BA283" s="33" t="str" cm="1">
        <f t="array" ref="BA2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adicional]=$T$2))&gt;0)),ROW(A284)),"")</f>
        <v/>
      </c>
    </row>
    <row r="284" spans="15:53" x14ac:dyDescent="0.35">
      <c r="O284" s="1" t="str" cm="1">
        <f t="array" ref="O284">IF($BA281="","",INDEX(tblServicios[Fecha],$BA281))</f>
        <v/>
      </c>
      <c r="P284" s="1" t="str" cm="1">
        <f t="array" ref="P284">IF($BA281="","",INDEX(tblServicios[Contrato],$BA281))</f>
        <v/>
      </c>
      <c r="Q284" s="1" t="str" cm="1">
        <f t="array" ref="Q284">IF($BA281="","",INDEX(tblServicios[Vehículo],$BA281))</f>
        <v/>
      </c>
      <c r="R284" s="34" t="str" cm="1">
        <f t="array" ref="R284">IF($BA281="","",INDEX(tblServicios[Base imponible (€)],$BA281)-INDEX(tblServicios[Imp. suplemento (€)],$BA281))</f>
        <v/>
      </c>
      <c r="S284" s="34" t="str" cm="1">
        <f t="array" ref="S284">IF($BA281="","",INDEX(tblServicios[Imp. suplemento (€)],$BA281))</f>
        <v/>
      </c>
      <c r="T284" t="str" cm="1">
        <f t="array" ref="T284">IF($BA284="","",INDEX(tblServicios[Tipo suplemento],$BA284))</f>
        <v/>
      </c>
      <c r="U284" s="34" t="str">
        <f t="shared" si="5"/>
        <v/>
      </c>
      <c r="V284" s="1" t="str" cm="1">
        <f t="array" ref="V284">IF($BA281="","",IF(INDEX(tblServicios[Conductor],$BA281)=$T$2,"Conductor","Personal adicional"))</f>
        <v/>
      </c>
      <c r="BA284" s="33" t="str" cm="1">
        <f t="array" ref="BA2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adicional]=$T$2))&gt;0)),ROW(A285)),"")</f>
        <v/>
      </c>
    </row>
    <row r="285" spans="15:53" x14ac:dyDescent="0.35">
      <c r="O285" s="1" t="str" cm="1">
        <f t="array" ref="O285">IF($BA282="","",INDEX(tblServicios[Fecha],$BA282))</f>
        <v/>
      </c>
      <c r="P285" s="1" t="str" cm="1">
        <f t="array" ref="P285">IF($BA282="","",INDEX(tblServicios[Contrato],$BA282))</f>
        <v/>
      </c>
      <c r="Q285" s="1" t="str" cm="1">
        <f t="array" ref="Q285">IF($BA282="","",INDEX(tblServicios[Vehículo],$BA282))</f>
        <v/>
      </c>
      <c r="R285" s="34" t="str" cm="1">
        <f t="array" ref="R285">IF($BA282="","",INDEX(tblServicios[Base imponible (€)],$BA282)-INDEX(tblServicios[Imp. suplemento (€)],$BA282))</f>
        <v/>
      </c>
      <c r="S285" s="34" t="str" cm="1">
        <f t="array" ref="S285">IF($BA282="","",INDEX(tblServicios[Imp. suplemento (€)],$BA282))</f>
        <v/>
      </c>
      <c r="T285" t="str" cm="1">
        <f t="array" ref="T285">IF($BA285="","",INDEX(tblServicios[Tipo suplemento],$BA285))</f>
        <v/>
      </c>
      <c r="U285" s="34" t="str">
        <f t="shared" si="5"/>
        <v/>
      </c>
      <c r="V285" s="1" t="str" cm="1">
        <f t="array" ref="V285">IF($BA282="","",IF(INDEX(tblServicios[Conductor],$BA282)=$T$2,"Conductor","Personal adicional"))</f>
        <v/>
      </c>
      <c r="BA285" s="33" t="str" cm="1">
        <f t="array" ref="BA2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adicional]=$T$2))&gt;0)),ROW(A286)),"")</f>
        <v/>
      </c>
    </row>
    <row r="286" spans="15:53" x14ac:dyDescent="0.35">
      <c r="O286" s="1" t="str" cm="1">
        <f t="array" ref="O286">IF($BA283="","",INDEX(tblServicios[Fecha],$BA283))</f>
        <v/>
      </c>
      <c r="P286" s="1" t="str" cm="1">
        <f t="array" ref="P286">IF($BA283="","",INDEX(tblServicios[Contrato],$BA283))</f>
        <v/>
      </c>
      <c r="Q286" s="1" t="str" cm="1">
        <f t="array" ref="Q286">IF($BA283="","",INDEX(tblServicios[Vehículo],$BA283))</f>
        <v/>
      </c>
      <c r="R286" s="34" t="str" cm="1">
        <f t="array" ref="R286">IF($BA283="","",INDEX(tblServicios[Base imponible (€)],$BA283)-INDEX(tblServicios[Imp. suplemento (€)],$BA283))</f>
        <v/>
      </c>
      <c r="S286" s="34" t="str" cm="1">
        <f t="array" ref="S286">IF($BA283="","",INDEX(tblServicios[Imp. suplemento (€)],$BA283))</f>
        <v/>
      </c>
      <c r="T286" t="str" cm="1">
        <f t="array" ref="T286">IF($BA286="","",INDEX(tblServicios[Tipo suplemento],$BA286))</f>
        <v/>
      </c>
      <c r="U286" s="34" t="str">
        <f t="shared" si="5"/>
        <v/>
      </c>
      <c r="V286" s="1" t="str" cm="1">
        <f t="array" ref="V286">IF($BA283="","",IF(INDEX(tblServicios[Conductor],$BA283)=$T$2,"Conductor","Personal adicional"))</f>
        <v/>
      </c>
      <c r="BA286" s="33" t="str" cm="1">
        <f t="array" ref="BA2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adicional]=$T$2))&gt;0)),ROW(A287)),"")</f>
        <v/>
      </c>
    </row>
    <row r="287" spans="15:53" x14ac:dyDescent="0.35">
      <c r="O287" s="1" t="str" cm="1">
        <f t="array" ref="O287">IF($BA284="","",INDEX(tblServicios[Fecha],$BA284))</f>
        <v/>
      </c>
      <c r="P287" s="1" t="str" cm="1">
        <f t="array" ref="P287">IF($BA284="","",INDEX(tblServicios[Contrato],$BA284))</f>
        <v/>
      </c>
      <c r="Q287" s="1" t="str" cm="1">
        <f t="array" ref="Q287">IF($BA284="","",INDEX(tblServicios[Vehículo],$BA284))</f>
        <v/>
      </c>
      <c r="R287" s="34" t="str" cm="1">
        <f t="array" ref="R287">IF($BA284="","",INDEX(tblServicios[Base imponible (€)],$BA284)-INDEX(tblServicios[Imp. suplemento (€)],$BA284))</f>
        <v/>
      </c>
      <c r="S287" s="34" t="str" cm="1">
        <f t="array" ref="S287">IF($BA284="","",INDEX(tblServicios[Imp. suplemento (€)],$BA284))</f>
        <v/>
      </c>
      <c r="T287" t="str" cm="1">
        <f t="array" ref="T287">IF($BA287="","",INDEX(tblServicios[Tipo suplemento],$BA287))</f>
        <v/>
      </c>
      <c r="U287" s="34" t="str">
        <f t="shared" si="5"/>
        <v/>
      </c>
      <c r="V287" s="1" t="str" cm="1">
        <f t="array" ref="V287">IF($BA284="","",IF(INDEX(tblServicios[Conductor],$BA284)=$T$2,"Conductor","Personal adicional"))</f>
        <v/>
      </c>
      <c r="BA287" s="33" t="str" cm="1">
        <f t="array" ref="BA2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adicional]=$T$2))&gt;0)),ROW(A288)),"")</f>
        <v/>
      </c>
    </row>
    <row r="288" spans="15:53" x14ac:dyDescent="0.35">
      <c r="O288" s="1" t="str" cm="1">
        <f t="array" ref="O288">IF($BA285="","",INDEX(tblServicios[Fecha],$BA285))</f>
        <v/>
      </c>
      <c r="P288" s="1" t="str" cm="1">
        <f t="array" ref="P288">IF($BA285="","",INDEX(tblServicios[Contrato],$BA285))</f>
        <v/>
      </c>
      <c r="Q288" s="1" t="str" cm="1">
        <f t="array" ref="Q288">IF($BA285="","",INDEX(tblServicios[Vehículo],$BA285))</f>
        <v/>
      </c>
      <c r="R288" s="34" t="str" cm="1">
        <f t="array" ref="R288">IF($BA285="","",INDEX(tblServicios[Base imponible (€)],$BA285)-INDEX(tblServicios[Imp. suplemento (€)],$BA285))</f>
        <v/>
      </c>
      <c r="S288" s="34" t="str" cm="1">
        <f t="array" ref="S288">IF($BA285="","",INDEX(tblServicios[Imp. suplemento (€)],$BA285))</f>
        <v/>
      </c>
      <c r="T288" t="str" cm="1">
        <f t="array" ref="T288">IF($BA288="","",INDEX(tblServicios[Tipo suplemento],$BA288))</f>
        <v/>
      </c>
      <c r="U288" s="34" t="str">
        <f t="shared" si="5"/>
        <v/>
      </c>
      <c r="V288" s="1" t="str" cm="1">
        <f t="array" ref="V288">IF($BA285="","",IF(INDEX(tblServicios[Conductor],$BA285)=$T$2,"Conductor","Personal adicional"))</f>
        <v/>
      </c>
      <c r="BA288" s="33" t="str" cm="1">
        <f t="array" ref="BA2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adicional]=$T$2))&gt;0)),ROW(A289)),"")</f>
        <v/>
      </c>
    </row>
    <row r="289" spans="15:53" x14ac:dyDescent="0.35">
      <c r="O289" s="1" t="str" cm="1">
        <f t="array" ref="O289">IF($BA286="","",INDEX(tblServicios[Fecha],$BA286))</f>
        <v/>
      </c>
      <c r="P289" s="1" t="str" cm="1">
        <f t="array" ref="P289">IF($BA286="","",INDEX(tblServicios[Contrato],$BA286))</f>
        <v/>
      </c>
      <c r="Q289" s="1" t="str" cm="1">
        <f t="array" ref="Q289">IF($BA286="","",INDEX(tblServicios[Vehículo],$BA286))</f>
        <v/>
      </c>
      <c r="R289" s="34" t="str" cm="1">
        <f t="array" ref="R289">IF($BA286="","",INDEX(tblServicios[Base imponible (€)],$BA286)-INDEX(tblServicios[Imp. suplemento (€)],$BA286))</f>
        <v/>
      </c>
      <c r="S289" s="34" t="str" cm="1">
        <f t="array" ref="S289">IF($BA286="","",INDEX(tblServicios[Imp. suplemento (€)],$BA286))</f>
        <v/>
      </c>
      <c r="T289" t="str" cm="1">
        <f t="array" ref="T289">IF($BA289="","",INDEX(tblServicios[Tipo suplemento],$BA289))</f>
        <v/>
      </c>
      <c r="U289" s="34" t="str">
        <f t="shared" si="5"/>
        <v/>
      </c>
      <c r="V289" s="1" t="str" cm="1">
        <f t="array" ref="V289">IF($BA286="","",IF(INDEX(tblServicios[Conductor],$BA286)=$T$2,"Conductor","Personal adicional"))</f>
        <v/>
      </c>
      <c r="BA289" s="33" t="str" cm="1">
        <f t="array" ref="BA2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adicional]=$T$2))&gt;0)),ROW(A290)),"")</f>
        <v/>
      </c>
    </row>
    <row r="290" spans="15:53" x14ac:dyDescent="0.35">
      <c r="O290" s="1" t="str" cm="1">
        <f t="array" ref="O290">IF($BA287="","",INDEX(tblServicios[Fecha],$BA287))</f>
        <v/>
      </c>
      <c r="P290" s="1" t="str" cm="1">
        <f t="array" ref="P290">IF($BA287="","",INDEX(tblServicios[Contrato],$BA287))</f>
        <v/>
      </c>
      <c r="Q290" s="1" t="str" cm="1">
        <f t="array" ref="Q290">IF($BA287="","",INDEX(tblServicios[Vehículo],$BA287))</f>
        <v/>
      </c>
      <c r="R290" s="34" t="str" cm="1">
        <f t="array" ref="R290">IF($BA287="","",INDEX(tblServicios[Base imponible (€)],$BA287)-INDEX(tblServicios[Imp. suplemento (€)],$BA287))</f>
        <v/>
      </c>
      <c r="S290" s="34" t="str" cm="1">
        <f t="array" ref="S290">IF($BA287="","",INDEX(tblServicios[Imp. suplemento (€)],$BA287))</f>
        <v/>
      </c>
      <c r="T290" t="str" cm="1">
        <f t="array" ref="T290">IF($BA290="","",INDEX(tblServicios[Tipo suplemento],$BA290))</f>
        <v/>
      </c>
      <c r="U290" s="34" t="str">
        <f t="shared" si="5"/>
        <v/>
      </c>
      <c r="V290" s="1" t="str" cm="1">
        <f t="array" ref="V290">IF($BA287="","",IF(INDEX(tblServicios[Conductor],$BA287)=$T$2,"Conductor","Personal adicional"))</f>
        <v/>
      </c>
      <c r="BA290" s="33" t="str" cm="1">
        <f t="array" ref="BA2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adicional]=$T$2))&gt;0)),ROW(A291)),"")</f>
        <v/>
      </c>
    </row>
    <row r="291" spans="15:53" x14ac:dyDescent="0.35">
      <c r="O291" s="1" t="str" cm="1">
        <f t="array" ref="O291">IF($BA288="","",INDEX(tblServicios[Fecha],$BA288))</f>
        <v/>
      </c>
      <c r="P291" s="1" t="str" cm="1">
        <f t="array" ref="P291">IF($BA288="","",INDEX(tblServicios[Contrato],$BA288))</f>
        <v/>
      </c>
      <c r="Q291" s="1" t="str" cm="1">
        <f t="array" ref="Q291">IF($BA288="","",INDEX(tblServicios[Vehículo],$BA288))</f>
        <v/>
      </c>
      <c r="R291" s="34" t="str" cm="1">
        <f t="array" ref="R291">IF($BA288="","",INDEX(tblServicios[Base imponible (€)],$BA288)-INDEX(tblServicios[Imp. suplemento (€)],$BA288))</f>
        <v/>
      </c>
      <c r="S291" s="34" t="str" cm="1">
        <f t="array" ref="S291">IF($BA288="","",INDEX(tblServicios[Imp. suplemento (€)],$BA288))</f>
        <v/>
      </c>
      <c r="T291" t="str" cm="1">
        <f t="array" ref="T291">IF($BA291="","",INDEX(tblServicios[Tipo suplemento],$BA291))</f>
        <v/>
      </c>
      <c r="U291" s="34" t="str">
        <f t="shared" si="5"/>
        <v/>
      </c>
      <c r="V291" s="1" t="str" cm="1">
        <f t="array" ref="V291">IF($BA288="","",IF(INDEX(tblServicios[Conductor],$BA288)=$T$2,"Conductor","Personal adicional"))</f>
        <v/>
      </c>
      <c r="BA291" s="33" t="str" cm="1">
        <f t="array" ref="BA2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adicional]=$T$2))&gt;0)),ROW(A292)),"")</f>
        <v/>
      </c>
    </row>
    <row r="292" spans="15:53" x14ac:dyDescent="0.35">
      <c r="O292" s="1" t="str" cm="1">
        <f t="array" ref="O292">IF($BA289="","",INDEX(tblServicios[Fecha],$BA289))</f>
        <v/>
      </c>
      <c r="P292" s="1" t="str" cm="1">
        <f t="array" ref="P292">IF($BA289="","",INDEX(tblServicios[Contrato],$BA289))</f>
        <v/>
      </c>
      <c r="Q292" s="1" t="str" cm="1">
        <f t="array" ref="Q292">IF($BA289="","",INDEX(tblServicios[Vehículo],$BA289))</f>
        <v/>
      </c>
      <c r="R292" s="34" t="str" cm="1">
        <f t="array" ref="R292">IF($BA289="","",INDEX(tblServicios[Base imponible (€)],$BA289)-INDEX(tblServicios[Imp. suplemento (€)],$BA289))</f>
        <v/>
      </c>
      <c r="S292" s="34" t="str" cm="1">
        <f t="array" ref="S292">IF($BA289="","",INDEX(tblServicios[Imp. suplemento (€)],$BA289))</f>
        <v/>
      </c>
      <c r="T292" t="str" cm="1">
        <f t="array" ref="T292">IF($BA292="","",INDEX(tblServicios[Tipo suplemento],$BA292))</f>
        <v/>
      </c>
      <c r="U292" s="34" t="str">
        <f t="shared" si="5"/>
        <v/>
      </c>
      <c r="V292" s="1" t="str" cm="1">
        <f t="array" ref="V292">IF($BA289="","",IF(INDEX(tblServicios[Conductor],$BA289)=$T$2,"Conductor","Personal adicional"))</f>
        <v/>
      </c>
      <c r="BA292" s="33" t="str" cm="1">
        <f t="array" ref="BA2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adicional]=$T$2))&gt;0)),ROW(A293)),"")</f>
        <v/>
      </c>
    </row>
    <row r="293" spans="15:53" x14ac:dyDescent="0.35">
      <c r="O293" s="1" t="str" cm="1">
        <f t="array" ref="O293">IF($BA290="","",INDEX(tblServicios[Fecha],$BA290))</f>
        <v/>
      </c>
      <c r="P293" s="1" t="str" cm="1">
        <f t="array" ref="P293">IF($BA290="","",INDEX(tblServicios[Contrato],$BA290))</f>
        <v/>
      </c>
      <c r="Q293" s="1" t="str" cm="1">
        <f t="array" ref="Q293">IF($BA290="","",INDEX(tblServicios[Vehículo],$BA290))</f>
        <v/>
      </c>
      <c r="R293" s="34" t="str" cm="1">
        <f t="array" ref="R293">IF($BA290="","",INDEX(tblServicios[Base imponible (€)],$BA290)-INDEX(tblServicios[Imp. suplemento (€)],$BA290))</f>
        <v/>
      </c>
      <c r="S293" s="34" t="str" cm="1">
        <f t="array" ref="S293">IF($BA290="","",INDEX(tblServicios[Imp. suplemento (€)],$BA290))</f>
        <v/>
      </c>
      <c r="T293" t="str" cm="1">
        <f t="array" ref="T293">IF($BA293="","",INDEX(tblServicios[Tipo suplemento],$BA293))</f>
        <v/>
      </c>
      <c r="U293" s="34" t="str">
        <f t="shared" si="5"/>
        <v/>
      </c>
      <c r="V293" s="1" t="str" cm="1">
        <f t="array" ref="V293">IF($BA290="","",IF(INDEX(tblServicios[Conductor],$BA290)=$T$2,"Conductor","Personal adicional"))</f>
        <v/>
      </c>
      <c r="BA293" s="33" t="str" cm="1">
        <f t="array" ref="BA29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adicional]=$T$2))&gt;0)),ROW(A294)),"")</f>
        <v/>
      </c>
    </row>
    <row r="294" spans="15:53" x14ac:dyDescent="0.35">
      <c r="O294" s="1" t="str" cm="1">
        <f t="array" ref="O294">IF($BA291="","",INDEX(tblServicios[Fecha],$BA291))</f>
        <v/>
      </c>
      <c r="P294" s="1" t="str" cm="1">
        <f t="array" ref="P294">IF($BA291="","",INDEX(tblServicios[Contrato],$BA291))</f>
        <v/>
      </c>
      <c r="Q294" s="1" t="str" cm="1">
        <f t="array" ref="Q294">IF($BA291="","",INDEX(tblServicios[Vehículo],$BA291))</f>
        <v/>
      </c>
      <c r="R294" s="34" t="str" cm="1">
        <f t="array" ref="R294">IF($BA291="","",INDEX(tblServicios[Base imponible (€)],$BA291)-INDEX(tblServicios[Imp. suplemento (€)],$BA291))</f>
        <v/>
      </c>
      <c r="S294" s="34" t="str" cm="1">
        <f t="array" ref="S294">IF($BA291="","",INDEX(tblServicios[Imp. suplemento (€)],$BA291))</f>
        <v/>
      </c>
      <c r="T294" t="str" cm="1">
        <f t="array" ref="T294">IF($BA294="","",INDEX(tblServicios[Tipo suplemento],$BA294))</f>
        <v/>
      </c>
      <c r="U294" s="34" t="str">
        <f t="shared" si="5"/>
        <v/>
      </c>
      <c r="V294" s="1" t="str" cm="1">
        <f t="array" ref="V294">IF($BA291="","",IF(INDEX(tblServicios[Conductor],$BA291)=$T$2,"Conductor","Personal adicional"))</f>
        <v/>
      </c>
      <c r="BA294" s="33" t="str" cm="1">
        <f t="array" ref="BA29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adicional]=$T$2))&gt;0)),ROW(A295)),"")</f>
        <v/>
      </c>
    </row>
    <row r="295" spans="15:53" x14ac:dyDescent="0.35">
      <c r="O295" s="1" t="str" cm="1">
        <f t="array" ref="O295">IF($BA292="","",INDEX(tblServicios[Fecha],$BA292))</f>
        <v/>
      </c>
      <c r="P295" s="1" t="str" cm="1">
        <f t="array" ref="P295">IF($BA292="","",INDEX(tblServicios[Contrato],$BA292))</f>
        <v/>
      </c>
      <c r="Q295" s="1" t="str" cm="1">
        <f t="array" ref="Q295">IF($BA292="","",INDEX(tblServicios[Vehículo],$BA292))</f>
        <v/>
      </c>
      <c r="R295" s="34" t="str" cm="1">
        <f t="array" ref="R295">IF($BA292="","",INDEX(tblServicios[Base imponible (€)],$BA292)-INDEX(tblServicios[Imp. suplemento (€)],$BA292))</f>
        <v/>
      </c>
      <c r="S295" s="34" t="str" cm="1">
        <f t="array" ref="S295">IF($BA292="","",INDEX(tblServicios[Imp. suplemento (€)],$BA292))</f>
        <v/>
      </c>
      <c r="T295" t="str" cm="1">
        <f t="array" ref="T295">IF($BA295="","",INDEX(tblServicios[Tipo suplemento],$BA295))</f>
        <v/>
      </c>
      <c r="U295" s="34" t="str">
        <f t="shared" si="5"/>
        <v/>
      </c>
      <c r="V295" s="1" t="str" cm="1">
        <f t="array" ref="V295">IF($BA292="","",IF(INDEX(tblServicios[Conductor],$BA292)=$T$2,"Conductor","Personal adicional"))</f>
        <v/>
      </c>
      <c r="BA295" s="33" t="str" cm="1">
        <f t="array" ref="BA29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adicional]=$T$2))&gt;0)),ROW(A296)),"")</f>
        <v/>
      </c>
    </row>
    <row r="296" spans="15:53" x14ac:dyDescent="0.35">
      <c r="O296" s="1" t="str" cm="1">
        <f t="array" ref="O296">IF($BA293="","",INDEX(tblServicios[Fecha],$BA293))</f>
        <v/>
      </c>
      <c r="P296" s="1" t="str" cm="1">
        <f t="array" ref="P296">IF($BA293="","",INDEX(tblServicios[Contrato],$BA293))</f>
        <v/>
      </c>
      <c r="Q296" s="1" t="str" cm="1">
        <f t="array" ref="Q296">IF($BA293="","",INDEX(tblServicios[Vehículo],$BA293))</f>
        <v/>
      </c>
      <c r="R296" s="34" t="str" cm="1">
        <f t="array" ref="R296">IF($BA293="","",INDEX(tblServicios[Base imponible (€)],$BA293)-INDEX(tblServicios[Imp. suplemento (€)],$BA293))</f>
        <v/>
      </c>
      <c r="S296" s="34" t="str" cm="1">
        <f t="array" ref="S296">IF($BA293="","",INDEX(tblServicios[Imp. suplemento (€)],$BA293))</f>
        <v/>
      </c>
      <c r="T296" t="str" cm="1">
        <f t="array" ref="T296">IF($BA296="","",INDEX(tblServicios[Tipo suplemento],$BA296))</f>
        <v/>
      </c>
      <c r="U296" s="34" t="str">
        <f t="shared" si="5"/>
        <v/>
      </c>
      <c r="V296" s="1" t="str" cm="1">
        <f t="array" ref="V296">IF($BA293="","",IF(INDEX(tblServicios[Conductor],$BA293)=$T$2,"Conductor","Personal adicional"))</f>
        <v/>
      </c>
      <c r="BA296" s="33" t="str" cm="1">
        <f t="array" ref="BA29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adicional]=$T$2))&gt;0)),ROW(A297)),"")</f>
        <v/>
      </c>
    </row>
    <row r="297" spans="15:53" x14ac:dyDescent="0.35">
      <c r="O297" s="1" t="str" cm="1">
        <f t="array" ref="O297">IF($BA294="","",INDEX(tblServicios[Fecha],$BA294))</f>
        <v/>
      </c>
      <c r="P297" s="1" t="str" cm="1">
        <f t="array" ref="P297">IF($BA294="","",INDEX(tblServicios[Contrato],$BA294))</f>
        <v/>
      </c>
      <c r="Q297" s="1" t="str" cm="1">
        <f t="array" ref="Q297">IF($BA294="","",INDEX(tblServicios[Vehículo],$BA294))</f>
        <v/>
      </c>
      <c r="R297" s="34" t="str" cm="1">
        <f t="array" ref="R297">IF($BA294="","",INDEX(tblServicios[Base imponible (€)],$BA294)-INDEX(tblServicios[Imp. suplemento (€)],$BA294))</f>
        <v/>
      </c>
      <c r="S297" s="34" t="str" cm="1">
        <f t="array" ref="S297">IF($BA294="","",INDEX(tblServicios[Imp. suplemento (€)],$BA294))</f>
        <v/>
      </c>
      <c r="T297" t="str" cm="1">
        <f t="array" ref="T297">IF($BA297="","",INDEX(tblServicios[Tipo suplemento],$BA297))</f>
        <v/>
      </c>
      <c r="U297" s="34" t="str">
        <f t="shared" si="5"/>
        <v/>
      </c>
      <c r="V297" s="1" t="str" cm="1">
        <f t="array" ref="V297">IF($BA294="","",IF(INDEX(tblServicios[Conductor],$BA294)=$T$2,"Conductor","Personal adicional"))</f>
        <v/>
      </c>
      <c r="BA297" s="33" t="str" cm="1">
        <f t="array" ref="BA29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adicional]=$T$2))&gt;0)),ROW(A298)),"")</f>
        <v/>
      </c>
    </row>
    <row r="298" spans="15:53" x14ac:dyDescent="0.35">
      <c r="O298" s="1" t="str" cm="1">
        <f t="array" ref="O298">IF($BA295="","",INDEX(tblServicios[Fecha],$BA295))</f>
        <v/>
      </c>
      <c r="P298" s="1" t="str" cm="1">
        <f t="array" ref="P298">IF($BA295="","",INDEX(tblServicios[Contrato],$BA295))</f>
        <v/>
      </c>
      <c r="Q298" s="1" t="str" cm="1">
        <f t="array" ref="Q298">IF($BA295="","",INDEX(tblServicios[Vehículo],$BA295))</f>
        <v/>
      </c>
      <c r="R298" s="34" t="str" cm="1">
        <f t="array" ref="R298">IF($BA295="","",INDEX(tblServicios[Base imponible (€)],$BA295)-INDEX(tblServicios[Imp. suplemento (€)],$BA295))</f>
        <v/>
      </c>
      <c r="S298" s="34" t="str" cm="1">
        <f t="array" ref="S298">IF($BA295="","",INDEX(tblServicios[Imp. suplemento (€)],$BA295))</f>
        <v/>
      </c>
      <c r="T298" t="str" cm="1">
        <f t="array" ref="T298">IF($BA298="","",INDEX(tblServicios[Tipo suplemento],$BA298))</f>
        <v/>
      </c>
      <c r="U298" s="34" t="str">
        <f t="shared" si="5"/>
        <v/>
      </c>
      <c r="V298" s="1" t="str" cm="1">
        <f t="array" ref="V298">IF($BA295="","",IF(INDEX(tblServicios[Conductor],$BA295)=$T$2,"Conductor","Personal adicional"))</f>
        <v/>
      </c>
      <c r="BA298" s="33" t="str" cm="1">
        <f t="array" ref="BA29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adicional]=$T$2))&gt;0)),ROW(A299)),"")</f>
        <v/>
      </c>
    </row>
    <row r="299" spans="15:53" x14ac:dyDescent="0.35">
      <c r="O299" s="1" t="str" cm="1">
        <f t="array" ref="O299">IF($BA296="","",INDEX(tblServicios[Fecha],$BA296))</f>
        <v/>
      </c>
      <c r="P299" s="1" t="str" cm="1">
        <f t="array" ref="P299">IF($BA296="","",INDEX(tblServicios[Contrato],$BA296))</f>
        <v/>
      </c>
      <c r="Q299" s="1" t="str" cm="1">
        <f t="array" ref="Q299">IF($BA296="","",INDEX(tblServicios[Vehículo],$BA296))</f>
        <v/>
      </c>
      <c r="R299" s="34" t="str" cm="1">
        <f t="array" ref="R299">IF($BA296="","",INDEX(tblServicios[Base imponible (€)],$BA296)-INDEX(tblServicios[Imp. suplemento (€)],$BA296))</f>
        <v/>
      </c>
      <c r="S299" s="34" t="str" cm="1">
        <f t="array" ref="S299">IF($BA296="","",INDEX(tblServicios[Imp. suplemento (€)],$BA296))</f>
        <v/>
      </c>
      <c r="T299" t="str" cm="1">
        <f t="array" ref="T299">IF($BA299="","",INDEX(tblServicios[Tipo suplemento],$BA299))</f>
        <v/>
      </c>
      <c r="U299" s="34" t="str">
        <f t="shared" si="5"/>
        <v/>
      </c>
      <c r="V299" s="1" t="str" cm="1">
        <f t="array" ref="V299">IF($BA296="","",IF(INDEX(tblServicios[Conductor],$BA296)=$T$2,"Conductor","Personal adicional"))</f>
        <v/>
      </c>
      <c r="BA299" s="33" t="str" cm="1">
        <f t="array" ref="BA29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adicional]=$T$2))&gt;0)),ROW(A300)),"")</f>
        <v/>
      </c>
    </row>
    <row r="300" spans="15:53" x14ac:dyDescent="0.35">
      <c r="O300" s="1" t="str" cm="1">
        <f t="array" ref="O300">IF($BA297="","",INDEX(tblServicios[Fecha],$BA297))</f>
        <v/>
      </c>
      <c r="P300" s="1" t="str" cm="1">
        <f t="array" ref="P300">IF($BA297="","",INDEX(tblServicios[Contrato],$BA297))</f>
        <v/>
      </c>
      <c r="Q300" s="1" t="str" cm="1">
        <f t="array" ref="Q300">IF($BA297="","",INDEX(tblServicios[Vehículo],$BA297))</f>
        <v/>
      </c>
      <c r="R300" s="34" t="str" cm="1">
        <f t="array" ref="R300">IF($BA297="","",INDEX(tblServicios[Base imponible (€)],$BA297)-INDEX(tblServicios[Imp. suplemento (€)],$BA297))</f>
        <v/>
      </c>
      <c r="S300" s="34" t="str" cm="1">
        <f t="array" ref="S300">IF($BA297="","",INDEX(tblServicios[Imp. suplemento (€)],$BA297))</f>
        <v/>
      </c>
      <c r="T300" t="str" cm="1">
        <f t="array" ref="T300">IF($BA300="","",INDEX(tblServicios[Tipo suplemento],$BA300))</f>
        <v/>
      </c>
      <c r="U300" s="34" t="str">
        <f t="shared" si="5"/>
        <v/>
      </c>
      <c r="V300" s="1" t="str" cm="1">
        <f t="array" ref="V300">IF($BA297="","",IF(INDEX(tblServicios[Conductor],$BA297)=$T$2,"Conductor","Personal adicional"))</f>
        <v/>
      </c>
      <c r="BA300" s="33" t="str" cm="1">
        <f t="array" ref="BA30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adicional]=$T$2))&gt;0)),ROW(A301)),"")</f>
        <v/>
      </c>
    </row>
    <row r="301" spans="15:53" x14ac:dyDescent="0.35">
      <c r="O301" s="1" t="str" cm="1">
        <f t="array" ref="O301">IF($BA298="","",INDEX(tblServicios[Fecha],$BA298))</f>
        <v/>
      </c>
      <c r="P301" s="1" t="str" cm="1">
        <f t="array" ref="P301">IF($BA298="","",INDEX(tblServicios[Contrato],$BA298))</f>
        <v/>
      </c>
      <c r="Q301" s="1" t="str" cm="1">
        <f t="array" ref="Q301">IF($BA298="","",INDEX(tblServicios[Vehículo],$BA298))</f>
        <v/>
      </c>
      <c r="R301" s="34" t="str" cm="1">
        <f t="array" ref="R301">IF($BA298="","",INDEX(tblServicios[Base imponible (€)],$BA298)-INDEX(tblServicios[Imp. suplemento (€)],$BA298))</f>
        <v/>
      </c>
      <c r="S301" s="34" t="str" cm="1">
        <f t="array" ref="S301">IF($BA298="","",INDEX(tblServicios[Imp. suplemento (€)],$BA298))</f>
        <v/>
      </c>
      <c r="T301" t="str" cm="1">
        <f t="array" ref="T301">IF($BA301="","",INDEX(tblServicios[Tipo suplemento],$BA301))</f>
        <v/>
      </c>
      <c r="U301" s="34" t="str">
        <f t="shared" si="5"/>
        <v/>
      </c>
      <c r="V301" s="1" t="str" cm="1">
        <f t="array" ref="V301">IF($BA298="","",IF(INDEX(tblServicios[Conductor],$BA298)=$T$2,"Conductor","Personal adicional"))</f>
        <v/>
      </c>
      <c r="BA301" s="33" t="str" cm="1">
        <f t="array" ref="BA30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adicional]=$T$2))&gt;0)),ROW(A302)),"")</f>
        <v/>
      </c>
    </row>
    <row r="302" spans="15:53" x14ac:dyDescent="0.35">
      <c r="O302" s="1" t="str" cm="1">
        <f t="array" ref="O302">IF($BA299="","",INDEX(tblServicios[Fecha],$BA299))</f>
        <v/>
      </c>
      <c r="P302" s="1" t="str" cm="1">
        <f t="array" ref="P302">IF($BA299="","",INDEX(tblServicios[Contrato],$BA299))</f>
        <v/>
      </c>
      <c r="Q302" s="1" t="str" cm="1">
        <f t="array" ref="Q302">IF($BA299="","",INDEX(tblServicios[Vehículo],$BA299))</f>
        <v/>
      </c>
      <c r="R302" s="34" t="str" cm="1">
        <f t="array" ref="R302">IF($BA299="","",INDEX(tblServicios[Base imponible (€)],$BA299)-INDEX(tblServicios[Imp. suplemento (€)],$BA299))</f>
        <v/>
      </c>
      <c r="S302" s="34" t="str" cm="1">
        <f t="array" ref="S302">IF($BA299="","",INDEX(tblServicios[Imp. suplemento (€)],$BA299))</f>
        <v/>
      </c>
      <c r="T302" t="str" cm="1">
        <f t="array" ref="T302">IF($BA302="","",INDEX(tblServicios[Tipo suplemento],$BA302))</f>
        <v/>
      </c>
      <c r="U302" s="34" t="str">
        <f t="shared" si="5"/>
        <v/>
      </c>
      <c r="V302" s="1" t="str" cm="1">
        <f t="array" ref="V302">IF($BA299="","",IF(INDEX(tblServicios[Conductor],$BA299)=$T$2,"Conductor","Personal adicional"))</f>
        <v/>
      </c>
      <c r="BA302" s="33" t="str" cm="1">
        <f t="array" ref="BA30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adicional]=$T$2))&gt;0)),ROW(A303)),"")</f>
        <v/>
      </c>
    </row>
    <row r="303" spans="15:53" x14ac:dyDescent="0.35">
      <c r="O303" s="1" t="str" cm="1">
        <f t="array" ref="O303">IF($BA300="","",INDEX(tblServicios[Fecha],$BA300))</f>
        <v/>
      </c>
      <c r="P303" s="1" t="str" cm="1">
        <f t="array" ref="P303">IF($BA300="","",INDEX(tblServicios[Contrato],$BA300))</f>
        <v/>
      </c>
      <c r="Q303" s="1" t="str" cm="1">
        <f t="array" ref="Q303">IF($BA300="","",INDEX(tblServicios[Vehículo],$BA300))</f>
        <v/>
      </c>
      <c r="R303" s="34" t="str" cm="1">
        <f t="array" ref="R303">IF($BA300="","",INDEX(tblServicios[Base imponible (€)],$BA300)-INDEX(tblServicios[Imp. suplemento (€)],$BA300))</f>
        <v/>
      </c>
      <c r="S303" s="34" t="str" cm="1">
        <f t="array" ref="S303">IF($BA300="","",INDEX(tblServicios[Imp. suplemento (€)],$BA300))</f>
        <v/>
      </c>
      <c r="T303" t="str" cm="1">
        <f t="array" ref="T303">IF($BA303="","",INDEX(tblServicios[Tipo suplemento],$BA303))</f>
        <v/>
      </c>
      <c r="U303" s="34" t="str">
        <f t="shared" si="5"/>
        <v/>
      </c>
      <c r="V303" s="1" t="str" cm="1">
        <f t="array" ref="V303">IF($BA300="","",IF(INDEX(tblServicios[Conductor],$BA300)=$T$2,"Conductor","Personal adicional"))</f>
        <v/>
      </c>
      <c r="BA303" s="33" t="str" cm="1">
        <f t="array" ref="BA30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adicional]=$T$2))&gt;0)),ROW(A304)),"")</f>
        <v/>
      </c>
    </row>
    <row r="304" spans="15:53" x14ac:dyDescent="0.35">
      <c r="O304" s="1" t="str" cm="1">
        <f t="array" ref="O304">IF($BA301="","",INDEX(tblServicios[Fecha],$BA301))</f>
        <v/>
      </c>
      <c r="P304" s="1" t="str" cm="1">
        <f t="array" ref="P304">IF($BA301="","",INDEX(tblServicios[Contrato],$BA301))</f>
        <v/>
      </c>
      <c r="Q304" s="1" t="str" cm="1">
        <f t="array" ref="Q304">IF($BA301="","",INDEX(tblServicios[Vehículo],$BA301))</f>
        <v/>
      </c>
      <c r="R304" s="34" t="str" cm="1">
        <f t="array" ref="R304">IF($BA301="","",INDEX(tblServicios[Base imponible (€)],$BA301)-INDEX(tblServicios[Imp. suplemento (€)],$BA301))</f>
        <v/>
      </c>
      <c r="S304" s="34" t="str" cm="1">
        <f t="array" ref="S304">IF($BA301="","",INDEX(tblServicios[Imp. suplemento (€)],$BA301))</f>
        <v/>
      </c>
      <c r="T304" t="str" cm="1">
        <f t="array" ref="T304">IF($BA304="","",INDEX(tblServicios[Tipo suplemento],$BA304))</f>
        <v/>
      </c>
      <c r="U304" s="34" t="str">
        <f t="shared" si="5"/>
        <v/>
      </c>
      <c r="V304" s="1" t="str" cm="1">
        <f t="array" ref="V304">IF($BA301="","",IF(INDEX(tblServicios[Conductor],$BA301)=$T$2,"Conductor","Personal adicional"))</f>
        <v/>
      </c>
      <c r="BA304" s="33" t="str" cm="1">
        <f t="array" ref="BA30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adicional]=$T$2))&gt;0)),ROW(A305)),"")</f>
        <v/>
      </c>
    </row>
    <row r="305" spans="15:53" x14ac:dyDescent="0.35">
      <c r="O305" s="1" t="str" cm="1">
        <f t="array" ref="O305">IF($BA302="","",INDEX(tblServicios[Fecha],$BA302))</f>
        <v/>
      </c>
      <c r="P305" s="1" t="str" cm="1">
        <f t="array" ref="P305">IF($BA302="","",INDEX(tblServicios[Contrato],$BA302))</f>
        <v/>
      </c>
      <c r="Q305" s="1" t="str" cm="1">
        <f t="array" ref="Q305">IF($BA302="","",INDEX(tblServicios[Vehículo],$BA302))</f>
        <v/>
      </c>
      <c r="R305" s="34" t="str" cm="1">
        <f t="array" ref="R305">IF($BA302="","",INDEX(tblServicios[Base imponible (€)],$BA302)-INDEX(tblServicios[Imp. suplemento (€)],$BA302))</f>
        <v/>
      </c>
      <c r="S305" s="34" t="str" cm="1">
        <f t="array" ref="S305">IF($BA302="","",INDEX(tblServicios[Imp. suplemento (€)],$BA302))</f>
        <v/>
      </c>
      <c r="T305" t="str" cm="1">
        <f t="array" ref="T305">IF($BA305="","",INDEX(tblServicios[Tipo suplemento],$BA305))</f>
        <v/>
      </c>
      <c r="U305" s="34" t="str">
        <f t="shared" si="5"/>
        <v/>
      </c>
      <c r="V305" s="1" t="str" cm="1">
        <f t="array" ref="V305">IF($BA302="","",IF(INDEX(tblServicios[Conductor],$BA302)=$T$2,"Conductor","Personal adicional"))</f>
        <v/>
      </c>
      <c r="BA305" s="33" t="str" cm="1">
        <f t="array" ref="BA30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adicional]=$T$2))&gt;0)),ROW(A306)),"")</f>
        <v/>
      </c>
    </row>
    <row r="306" spans="15:53" x14ac:dyDescent="0.35">
      <c r="O306" s="1" t="str" cm="1">
        <f t="array" ref="O306">IF($BA303="","",INDEX(tblServicios[Fecha],$BA303))</f>
        <v/>
      </c>
      <c r="P306" s="1" t="str" cm="1">
        <f t="array" ref="P306">IF($BA303="","",INDEX(tblServicios[Contrato],$BA303))</f>
        <v/>
      </c>
      <c r="Q306" s="1" t="str" cm="1">
        <f t="array" ref="Q306">IF($BA303="","",INDEX(tblServicios[Vehículo],$BA303))</f>
        <v/>
      </c>
      <c r="R306" s="34" t="str" cm="1">
        <f t="array" ref="R306">IF($BA303="","",INDEX(tblServicios[Base imponible (€)],$BA303)-INDEX(tblServicios[Imp. suplemento (€)],$BA303))</f>
        <v/>
      </c>
      <c r="S306" s="34" t="str" cm="1">
        <f t="array" ref="S306">IF($BA303="","",INDEX(tblServicios[Imp. suplemento (€)],$BA303))</f>
        <v/>
      </c>
      <c r="T306" t="str" cm="1">
        <f t="array" ref="T306">IF($BA306="","",INDEX(tblServicios[Tipo suplemento],$BA306))</f>
        <v/>
      </c>
      <c r="U306" s="34" t="str">
        <f t="shared" si="5"/>
        <v/>
      </c>
      <c r="V306" s="1" t="str" cm="1">
        <f t="array" ref="V306">IF($BA303="","",IF(INDEX(tblServicios[Conductor],$BA303)=$T$2,"Conductor","Personal adicional"))</f>
        <v/>
      </c>
      <c r="BA306" s="33" t="str" cm="1">
        <f t="array" ref="BA30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adicional]=$T$2))&gt;0)),ROW(A307)),"")</f>
        <v/>
      </c>
    </row>
    <row r="307" spans="15:53" x14ac:dyDescent="0.35">
      <c r="O307" s="1" t="str" cm="1">
        <f t="array" ref="O307">IF($BA304="","",INDEX(tblServicios[Fecha],$BA304))</f>
        <v/>
      </c>
      <c r="P307" s="1" t="str" cm="1">
        <f t="array" ref="P307">IF($BA304="","",INDEX(tblServicios[Contrato],$BA304))</f>
        <v/>
      </c>
      <c r="Q307" s="1" t="str" cm="1">
        <f t="array" ref="Q307">IF($BA304="","",INDEX(tblServicios[Vehículo],$BA304))</f>
        <v/>
      </c>
      <c r="R307" s="34" t="str" cm="1">
        <f t="array" ref="R307">IF($BA304="","",INDEX(tblServicios[Base imponible (€)],$BA304)-INDEX(tblServicios[Imp. suplemento (€)],$BA304))</f>
        <v/>
      </c>
      <c r="S307" s="34" t="str" cm="1">
        <f t="array" ref="S307">IF($BA304="","",INDEX(tblServicios[Imp. suplemento (€)],$BA304))</f>
        <v/>
      </c>
      <c r="T307" t="str" cm="1">
        <f t="array" ref="T307">IF($BA307="","",INDEX(tblServicios[Tipo suplemento],$BA307))</f>
        <v/>
      </c>
      <c r="U307" s="34" t="str">
        <f t="shared" si="5"/>
        <v/>
      </c>
      <c r="V307" s="1" t="str" cm="1">
        <f t="array" ref="V307">IF($BA304="","",IF(INDEX(tblServicios[Conductor],$BA304)=$T$2,"Conductor","Personal adicional"))</f>
        <v/>
      </c>
      <c r="BA307" s="33" t="str" cm="1">
        <f t="array" ref="BA30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adicional]=$T$2))&gt;0)),ROW(A308)),"")</f>
        <v/>
      </c>
    </row>
    <row r="308" spans="15:53" x14ac:dyDescent="0.35">
      <c r="O308" s="1" t="str" cm="1">
        <f t="array" ref="O308">IF($BA305="","",INDEX(tblServicios[Fecha],$BA305))</f>
        <v/>
      </c>
      <c r="P308" s="1" t="str" cm="1">
        <f t="array" ref="P308">IF($BA305="","",INDEX(tblServicios[Contrato],$BA305))</f>
        <v/>
      </c>
      <c r="Q308" s="1" t="str" cm="1">
        <f t="array" ref="Q308">IF($BA305="","",INDEX(tblServicios[Vehículo],$BA305))</f>
        <v/>
      </c>
      <c r="R308" s="34" t="str" cm="1">
        <f t="array" ref="R308">IF($BA305="","",INDEX(tblServicios[Base imponible (€)],$BA305)-INDEX(tblServicios[Imp. suplemento (€)],$BA305))</f>
        <v/>
      </c>
      <c r="S308" s="34" t="str" cm="1">
        <f t="array" ref="S308">IF($BA305="","",INDEX(tblServicios[Imp. suplemento (€)],$BA305))</f>
        <v/>
      </c>
      <c r="T308" t="str" cm="1">
        <f t="array" ref="T308">IF($BA308="","",INDEX(tblServicios[Tipo suplemento],$BA308))</f>
        <v/>
      </c>
      <c r="U308" s="34" t="str">
        <f t="shared" si="5"/>
        <v/>
      </c>
      <c r="V308" s="1" t="str" cm="1">
        <f t="array" ref="V308">IF($BA305="","",IF(INDEX(tblServicios[Conductor],$BA305)=$T$2,"Conductor","Personal adicional"))</f>
        <v/>
      </c>
      <c r="BA308" s="33" t="str" cm="1">
        <f t="array" ref="BA30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adicional]=$T$2))&gt;0)),ROW(A309)),"")</f>
        <v/>
      </c>
    </row>
    <row r="309" spans="15:53" x14ac:dyDescent="0.35">
      <c r="O309" s="1" t="str" cm="1">
        <f t="array" ref="O309">IF($BA306="","",INDEX(tblServicios[Fecha],$BA306))</f>
        <v/>
      </c>
      <c r="P309" s="1" t="str" cm="1">
        <f t="array" ref="P309">IF($BA306="","",INDEX(tblServicios[Contrato],$BA306))</f>
        <v/>
      </c>
      <c r="Q309" s="1" t="str" cm="1">
        <f t="array" ref="Q309">IF($BA306="","",INDEX(tblServicios[Vehículo],$BA306))</f>
        <v/>
      </c>
      <c r="R309" s="34" t="str" cm="1">
        <f t="array" ref="R309">IF($BA306="","",INDEX(tblServicios[Base imponible (€)],$BA306)-INDEX(tblServicios[Imp. suplemento (€)],$BA306))</f>
        <v/>
      </c>
      <c r="S309" s="34" t="str" cm="1">
        <f t="array" ref="S309">IF($BA306="","",INDEX(tblServicios[Imp. suplemento (€)],$BA306))</f>
        <v/>
      </c>
      <c r="T309" t="str" cm="1">
        <f t="array" ref="T309">IF($BA309="","",INDEX(tblServicios[Tipo suplemento],$BA309))</f>
        <v/>
      </c>
      <c r="U309" s="34" t="str">
        <f t="shared" si="5"/>
        <v/>
      </c>
      <c r="V309" s="1" t="str" cm="1">
        <f t="array" ref="V309">IF($BA306="","",IF(INDEX(tblServicios[Conductor],$BA306)=$T$2,"Conductor","Personal adicional"))</f>
        <v/>
      </c>
      <c r="BA309" s="33" t="str" cm="1">
        <f t="array" ref="BA30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adicional]=$T$2))&gt;0)),ROW(A310)),"")</f>
        <v/>
      </c>
    </row>
    <row r="310" spans="15:53" x14ac:dyDescent="0.35">
      <c r="O310" s="1" t="str" cm="1">
        <f t="array" ref="O310">IF($BA307="","",INDEX(tblServicios[Fecha],$BA307))</f>
        <v/>
      </c>
      <c r="P310" s="1" t="str" cm="1">
        <f t="array" ref="P310">IF($BA307="","",INDEX(tblServicios[Contrato],$BA307))</f>
        <v/>
      </c>
      <c r="Q310" s="1" t="str" cm="1">
        <f t="array" ref="Q310">IF($BA307="","",INDEX(tblServicios[Vehículo],$BA307))</f>
        <v/>
      </c>
      <c r="R310" s="34" t="str" cm="1">
        <f t="array" ref="R310">IF($BA307="","",INDEX(tblServicios[Base imponible (€)],$BA307)-INDEX(tblServicios[Imp. suplemento (€)],$BA307))</f>
        <v/>
      </c>
      <c r="S310" s="34" t="str" cm="1">
        <f t="array" ref="S310">IF($BA307="","",INDEX(tblServicios[Imp. suplemento (€)],$BA307))</f>
        <v/>
      </c>
      <c r="T310" t="str" cm="1">
        <f t="array" ref="T310">IF($BA310="","",INDEX(tblServicios[Tipo suplemento],$BA310))</f>
        <v/>
      </c>
      <c r="U310" s="34" t="str">
        <f t="shared" si="5"/>
        <v/>
      </c>
      <c r="V310" s="1" t="str" cm="1">
        <f t="array" ref="V310">IF($BA307="","",IF(INDEX(tblServicios[Conductor],$BA307)=$T$2,"Conductor","Personal adicional"))</f>
        <v/>
      </c>
      <c r="BA310" s="33" t="str" cm="1">
        <f t="array" ref="BA3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adicional]=$T$2))&gt;0)),ROW(A311)),"")</f>
        <v/>
      </c>
    </row>
    <row r="311" spans="15:53" x14ac:dyDescent="0.35">
      <c r="O311" s="1" t="str" cm="1">
        <f t="array" ref="O311">IF($BA308="","",INDEX(tblServicios[Fecha],$BA308))</f>
        <v/>
      </c>
      <c r="P311" s="1" t="str" cm="1">
        <f t="array" ref="P311">IF($BA308="","",INDEX(tblServicios[Contrato],$BA308))</f>
        <v/>
      </c>
      <c r="Q311" s="1" t="str" cm="1">
        <f t="array" ref="Q311">IF($BA308="","",INDEX(tblServicios[Vehículo],$BA308))</f>
        <v/>
      </c>
      <c r="R311" s="34" t="str" cm="1">
        <f t="array" ref="R311">IF($BA308="","",INDEX(tblServicios[Base imponible (€)],$BA308)-INDEX(tblServicios[Imp. suplemento (€)],$BA308))</f>
        <v/>
      </c>
      <c r="S311" s="34" t="str" cm="1">
        <f t="array" ref="S311">IF($BA308="","",INDEX(tblServicios[Imp. suplemento (€)],$BA308))</f>
        <v/>
      </c>
      <c r="T311" t="str" cm="1">
        <f t="array" ref="T311">IF($BA311="","",INDEX(tblServicios[Tipo suplemento],$BA311))</f>
        <v/>
      </c>
      <c r="U311" s="34" t="str">
        <f t="shared" si="5"/>
        <v/>
      </c>
      <c r="V311" s="1" t="str" cm="1">
        <f t="array" ref="V311">IF($BA308="","",IF(INDEX(tblServicios[Conductor],$BA308)=$T$2,"Conductor","Personal adicional"))</f>
        <v/>
      </c>
      <c r="BA311" s="33" t="str" cm="1">
        <f t="array" ref="BA3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adicional]=$T$2))&gt;0)),ROW(A312)),"")</f>
        <v/>
      </c>
    </row>
    <row r="312" spans="15:53" x14ac:dyDescent="0.35">
      <c r="O312" s="1" t="str" cm="1">
        <f t="array" ref="O312">IF($BA309="","",INDEX(tblServicios[Fecha],$BA309))</f>
        <v/>
      </c>
      <c r="P312" s="1" t="str" cm="1">
        <f t="array" ref="P312">IF($BA309="","",INDEX(tblServicios[Contrato],$BA309))</f>
        <v/>
      </c>
      <c r="Q312" s="1" t="str" cm="1">
        <f t="array" ref="Q312">IF($BA309="","",INDEX(tblServicios[Vehículo],$BA309))</f>
        <v/>
      </c>
      <c r="R312" s="34" t="str" cm="1">
        <f t="array" ref="R312">IF($BA309="","",INDEX(tblServicios[Base imponible (€)],$BA309)-INDEX(tblServicios[Imp. suplemento (€)],$BA309))</f>
        <v/>
      </c>
      <c r="S312" s="34" t="str" cm="1">
        <f t="array" ref="S312">IF($BA309="","",INDEX(tblServicios[Imp. suplemento (€)],$BA309))</f>
        <v/>
      </c>
      <c r="T312" t="str" cm="1">
        <f t="array" ref="T312">IF($BA312="","",INDEX(tblServicios[Tipo suplemento],$BA312))</f>
        <v/>
      </c>
      <c r="U312" s="34" t="str">
        <f t="shared" si="5"/>
        <v/>
      </c>
      <c r="V312" s="1" t="str" cm="1">
        <f t="array" ref="V312">IF($BA309="","",IF(INDEX(tblServicios[Conductor],$BA309)=$T$2,"Conductor","Personal adicional"))</f>
        <v/>
      </c>
      <c r="BA312" s="33" t="str" cm="1">
        <f t="array" ref="BA3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adicional]=$T$2))&gt;0)),ROW(A313)),"")</f>
        <v/>
      </c>
    </row>
    <row r="313" spans="15:53" x14ac:dyDescent="0.35">
      <c r="O313" s="1" t="str" cm="1">
        <f t="array" ref="O313">IF($BA310="","",INDEX(tblServicios[Fecha],$BA310))</f>
        <v/>
      </c>
      <c r="P313" s="1" t="str" cm="1">
        <f t="array" ref="P313">IF($BA310="","",INDEX(tblServicios[Contrato],$BA310))</f>
        <v/>
      </c>
      <c r="Q313" s="1" t="str" cm="1">
        <f t="array" ref="Q313">IF($BA310="","",INDEX(tblServicios[Vehículo],$BA310))</f>
        <v/>
      </c>
      <c r="R313" s="34" t="str" cm="1">
        <f t="array" ref="R313">IF($BA310="","",INDEX(tblServicios[Base imponible (€)],$BA310)-INDEX(tblServicios[Imp. suplemento (€)],$BA310))</f>
        <v/>
      </c>
      <c r="S313" s="34" t="str" cm="1">
        <f t="array" ref="S313">IF($BA310="","",INDEX(tblServicios[Imp. suplemento (€)],$BA310))</f>
        <v/>
      </c>
      <c r="T313" t="str" cm="1">
        <f t="array" ref="T313">IF($BA313="","",INDEX(tblServicios[Tipo suplemento],$BA313))</f>
        <v/>
      </c>
      <c r="U313" s="34" t="str">
        <f t="shared" si="5"/>
        <v/>
      </c>
      <c r="V313" s="1" t="str" cm="1">
        <f t="array" ref="V313">IF($BA310="","",IF(INDEX(tblServicios[Conductor],$BA310)=$T$2,"Conductor","Personal adicional"))</f>
        <v/>
      </c>
      <c r="BA313" s="33" t="str" cm="1">
        <f t="array" ref="BA3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adicional]=$T$2))&gt;0)),ROW(A314)),"")</f>
        <v/>
      </c>
    </row>
    <row r="314" spans="15:53" x14ac:dyDescent="0.35">
      <c r="O314" s="1" t="str" cm="1">
        <f t="array" ref="O314">IF($BA311="","",INDEX(tblServicios[Fecha],$BA311))</f>
        <v/>
      </c>
      <c r="P314" s="1" t="str" cm="1">
        <f t="array" ref="P314">IF($BA311="","",INDEX(tblServicios[Contrato],$BA311))</f>
        <v/>
      </c>
      <c r="Q314" s="1" t="str" cm="1">
        <f t="array" ref="Q314">IF($BA311="","",INDEX(tblServicios[Vehículo],$BA311))</f>
        <v/>
      </c>
      <c r="R314" s="34" t="str" cm="1">
        <f t="array" ref="R314">IF($BA311="","",INDEX(tblServicios[Base imponible (€)],$BA311)-INDEX(tblServicios[Imp. suplemento (€)],$BA311))</f>
        <v/>
      </c>
      <c r="S314" s="34" t="str" cm="1">
        <f t="array" ref="S314">IF($BA311="","",INDEX(tblServicios[Imp. suplemento (€)],$BA311))</f>
        <v/>
      </c>
      <c r="T314" t="str" cm="1">
        <f t="array" ref="T314">IF($BA314="","",INDEX(tblServicios[Tipo suplemento],$BA314))</f>
        <v/>
      </c>
      <c r="U314" s="34" t="str">
        <f t="shared" si="5"/>
        <v/>
      </c>
      <c r="V314" s="1" t="str" cm="1">
        <f t="array" ref="V314">IF($BA311="","",IF(INDEX(tblServicios[Conductor],$BA311)=$T$2,"Conductor","Personal adicional"))</f>
        <v/>
      </c>
      <c r="BA314" s="33" t="str" cm="1">
        <f t="array" ref="BA3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adicional]=$T$2))&gt;0)),ROW(A315)),"")</f>
        <v/>
      </c>
    </row>
    <row r="315" spans="15:53" x14ac:dyDescent="0.35">
      <c r="O315" s="1" t="str" cm="1">
        <f t="array" ref="O315">IF($BA312="","",INDEX(tblServicios[Fecha],$BA312))</f>
        <v/>
      </c>
      <c r="P315" s="1" t="str" cm="1">
        <f t="array" ref="P315">IF($BA312="","",INDEX(tblServicios[Contrato],$BA312))</f>
        <v/>
      </c>
      <c r="Q315" s="1" t="str" cm="1">
        <f t="array" ref="Q315">IF($BA312="","",INDEX(tblServicios[Vehículo],$BA312))</f>
        <v/>
      </c>
      <c r="R315" s="34" t="str" cm="1">
        <f t="array" ref="R315">IF($BA312="","",INDEX(tblServicios[Base imponible (€)],$BA312)-INDEX(tblServicios[Imp. suplemento (€)],$BA312))</f>
        <v/>
      </c>
      <c r="S315" s="34" t="str" cm="1">
        <f t="array" ref="S315">IF($BA312="","",INDEX(tblServicios[Imp. suplemento (€)],$BA312))</f>
        <v/>
      </c>
      <c r="T315" t="str" cm="1">
        <f t="array" ref="T315">IF($BA315="","",INDEX(tblServicios[Tipo suplemento],$BA315))</f>
        <v/>
      </c>
      <c r="U315" s="34" t="str">
        <f t="shared" si="5"/>
        <v/>
      </c>
      <c r="V315" s="1" t="str" cm="1">
        <f t="array" ref="V315">IF($BA312="","",IF(INDEX(tblServicios[Conductor],$BA312)=$T$2,"Conductor","Personal adicional"))</f>
        <v/>
      </c>
      <c r="BA315" s="33" t="str" cm="1">
        <f t="array" ref="BA3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adicional]=$T$2))&gt;0)),ROW(A316)),"")</f>
        <v/>
      </c>
    </row>
    <row r="316" spans="15:53" x14ac:dyDescent="0.35">
      <c r="O316" s="1" t="str" cm="1">
        <f t="array" ref="O316">IF($BA313="","",INDEX(tblServicios[Fecha],$BA313))</f>
        <v/>
      </c>
      <c r="P316" s="1" t="str" cm="1">
        <f t="array" ref="P316">IF($BA313="","",INDEX(tblServicios[Contrato],$BA313))</f>
        <v/>
      </c>
      <c r="Q316" s="1" t="str" cm="1">
        <f t="array" ref="Q316">IF($BA313="","",INDEX(tblServicios[Vehículo],$BA313))</f>
        <v/>
      </c>
      <c r="R316" s="34" t="str" cm="1">
        <f t="array" ref="R316">IF($BA313="","",INDEX(tblServicios[Base imponible (€)],$BA313)-INDEX(tblServicios[Imp. suplemento (€)],$BA313))</f>
        <v/>
      </c>
      <c r="S316" s="34" t="str" cm="1">
        <f t="array" ref="S316">IF($BA313="","",INDEX(tblServicios[Imp. suplemento (€)],$BA313))</f>
        <v/>
      </c>
      <c r="T316" t="str" cm="1">
        <f t="array" ref="T316">IF($BA316="","",INDEX(tblServicios[Tipo suplemento],$BA316))</f>
        <v/>
      </c>
      <c r="U316" s="34" t="str">
        <f t="shared" si="5"/>
        <v/>
      </c>
      <c r="V316" s="1" t="str" cm="1">
        <f t="array" ref="V316">IF($BA313="","",IF(INDEX(tblServicios[Conductor],$BA313)=$T$2,"Conductor","Personal adicional"))</f>
        <v/>
      </c>
      <c r="BA316" s="33" t="str" cm="1">
        <f t="array" ref="BA3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adicional]=$T$2))&gt;0)),ROW(A317)),"")</f>
        <v/>
      </c>
    </row>
    <row r="317" spans="15:53" x14ac:dyDescent="0.35">
      <c r="O317" s="1" t="str" cm="1">
        <f t="array" ref="O317">IF($BA314="","",INDEX(tblServicios[Fecha],$BA314))</f>
        <v/>
      </c>
      <c r="P317" s="1" t="str" cm="1">
        <f t="array" ref="P317">IF($BA314="","",INDEX(tblServicios[Contrato],$BA314))</f>
        <v/>
      </c>
      <c r="Q317" s="1" t="str" cm="1">
        <f t="array" ref="Q317">IF($BA314="","",INDEX(tblServicios[Vehículo],$BA314))</f>
        <v/>
      </c>
      <c r="R317" s="34" t="str" cm="1">
        <f t="array" ref="R317">IF($BA314="","",INDEX(tblServicios[Base imponible (€)],$BA314)-INDEX(tblServicios[Imp. suplemento (€)],$BA314))</f>
        <v/>
      </c>
      <c r="S317" s="34" t="str" cm="1">
        <f t="array" ref="S317">IF($BA314="","",INDEX(tblServicios[Imp. suplemento (€)],$BA314))</f>
        <v/>
      </c>
      <c r="T317" t="str" cm="1">
        <f t="array" ref="T317">IF($BA317="","",INDEX(tblServicios[Tipo suplemento],$BA317))</f>
        <v/>
      </c>
      <c r="U317" s="34" t="str">
        <f t="shared" si="5"/>
        <v/>
      </c>
      <c r="V317" s="1" t="str" cm="1">
        <f t="array" ref="V317">IF($BA314="","",IF(INDEX(tblServicios[Conductor],$BA314)=$T$2,"Conductor","Personal adicional"))</f>
        <v/>
      </c>
      <c r="BA317" s="33" t="str" cm="1">
        <f t="array" ref="BA3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adicional]=$T$2))&gt;0)),ROW(A318)),"")</f>
        <v/>
      </c>
    </row>
    <row r="318" spans="15:53" x14ac:dyDescent="0.35">
      <c r="O318" s="1" t="str" cm="1">
        <f t="array" ref="O318">IF($BA315="","",INDEX(tblServicios[Fecha],$BA315))</f>
        <v/>
      </c>
      <c r="P318" s="1" t="str" cm="1">
        <f t="array" ref="P318">IF($BA315="","",INDEX(tblServicios[Contrato],$BA315))</f>
        <v/>
      </c>
      <c r="Q318" s="1" t="str" cm="1">
        <f t="array" ref="Q318">IF($BA315="","",INDEX(tblServicios[Vehículo],$BA315))</f>
        <v/>
      </c>
      <c r="R318" s="34" t="str" cm="1">
        <f t="array" ref="R318">IF($BA315="","",INDEX(tblServicios[Base imponible (€)],$BA315)-INDEX(tblServicios[Imp. suplemento (€)],$BA315))</f>
        <v/>
      </c>
      <c r="S318" s="34" t="str" cm="1">
        <f t="array" ref="S318">IF($BA315="","",INDEX(tblServicios[Imp. suplemento (€)],$BA315))</f>
        <v/>
      </c>
      <c r="T318" t="str" cm="1">
        <f t="array" ref="T318">IF($BA318="","",INDEX(tblServicios[Tipo suplemento],$BA318))</f>
        <v/>
      </c>
      <c r="U318" s="34" t="str">
        <f t="shared" si="5"/>
        <v/>
      </c>
      <c r="V318" s="1" t="str" cm="1">
        <f t="array" ref="V318">IF($BA315="","",IF(INDEX(tblServicios[Conductor],$BA315)=$T$2,"Conductor","Personal adicional"))</f>
        <v/>
      </c>
      <c r="BA318" s="33" t="str" cm="1">
        <f t="array" ref="BA3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adicional]=$T$2))&gt;0)),ROW(A319)),"")</f>
        <v/>
      </c>
    </row>
    <row r="319" spans="15:53" x14ac:dyDescent="0.35">
      <c r="O319" s="1" t="str" cm="1">
        <f t="array" ref="O319">IF($BA316="","",INDEX(tblServicios[Fecha],$BA316))</f>
        <v/>
      </c>
      <c r="P319" s="1" t="str" cm="1">
        <f t="array" ref="P319">IF($BA316="","",INDEX(tblServicios[Contrato],$BA316))</f>
        <v/>
      </c>
      <c r="Q319" s="1" t="str" cm="1">
        <f t="array" ref="Q319">IF($BA316="","",INDEX(tblServicios[Vehículo],$BA316))</f>
        <v/>
      </c>
      <c r="R319" s="34" t="str" cm="1">
        <f t="array" ref="R319">IF($BA316="","",INDEX(tblServicios[Base imponible (€)],$BA316)-INDEX(tblServicios[Imp. suplemento (€)],$BA316))</f>
        <v/>
      </c>
      <c r="S319" s="34" t="str" cm="1">
        <f t="array" ref="S319">IF($BA316="","",INDEX(tblServicios[Imp. suplemento (€)],$BA316))</f>
        <v/>
      </c>
      <c r="T319" t="str" cm="1">
        <f t="array" ref="T319">IF($BA319="","",INDEX(tblServicios[Tipo suplemento],$BA319))</f>
        <v/>
      </c>
      <c r="U319" s="34" t="str">
        <f t="shared" si="5"/>
        <v/>
      </c>
      <c r="V319" s="1" t="str" cm="1">
        <f t="array" ref="V319">IF($BA316="","",IF(INDEX(tblServicios[Conductor],$BA316)=$T$2,"Conductor","Personal adicional"))</f>
        <v/>
      </c>
      <c r="BA319" s="33" t="str" cm="1">
        <f t="array" ref="BA3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adicional]=$T$2))&gt;0)),ROW(A320)),"")</f>
        <v/>
      </c>
    </row>
    <row r="320" spans="15:53" x14ac:dyDescent="0.35">
      <c r="O320" s="1" t="str" cm="1">
        <f t="array" ref="O320">IF($BA317="","",INDEX(tblServicios[Fecha],$BA317))</f>
        <v/>
      </c>
      <c r="P320" s="1" t="str" cm="1">
        <f t="array" ref="P320">IF($BA317="","",INDEX(tblServicios[Contrato],$BA317))</f>
        <v/>
      </c>
      <c r="Q320" s="1" t="str" cm="1">
        <f t="array" ref="Q320">IF($BA317="","",INDEX(tblServicios[Vehículo],$BA317))</f>
        <v/>
      </c>
      <c r="R320" s="34" t="str" cm="1">
        <f t="array" ref="R320">IF($BA317="","",INDEX(tblServicios[Base imponible (€)],$BA317)-INDEX(tblServicios[Imp. suplemento (€)],$BA317))</f>
        <v/>
      </c>
      <c r="S320" s="34" t="str" cm="1">
        <f t="array" ref="S320">IF($BA317="","",INDEX(tblServicios[Imp. suplemento (€)],$BA317))</f>
        <v/>
      </c>
      <c r="T320" t="str" cm="1">
        <f t="array" ref="T320">IF($BA320="","",INDEX(tblServicios[Tipo suplemento],$BA320))</f>
        <v/>
      </c>
      <c r="U320" s="34" t="str">
        <f t="shared" si="5"/>
        <v/>
      </c>
      <c r="V320" s="1" t="str" cm="1">
        <f t="array" ref="V320">IF($BA317="","",IF(INDEX(tblServicios[Conductor],$BA317)=$T$2,"Conductor","Personal adicional"))</f>
        <v/>
      </c>
      <c r="BA320" s="33" t="str" cm="1">
        <f t="array" ref="BA3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adicional]=$T$2))&gt;0)),ROW(A321)),"")</f>
        <v/>
      </c>
    </row>
    <row r="321" spans="15:53" x14ac:dyDescent="0.35">
      <c r="O321" s="1" t="str" cm="1">
        <f t="array" ref="O321">IF($BA318="","",INDEX(tblServicios[Fecha],$BA318))</f>
        <v/>
      </c>
      <c r="P321" s="1" t="str" cm="1">
        <f t="array" ref="P321">IF($BA318="","",INDEX(tblServicios[Contrato],$BA318))</f>
        <v/>
      </c>
      <c r="Q321" s="1" t="str" cm="1">
        <f t="array" ref="Q321">IF($BA318="","",INDEX(tblServicios[Vehículo],$BA318))</f>
        <v/>
      </c>
      <c r="R321" s="34" t="str" cm="1">
        <f t="array" ref="R321">IF($BA318="","",INDEX(tblServicios[Base imponible (€)],$BA318)-INDEX(tblServicios[Imp. suplemento (€)],$BA318))</f>
        <v/>
      </c>
      <c r="S321" s="34" t="str" cm="1">
        <f t="array" ref="S321">IF($BA318="","",INDEX(tblServicios[Imp. suplemento (€)],$BA318))</f>
        <v/>
      </c>
      <c r="T321" t="str" cm="1">
        <f t="array" ref="T321">IF($BA321="","",INDEX(tblServicios[Tipo suplemento],$BA321))</f>
        <v/>
      </c>
      <c r="U321" s="34" t="str">
        <f t="shared" si="5"/>
        <v/>
      </c>
      <c r="V321" s="1" t="str" cm="1">
        <f t="array" ref="V321">IF($BA318="","",IF(INDEX(tblServicios[Conductor],$BA318)=$T$2,"Conductor","Personal adicional"))</f>
        <v/>
      </c>
      <c r="BA321" s="33" t="str" cm="1">
        <f t="array" ref="BA3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adicional]=$T$2))&gt;0)),ROW(A322)),"")</f>
        <v/>
      </c>
    </row>
    <row r="322" spans="15:53" x14ac:dyDescent="0.35">
      <c r="O322" s="1" t="str" cm="1">
        <f t="array" ref="O322">IF($BA319="","",INDEX(tblServicios[Fecha],$BA319))</f>
        <v/>
      </c>
      <c r="P322" s="1" t="str" cm="1">
        <f t="array" ref="P322">IF($BA319="","",INDEX(tblServicios[Contrato],$BA319))</f>
        <v/>
      </c>
      <c r="Q322" s="1" t="str" cm="1">
        <f t="array" ref="Q322">IF($BA319="","",INDEX(tblServicios[Vehículo],$BA319))</f>
        <v/>
      </c>
      <c r="R322" s="34" t="str" cm="1">
        <f t="array" ref="R322">IF($BA319="","",INDEX(tblServicios[Base imponible (€)],$BA319)-INDEX(tblServicios[Imp. suplemento (€)],$BA319))</f>
        <v/>
      </c>
      <c r="S322" s="34" t="str" cm="1">
        <f t="array" ref="S322">IF($BA319="","",INDEX(tblServicios[Imp. suplemento (€)],$BA319))</f>
        <v/>
      </c>
      <c r="T322" t="str" cm="1">
        <f t="array" ref="T322">IF($BA322="","",INDEX(tblServicios[Tipo suplemento],$BA322))</f>
        <v/>
      </c>
      <c r="U322" s="34" t="str">
        <f t="shared" si="5"/>
        <v/>
      </c>
      <c r="V322" s="1" t="str" cm="1">
        <f t="array" ref="V322">IF($BA319="","",IF(INDEX(tblServicios[Conductor],$BA319)=$T$2,"Conductor","Personal adicional"))</f>
        <v/>
      </c>
      <c r="BA322" s="33" t="str" cm="1">
        <f t="array" ref="BA3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adicional]=$T$2))&gt;0)),ROW(A323)),"")</f>
        <v/>
      </c>
    </row>
    <row r="323" spans="15:53" x14ac:dyDescent="0.35">
      <c r="O323" s="1" t="str" cm="1">
        <f t="array" ref="O323">IF($BA320="","",INDEX(tblServicios[Fecha],$BA320))</f>
        <v/>
      </c>
      <c r="P323" s="1" t="str" cm="1">
        <f t="array" ref="P323">IF($BA320="","",INDEX(tblServicios[Contrato],$BA320))</f>
        <v/>
      </c>
      <c r="Q323" s="1" t="str" cm="1">
        <f t="array" ref="Q323">IF($BA320="","",INDEX(tblServicios[Vehículo],$BA320))</f>
        <v/>
      </c>
      <c r="R323" s="34" t="str" cm="1">
        <f t="array" ref="R323">IF($BA320="","",INDEX(tblServicios[Base imponible (€)],$BA320)-INDEX(tblServicios[Imp. suplemento (€)],$BA320))</f>
        <v/>
      </c>
      <c r="S323" s="34" t="str" cm="1">
        <f t="array" ref="S323">IF($BA320="","",INDEX(tblServicios[Imp. suplemento (€)],$BA320))</f>
        <v/>
      </c>
      <c r="T323" t="str" cm="1">
        <f t="array" ref="T323">IF($BA323="","",INDEX(tblServicios[Tipo suplemento],$BA323))</f>
        <v/>
      </c>
      <c r="U323" s="34" t="str">
        <f t="shared" si="5"/>
        <v/>
      </c>
      <c r="V323" s="1" t="str" cm="1">
        <f t="array" ref="V323">IF($BA320="","",IF(INDEX(tblServicios[Conductor],$BA320)=$T$2,"Conductor","Personal adicional"))</f>
        <v/>
      </c>
      <c r="BA323" s="33" t="str" cm="1">
        <f t="array" ref="BA3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adicional]=$T$2))&gt;0)),ROW(A324)),"")</f>
        <v/>
      </c>
    </row>
    <row r="324" spans="15:53" x14ac:dyDescent="0.35">
      <c r="O324" s="1" t="str" cm="1">
        <f t="array" ref="O324">IF($BA321="","",INDEX(tblServicios[Fecha],$BA321))</f>
        <v/>
      </c>
      <c r="P324" s="1" t="str" cm="1">
        <f t="array" ref="P324">IF($BA321="","",INDEX(tblServicios[Contrato],$BA321))</f>
        <v/>
      </c>
      <c r="Q324" s="1" t="str" cm="1">
        <f t="array" ref="Q324">IF($BA321="","",INDEX(tblServicios[Vehículo],$BA321))</f>
        <v/>
      </c>
      <c r="R324" s="34" t="str" cm="1">
        <f t="array" ref="R324">IF($BA321="","",INDEX(tblServicios[Base imponible (€)],$BA321)-INDEX(tblServicios[Imp. suplemento (€)],$BA321))</f>
        <v/>
      </c>
      <c r="S324" s="34" t="str" cm="1">
        <f t="array" ref="S324">IF($BA321="","",INDEX(tblServicios[Imp. suplemento (€)],$BA321))</f>
        <v/>
      </c>
      <c r="T324" t="str" cm="1">
        <f t="array" ref="T324">IF($BA324="","",INDEX(tblServicios[Tipo suplemento],$BA324))</f>
        <v/>
      </c>
      <c r="U324" s="34" t="str">
        <f t="shared" si="5"/>
        <v/>
      </c>
      <c r="V324" s="1" t="str" cm="1">
        <f t="array" ref="V324">IF($BA321="","",IF(INDEX(tblServicios[Conductor],$BA321)=$T$2,"Conductor","Personal adicional"))</f>
        <v/>
      </c>
      <c r="BA324" s="33" t="str" cm="1">
        <f t="array" ref="BA3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adicional]=$T$2))&gt;0)),ROW(A325)),"")</f>
        <v/>
      </c>
    </row>
    <row r="325" spans="15:53" x14ac:dyDescent="0.35">
      <c r="O325" s="1" t="str" cm="1">
        <f t="array" ref="O325">IF($BA322="","",INDEX(tblServicios[Fecha],$BA322))</f>
        <v/>
      </c>
      <c r="P325" s="1" t="str" cm="1">
        <f t="array" ref="P325">IF($BA322="","",INDEX(tblServicios[Contrato],$BA322))</f>
        <v/>
      </c>
      <c r="Q325" s="1" t="str" cm="1">
        <f t="array" ref="Q325">IF($BA322="","",INDEX(tblServicios[Vehículo],$BA322))</f>
        <v/>
      </c>
      <c r="R325" s="34" t="str" cm="1">
        <f t="array" ref="R325">IF($BA322="","",INDEX(tblServicios[Base imponible (€)],$BA322)-INDEX(tblServicios[Imp. suplemento (€)],$BA322))</f>
        <v/>
      </c>
      <c r="S325" s="34" t="str" cm="1">
        <f t="array" ref="S325">IF($BA322="","",INDEX(tblServicios[Imp. suplemento (€)],$BA322))</f>
        <v/>
      </c>
      <c r="T325" t="str" cm="1">
        <f t="array" ref="T325">IF($BA325="","",INDEX(tblServicios[Tipo suplemento],$BA325))</f>
        <v/>
      </c>
      <c r="U325" s="34" t="str">
        <f t="shared" si="5"/>
        <v/>
      </c>
      <c r="V325" s="1" t="str" cm="1">
        <f t="array" ref="V325">IF($BA322="","",IF(INDEX(tblServicios[Conductor],$BA322)=$T$2,"Conductor","Personal adicional"))</f>
        <v/>
      </c>
      <c r="BA325" s="33" t="str" cm="1">
        <f t="array" ref="BA3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adicional]=$T$2))&gt;0)),ROW(A326)),"")</f>
        <v/>
      </c>
    </row>
    <row r="326" spans="15:53" x14ac:dyDescent="0.35">
      <c r="O326" s="1" t="str" cm="1">
        <f t="array" ref="O326">IF($BA323="","",INDEX(tblServicios[Fecha],$BA323))</f>
        <v/>
      </c>
      <c r="P326" s="1" t="str" cm="1">
        <f t="array" ref="P326">IF($BA323="","",INDEX(tblServicios[Contrato],$BA323))</f>
        <v/>
      </c>
      <c r="Q326" s="1" t="str" cm="1">
        <f t="array" ref="Q326">IF($BA323="","",INDEX(tblServicios[Vehículo],$BA323))</f>
        <v/>
      </c>
      <c r="R326" s="34" t="str" cm="1">
        <f t="array" ref="R326">IF($BA323="","",INDEX(tblServicios[Base imponible (€)],$BA323)-INDEX(tblServicios[Imp. suplemento (€)],$BA323))</f>
        <v/>
      </c>
      <c r="S326" s="34" t="str" cm="1">
        <f t="array" ref="S326">IF($BA323="","",INDEX(tblServicios[Imp. suplemento (€)],$BA323))</f>
        <v/>
      </c>
      <c r="T326" t="str" cm="1">
        <f t="array" ref="T326">IF($BA326="","",INDEX(tblServicios[Tipo suplemento],$BA326))</f>
        <v/>
      </c>
      <c r="U326" s="34" t="str">
        <f t="shared" si="5"/>
        <v/>
      </c>
      <c r="V326" s="1" t="str" cm="1">
        <f t="array" ref="V326">IF($BA323="","",IF(INDEX(tblServicios[Conductor],$BA323)=$T$2,"Conductor","Personal adicional"))</f>
        <v/>
      </c>
      <c r="BA326" s="33" t="str" cm="1">
        <f t="array" ref="BA3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adicional]=$T$2))&gt;0)),ROW(A327)),"")</f>
        <v/>
      </c>
    </row>
    <row r="327" spans="15:53" x14ac:dyDescent="0.35">
      <c r="O327" s="1" t="str" cm="1">
        <f t="array" ref="O327">IF($BA324="","",INDEX(tblServicios[Fecha],$BA324))</f>
        <v/>
      </c>
      <c r="P327" s="1" t="str" cm="1">
        <f t="array" ref="P327">IF($BA324="","",INDEX(tblServicios[Contrato],$BA324))</f>
        <v/>
      </c>
      <c r="Q327" s="1" t="str" cm="1">
        <f t="array" ref="Q327">IF($BA324="","",INDEX(tblServicios[Vehículo],$BA324))</f>
        <v/>
      </c>
      <c r="R327" s="34" t="str" cm="1">
        <f t="array" ref="R327">IF($BA324="","",INDEX(tblServicios[Base imponible (€)],$BA324)-INDEX(tblServicios[Imp. suplemento (€)],$BA324))</f>
        <v/>
      </c>
      <c r="S327" s="34" t="str" cm="1">
        <f t="array" ref="S327">IF($BA324="","",INDEX(tblServicios[Imp. suplemento (€)],$BA324))</f>
        <v/>
      </c>
      <c r="T327" t="str" cm="1">
        <f t="array" ref="T327">IF($BA327="","",INDEX(tblServicios[Tipo suplemento],$BA327))</f>
        <v/>
      </c>
      <c r="U327" s="34" t="str">
        <f t="shared" ref="U327:U383" si="6">IF($BA324="","",R327+S327)</f>
        <v/>
      </c>
      <c r="V327" s="1" t="str" cm="1">
        <f t="array" ref="V327">IF($BA324="","",IF(INDEX(tblServicios[Conductor],$BA324)=$T$2,"Conductor","Personal adicional"))</f>
        <v/>
      </c>
      <c r="BA327" s="33" t="str" cm="1">
        <f t="array" ref="BA3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adicional]=$T$2))&gt;0)),ROW(A328)),"")</f>
        <v/>
      </c>
    </row>
    <row r="328" spans="15:53" x14ac:dyDescent="0.35">
      <c r="O328" s="1" t="str" cm="1">
        <f t="array" ref="O328">IF($BA325="","",INDEX(tblServicios[Fecha],$BA325))</f>
        <v/>
      </c>
      <c r="P328" s="1" t="str" cm="1">
        <f t="array" ref="P328">IF($BA325="","",INDEX(tblServicios[Contrato],$BA325))</f>
        <v/>
      </c>
      <c r="Q328" s="1" t="str" cm="1">
        <f t="array" ref="Q328">IF($BA325="","",INDEX(tblServicios[Vehículo],$BA325))</f>
        <v/>
      </c>
      <c r="R328" s="34" t="str" cm="1">
        <f t="array" ref="R328">IF($BA325="","",INDEX(tblServicios[Base imponible (€)],$BA325)-INDEX(tblServicios[Imp. suplemento (€)],$BA325))</f>
        <v/>
      </c>
      <c r="S328" s="34" t="str" cm="1">
        <f t="array" ref="S328">IF($BA325="","",INDEX(tblServicios[Imp. suplemento (€)],$BA325))</f>
        <v/>
      </c>
      <c r="T328" t="str" cm="1">
        <f t="array" ref="T328">IF($BA328="","",INDEX(tblServicios[Tipo suplemento],$BA328))</f>
        <v/>
      </c>
      <c r="U328" s="34" t="str">
        <f t="shared" si="6"/>
        <v/>
      </c>
      <c r="V328" s="1" t="str" cm="1">
        <f t="array" ref="V328">IF($BA325="","",IF(INDEX(tblServicios[Conductor],$BA325)=$T$2,"Conductor","Personal adicional"))</f>
        <v/>
      </c>
      <c r="BA328" s="33" t="str" cm="1">
        <f t="array" ref="BA3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adicional]=$T$2))&gt;0)),ROW(A329)),"")</f>
        <v/>
      </c>
    </row>
    <row r="329" spans="15:53" x14ac:dyDescent="0.35">
      <c r="O329" s="1" t="str" cm="1">
        <f t="array" ref="O329">IF($BA326="","",INDEX(tblServicios[Fecha],$BA326))</f>
        <v/>
      </c>
      <c r="P329" s="1" t="str" cm="1">
        <f t="array" ref="P329">IF($BA326="","",INDEX(tblServicios[Contrato],$BA326))</f>
        <v/>
      </c>
      <c r="Q329" s="1" t="str" cm="1">
        <f t="array" ref="Q329">IF($BA326="","",INDEX(tblServicios[Vehículo],$BA326))</f>
        <v/>
      </c>
      <c r="R329" s="34" t="str" cm="1">
        <f t="array" ref="R329">IF($BA326="","",INDEX(tblServicios[Base imponible (€)],$BA326)-INDEX(tblServicios[Imp. suplemento (€)],$BA326))</f>
        <v/>
      </c>
      <c r="S329" s="34" t="str" cm="1">
        <f t="array" ref="S329">IF($BA326="","",INDEX(tblServicios[Imp. suplemento (€)],$BA326))</f>
        <v/>
      </c>
      <c r="T329" t="str" cm="1">
        <f t="array" ref="T329">IF($BA329="","",INDEX(tblServicios[Tipo suplemento],$BA329))</f>
        <v/>
      </c>
      <c r="U329" s="34" t="str">
        <f t="shared" si="6"/>
        <v/>
      </c>
      <c r="V329" s="1" t="str" cm="1">
        <f t="array" ref="V329">IF($BA326="","",IF(INDEX(tblServicios[Conductor],$BA326)=$T$2,"Conductor","Personal adicional"))</f>
        <v/>
      </c>
      <c r="BA329" s="33" t="str" cm="1">
        <f t="array" ref="BA3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adicional]=$T$2))&gt;0)),ROW(A330)),"")</f>
        <v/>
      </c>
    </row>
    <row r="330" spans="15:53" x14ac:dyDescent="0.35">
      <c r="O330" s="1" t="str" cm="1">
        <f t="array" ref="O330">IF($BA327="","",INDEX(tblServicios[Fecha],$BA327))</f>
        <v/>
      </c>
      <c r="P330" s="1" t="str" cm="1">
        <f t="array" ref="P330">IF($BA327="","",INDEX(tblServicios[Contrato],$BA327))</f>
        <v/>
      </c>
      <c r="Q330" s="1" t="str" cm="1">
        <f t="array" ref="Q330">IF($BA327="","",INDEX(tblServicios[Vehículo],$BA327))</f>
        <v/>
      </c>
      <c r="R330" s="34" t="str" cm="1">
        <f t="array" ref="R330">IF($BA327="","",INDEX(tblServicios[Base imponible (€)],$BA327)-INDEX(tblServicios[Imp. suplemento (€)],$BA327))</f>
        <v/>
      </c>
      <c r="S330" s="34" t="str" cm="1">
        <f t="array" ref="S330">IF($BA327="","",INDEX(tblServicios[Imp. suplemento (€)],$BA327))</f>
        <v/>
      </c>
      <c r="T330" t="str" cm="1">
        <f t="array" ref="T330">IF($BA330="","",INDEX(tblServicios[Tipo suplemento],$BA330))</f>
        <v/>
      </c>
      <c r="U330" s="34" t="str">
        <f t="shared" si="6"/>
        <v/>
      </c>
      <c r="V330" s="1" t="str" cm="1">
        <f t="array" ref="V330">IF($BA327="","",IF(INDEX(tblServicios[Conductor],$BA327)=$T$2,"Conductor","Personal adicional"))</f>
        <v/>
      </c>
      <c r="BA330" s="33" t="str" cm="1">
        <f t="array" ref="BA3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adicional]=$T$2))&gt;0)),ROW(A331)),"")</f>
        <v/>
      </c>
    </row>
    <row r="331" spans="15:53" x14ac:dyDescent="0.35">
      <c r="O331" s="1" t="str" cm="1">
        <f t="array" ref="O331">IF($BA328="","",INDEX(tblServicios[Fecha],$BA328))</f>
        <v/>
      </c>
      <c r="P331" s="1" t="str" cm="1">
        <f t="array" ref="P331">IF($BA328="","",INDEX(tblServicios[Contrato],$BA328))</f>
        <v/>
      </c>
      <c r="Q331" s="1" t="str" cm="1">
        <f t="array" ref="Q331">IF($BA328="","",INDEX(tblServicios[Vehículo],$BA328))</f>
        <v/>
      </c>
      <c r="R331" s="34" t="str" cm="1">
        <f t="array" ref="R331">IF($BA328="","",INDEX(tblServicios[Base imponible (€)],$BA328)-INDEX(tblServicios[Imp. suplemento (€)],$BA328))</f>
        <v/>
      </c>
      <c r="S331" s="34" t="str" cm="1">
        <f t="array" ref="S331">IF($BA328="","",INDEX(tblServicios[Imp. suplemento (€)],$BA328))</f>
        <v/>
      </c>
      <c r="T331" t="str" cm="1">
        <f t="array" ref="T331">IF($BA331="","",INDEX(tblServicios[Tipo suplemento],$BA331))</f>
        <v/>
      </c>
      <c r="U331" s="34" t="str">
        <f t="shared" si="6"/>
        <v/>
      </c>
      <c r="V331" s="1" t="str" cm="1">
        <f t="array" ref="V331">IF($BA328="","",IF(INDEX(tblServicios[Conductor],$BA328)=$T$2,"Conductor","Personal adicional"))</f>
        <v/>
      </c>
      <c r="BA331" s="33" t="str" cm="1">
        <f t="array" ref="BA3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adicional]=$T$2))&gt;0)),ROW(A332)),"")</f>
        <v/>
      </c>
    </row>
    <row r="332" spans="15:53" x14ac:dyDescent="0.35">
      <c r="O332" s="1" t="str" cm="1">
        <f t="array" ref="O332">IF($BA329="","",INDEX(tblServicios[Fecha],$BA329))</f>
        <v/>
      </c>
      <c r="P332" s="1" t="str" cm="1">
        <f t="array" ref="P332">IF($BA329="","",INDEX(tblServicios[Contrato],$BA329))</f>
        <v/>
      </c>
      <c r="Q332" s="1" t="str" cm="1">
        <f t="array" ref="Q332">IF($BA329="","",INDEX(tblServicios[Vehículo],$BA329))</f>
        <v/>
      </c>
      <c r="R332" s="34" t="str" cm="1">
        <f t="array" ref="R332">IF($BA329="","",INDEX(tblServicios[Base imponible (€)],$BA329)-INDEX(tblServicios[Imp. suplemento (€)],$BA329))</f>
        <v/>
      </c>
      <c r="S332" s="34" t="str" cm="1">
        <f t="array" ref="S332">IF($BA329="","",INDEX(tblServicios[Imp. suplemento (€)],$BA329))</f>
        <v/>
      </c>
      <c r="T332" t="str" cm="1">
        <f t="array" ref="T332">IF($BA332="","",INDEX(tblServicios[Tipo suplemento],$BA332))</f>
        <v/>
      </c>
      <c r="U332" s="34" t="str">
        <f t="shared" si="6"/>
        <v/>
      </c>
      <c r="V332" s="1" t="str" cm="1">
        <f t="array" ref="V332">IF($BA329="","",IF(INDEX(tblServicios[Conductor],$BA329)=$T$2,"Conductor","Personal adicional"))</f>
        <v/>
      </c>
      <c r="BA332" s="33" t="str" cm="1">
        <f t="array" ref="BA3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adicional]=$T$2))&gt;0)),ROW(A333)),"")</f>
        <v/>
      </c>
    </row>
    <row r="333" spans="15:53" x14ac:dyDescent="0.35">
      <c r="O333" s="1" t="str" cm="1">
        <f t="array" ref="O333">IF($BA330="","",INDEX(tblServicios[Fecha],$BA330))</f>
        <v/>
      </c>
      <c r="P333" s="1" t="str" cm="1">
        <f t="array" ref="P333">IF($BA330="","",INDEX(tblServicios[Contrato],$BA330))</f>
        <v/>
      </c>
      <c r="Q333" s="1" t="str" cm="1">
        <f t="array" ref="Q333">IF($BA330="","",INDEX(tblServicios[Vehículo],$BA330))</f>
        <v/>
      </c>
      <c r="R333" s="34" t="str" cm="1">
        <f t="array" ref="R333">IF($BA330="","",INDEX(tblServicios[Base imponible (€)],$BA330)-INDEX(tblServicios[Imp. suplemento (€)],$BA330))</f>
        <v/>
      </c>
      <c r="S333" s="34" t="str" cm="1">
        <f t="array" ref="S333">IF($BA330="","",INDEX(tblServicios[Imp. suplemento (€)],$BA330))</f>
        <v/>
      </c>
      <c r="T333" t="str" cm="1">
        <f t="array" ref="T333">IF($BA333="","",INDEX(tblServicios[Tipo suplemento],$BA333))</f>
        <v/>
      </c>
      <c r="U333" s="34" t="str">
        <f t="shared" si="6"/>
        <v/>
      </c>
      <c r="V333" s="1" t="str" cm="1">
        <f t="array" ref="V333">IF($BA330="","",IF(INDEX(tblServicios[Conductor],$BA330)=$T$2,"Conductor","Personal adicional"))</f>
        <v/>
      </c>
      <c r="BA333" s="33" t="str" cm="1">
        <f t="array" ref="BA3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adicional]=$T$2))&gt;0)),ROW(A334)),"")</f>
        <v/>
      </c>
    </row>
    <row r="334" spans="15:53" x14ac:dyDescent="0.35">
      <c r="O334" s="1" t="str" cm="1">
        <f t="array" ref="O334">IF($BA331="","",INDEX(tblServicios[Fecha],$BA331))</f>
        <v/>
      </c>
      <c r="P334" s="1" t="str" cm="1">
        <f t="array" ref="P334">IF($BA331="","",INDEX(tblServicios[Contrato],$BA331))</f>
        <v/>
      </c>
      <c r="Q334" s="1" t="str" cm="1">
        <f t="array" ref="Q334">IF($BA331="","",INDEX(tblServicios[Vehículo],$BA331))</f>
        <v/>
      </c>
      <c r="R334" s="34" t="str" cm="1">
        <f t="array" ref="R334">IF($BA331="","",INDEX(tblServicios[Base imponible (€)],$BA331)-INDEX(tblServicios[Imp. suplemento (€)],$BA331))</f>
        <v/>
      </c>
      <c r="S334" s="34" t="str" cm="1">
        <f t="array" ref="S334">IF($BA331="","",INDEX(tblServicios[Imp. suplemento (€)],$BA331))</f>
        <v/>
      </c>
      <c r="T334" t="str" cm="1">
        <f t="array" ref="T334">IF($BA334="","",INDEX(tblServicios[Tipo suplemento],$BA334))</f>
        <v/>
      </c>
      <c r="U334" s="34" t="str">
        <f t="shared" si="6"/>
        <v/>
      </c>
      <c r="V334" s="1" t="str" cm="1">
        <f t="array" ref="V334">IF($BA331="","",IF(INDEX(tblServicios[Conductor],$BA331)=$T$2,"Conductor","Personal adicional"))</f>
        <v/>
      </c>
      <c r="BA334" s="33" t="str" cm="1">
        <f t="array" ref="BA3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adicional]=$T$2))&gt;0)),ROW(A335)),"")</f>
        <v/>
      </c>
    </row>
    <row r="335" spans="15:53" x14ac:dyDescent="0.35">
      <c r="O335" s="1" t="str" cm="1">
        <f t="array" ref="O335">IF($BA332="","",INDEX(tblServicios[Fecha],$BA332))</f>
        <v/>
      </c>
      <c r="P335" s="1" t="str" cm="1">
        <f t="array" ref="P335">IF($BA332="","",INDEX(tblServicios[Contrato],$BA332))</f>
        <v/>
      </c>
      <c r="Q335" s="1" t="str" cm="1">
        <f t="array" ref="Q335">IF($BA332="","",INDEX(tblServicios[Vehículo],$BA332))</f>
        <v/>
      </c>
      <c r="R335" s="34" t="str" cm="1">
        <f t="array" ref="R335">IF($BA332="","",INDEX(tblServicios[Base imponible (€)],$BA332)-INDEX(tblServicios[Imp. suplemento (€)],$BA332))</f>
        <v/>
      </c>
      <c r="S335" s="34" t="str" cm="1">
        <f t="array" ref="S335">IF($BA332="","",INDEX(tblServicios[Imp. suplemento (€)],$BA332))</f>
        <v/>
      </c>
      <c r="T335" t="str" cm="1">
        <f t="array" ref="T335">IF($BA335="","",INDEX(tblServicios[Tipo suplemento],$BA335))</f>
        <v/>
      </c>
      <c r="U335" s="34" t="str">
        <f t="shared" si="6"/>
        <v/>
      </c>
      <c r="V335" t="str" cm="1">
        <f t="array" ref="V335">IF($BA335="","",IF(INDEX(tblServicios[Conductor],$BA335)=$T$2,"Conductor",IF(INDEX(tblServicios[Personal adicional],$BA335)=$T$2,"Personal adicional","")))</f>
        <v/>
      </c>
      <c r="BA335" s="33" t="str" cm="1">
        <f t="array" ref="BA3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adicional]=$T$2))&gt;0)),ROW(A336)),"")</f>
        <v/>
      </c>
    </row>
    <row r="336" spans="15:53" x14ac:dyDescent="0.35">
      <c r="O336" s="1" t="str" cm="1">
        <f t="array" ref="O336">IF($BA333="","",INDEX(tblServicios[Fecha],$BA333))</f>
        <v/>
      </c>
      <c r="P336" s="1" t="str" cm="1">
        <f t="array" ref="P336">IF($BA333="","",INDEX(tblServicios[Contrato],$BA333))</f>
        <v/>
      </c>
      <c r="Q336" s="1" t="str" cm="1">
        <f t="array" ref="Q336">IF($BA333="","",INDEX(tblServicios[Vehículo],$BA333))</f>
        <v/>
      </c>
      <c r="R336" s="34" t="str" cm="1">
        <f t="array" ref="R336">IF($BA333="","",INDEX(tblServicios[Base imponible (€)],$BA333)-INDEX(tblServicios[Imp. suplemento (€)],$BA333))</f>
        <v/>
      </c>
      <c r="S336" s="34" t="str" cm="1">
        <f t="array" ref="S336">IF($BA333="","",INDEX(tblServicios[Imp. suplemento (€)],$BA333))</f>
        <v/>
      </c>
      <c r="T336" t="str" cm="1">
        <f t="array" ref="T336">IF($BA336="","",INDEX(tblServicios[Tipo suplemento],$BA336))</f>
        <v/>
      </c>
      <c r="U336" s="34" t="str">
        <f t="shared" si="6"/>
        <v/>
      </c>
      <c r="V336" t="str" cm="1">
        <f t="array" ref="V336">IF($BA336="","",IF(INDEX(tblServicios[Conductor],$BA336)=$T$2,"Conductor",IF(INDEX(tblServicios[Personal adicional],$BA336)=$T$2,"Personal adicional","")))</f>
        <v/>
      </c>
      <c r="BA336" s="33" t="str" cm="1">
        <f t="array" ref="BA3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adicional]=$T$2))&gt;0)),ROW(A337)),"")</f>
        <v/>
      </c>
    </row>
    <row r="337" spans="15:53" x14ac:dyDescent="0.35">
      <c r="O337" s="1" t="str" cm="1">
        <f t="array" ref="O337">IF($BA334="","",INDEX(tblServicios[Fecha],$BA334))</f>
        <v/>
      </c>
      <c r="P337" s="1" t="str" cm="1">
        <f t="array" ref="P337">IF($BA334="","",INDEX(tblServicios[Contrato],$BA334))</f>
        <v/>
      </c>
      <c r="Q337" s="1" t="str" cm="1">
        <f t="array" ref="Q337">IF($BA334="","",INDEX(tblServicios[Vehículo],$BA334))</f>
        <v/>
      </c>
      <c r="R337" s="34" t="str" cm="1">
        <f t="array" ref="R337">IF($BA334="","",INDEX(tblServicios[Base imponible (€)],$BA334)-INDEX(tblServicios[Imp. suplemento (€)],$BA334))</f>
        <v/>
      </c>
      <c r="S337" s="34" t="str" cm="1">
        <f t="array" ref="S337">IF($BA334="","",INDEX(tblServicios[Imp. suplemento (€)],$BA334))</f>
        <v/>
      </c>
      <c r="T337" t="str" cm="1">
        <f t="array" ref="T337">IF($BA337="","",INDEX(tblServicios[Tipo suplemento],$BA337))</f>
        <v/>
      </c>
      <c r="U337" s="34" t="str">
        <f t="shared" si="6"/>
        <v/>
      </c>
      <c r="V337" t="str" cm="1">
        <f t="array" ref="V337">IF($BA337="","",IF(INDEX(tblServicios[Conductor],$BA337)=$T$2,"Conductor",IF(INDEX(tblServicios[Personal adicional],$BA337)=$T$2,"Personal adicional","")))</f>
        <v/>
      </c>
      <c r="BA337" s="33" t="str" cm="1">
        <f t="array" ref="BA3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adicional]=$T$2))&gt;0)),ROW(A338)),"")</f>
        <v/>
      </c>
    </row>
    <row r="338" spans="15:53" x14ac:dyDescent="0.35">
      <c r="O338" s="1" t="str" cm="1">
        <f t="array" ref="O338">IF($BA335="","",INDEX(tblServicios[Fecha],$BA335))</f>
        <v/>
      </c>
      <c r="P338" s="1" t="str" cm="1">
        <f t="array" ref="P338">IF($BA335="","",INDEX(tblServicios[Contrato],$BA335))</f>
        <v/>
      </c>
      <c r="Q338" s="1" t="str" cm="1">
        <f t="array" ref="Q338">IF($BA335="","",INDEX(tblServicios[Vehículo],$BA335))</f>
        <v/>
      </c>
      <c r="R338" s="34" t="str" cm="1">
        <f t="array" ref="R338">IF($BA335="","",INDEX(tblServicios[Base imponible (€)],$BA335)-INDEX(tblServicios[Imp. suplemento (€)],$BA335))</f>
        <v/>
      </c>
      <c r="S338" s="34" t="str" cm="1">
        <f t="array" ref="S338">IF($BA335="","",INDEX(tblServicios[Imp. suplemento (€)],$BA335))</f>
        <v/>
      </c>
      <c r="T338" t="str" cm="1">
        <f t="array" ref="T338">IF($BA338="","",INDEX(tblServicios[Tipo suplemento],$BA338))</f>
        <v/>
      </c>
      <c r="U338" s="34" t="str">
        <f t="shared" si="6"/>
        <v/>
      </c>
      <c r="V338" t="str" cm="1">
        <f t="array" ref="V338">IF($BA338="","",IF(INDEX(tblServicios[Conductor],$BA338)=$T$2,"Conductor",IF(INDEX(tblServicios[Personal adicional],$BA338)=$T$2,"Personal adicional","")))</f>
        <v/>
      </c>
      <c r="BA338" s="33" t="str" cm="1">
        <f t="array" ref="BA3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adicional]=$T$2))&gt;0)),ROW(A339)),"")</f>
        <v/>
      </c>
    </row>
    <row r="339" spans="15:53" x14ac:dyDescent="0.35">
      <c r="O339" s="1" t="str" cm="1">
        <f t="array" ref="O339">IF($BA336="","",INDEX(tblServicios[Fecha],$BA336))</f>
        <v/>
      </c>
      <c r="P339" s="1" t="str" cm="1">
        <f t="array" ref="P339">IF($BA336="","",INDEX(tblServicios[Contrato],$BA336))</f>
        <v/>
      </c>
      <c r="Q339" s="1" t="str" cm="1">
        <f t="array" ref="Q339">IF($BA336="","",INDEX(tblServicios[Vehículo],$BA336))</f>
        <v/>
      </c>
      <c r="R339" s="34" t="str" cm="1">
        <f t="array" ref="R339">IF($BA336="","",INDEX(tblServicios[Base imponible (€)],$BA336)-INDEX(tblServicios[Imp. suplemento (€)],$BA336))</f>
        <v/>
      </c>
      <c r="S339" s="34" t="str" cm="1">
        <f t="array" ref="S339">IF($BA336="","",INDEX(tblServicios[Imp. suplemento (€)],$BA336))</f>
        <v/>
      </c>
      <c r="T339" t="str" cm="1">
        <f t="array" ref="T339">IF($BA339="","",INDEX(tblServicios[Tipo suplemento],$BA339))</f>
        <v/>
      </c>
      <c r="U339" s="34" t="str">
        <f t="shared" si="6"/>
        <v/>
      </c>
      <c r="V339" t="str" cm="1">
        <f t="array" ref="V339">IF($BA339="","",IF(INDEX(tblServicios[Conductor],$BA339)=$T$2,"Conductor",IF(INDEX(tblServicios[Personal adicional],$BA339)=$T$2,"Personal adicional","")))</f>
        <v/>
      </c>
      <c r="BA339" s="33" t="str" cm="1">
        <f t="array" ref="BA3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adicional]=$T$2))&gt;0)),ROW(A340)),"")</f>
        <v/>
      </c>
    </row>
    <row r="340" spans="15:53" x14ac:dyDescent="0.35">
      <c r="O340" s="1" t="str" cm="1">
        <f t="array" ref="O340">IF($BA337="","",INDEX(tblServicios[Fecha],$BA337))</f>
        <v/>
      </c>
      <c r="P340" s="1" t="str" cm="1">
        <f t="array" ref="P340">IF($BA337="","",INDEX(tblServicios[Contrato],$BA337))</f>
        <v/>
      </c>
      <c r="Q340" s="1" t="str" cm="1">
        <f t="array" ref="Q340">IF($BA337="","",INDEX(tblServicios[Vehículo],$BA337))</f>
        <v/>
      </c>
      <c r="R340" s="34" t="str" cm="1">
        <f t="array" ref="R340">IF($BA337="","",INDEX(tblServicios[Base imponible (€)],$BA337)-INDEX(tblServicios[Imp. suplemento (€)],$BA337))</f>
        <v/>
      </c>
      <c r="S340" s="34" t="str" cm="1">
        <f t="array" ref="S340">IF($BA337="","",INDEX(tblServicios[Imp. suplemento (€)],$BA337))</f>
        <v/>
      </c>
      <c r="T340" t="str" cm="1">
        <f t="array" ref="T340">IF($BA340="","",INDEX(tblServicios[Tipo suplemento],$BA340))</f>
        <v/>
      </c>
      <c r="U340" s="34" t="str">
        <f t="shared" si="6"/>
        <v/>
      </c>
      <c r="V340" t="str" cm="1">
        <f t="array" ref="V340">IF($BA340="","",IF(INDEX(tblServicios[Conductor],$BA340)=$T$2,"Conductor",IF(INDEX(tblServicios[Personal adicional],$BA340)=$T$2,"Personal adicional","")))</f>
        <v/>
      </c>
      <c r="BA340" s="33" t="str" cm="1">
        <f t="array" ref="BA3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adicional]=$T$2))&gt;0)),ROW(A341)),"")</f>
        <v/>
      </c>
    </row>
    <row r="341" spans="15:53" x14ac:dyDescent="0.35">
      <c r="O341" s="1" t="str" cm="1">
        <f t="array" ref="O341">IF($BA338="","",INDEX(tblServicios[Fecha],$BA338))</f>
        <v/>
      </c>
      <c r="P341" s="1" t="str" cm="1">
        <f t="array" ref="P341">IF($BA338="","",INDEX(tblServicios[Contrato],$BA338))</f>
        <v/>
      </c>
      <c r="Q341" s="1" t="str" cm="1">
        <f t="array" ref="Q341">IF($BA338="","",INDEX(tblServicios[Vehículo],$BA338))</f>
        <v/>
      </c>
      <c r="R341" s="34" t="str" cm="1">
        <f t="array" ref="R341">IF($BA338="","",INDEX(tblServicios[Base imponible (€)],$BA338)-INDEX(tblServicios[Imp. suplemento (€)],$BA338))</f>
        <v/>
      </c>
      <c r="S341" s="34" t="str" cm="1">
        <f t="array" ref="S341">IF($BA338="","",INDEX(tblServicios[Imp. suplemento (€)],$BA338))</f>
        <v/>
      </c>
      <c r="T341" t="str" cm="1">
        <f t="array" ref="T341">IF($BA341="","",INDEX(tblServicios[Tipo suplemento],$BA341))</f>
        <v/>
      </c>
      <c r="U341" s="34" t="str">
        <f t="shared" si="6"/>
        <v/>
      </c>
      <c r="V341" t="str" cm="1">
        <f t="array" ref="V341">IF($BA341="","",IF(INDEX(tblServicios[Conductor],$BA341)=$T$2,"Conductor",IF(INDEX(tblServicios[Personal adicional],$BA341)=$T$2,"Personal adicional","")))</f>
        <v/>
      </c>
      <c r="BA341" s="33" t="str" cm="1">
        <f t="array" ref="BA3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adicional]=$T$2))&gt;0)),ROW(A342)),"")</f>
        <v/>
      </c>
    </row>
    <row r="342" spans="15:53" x14ac:dyDescent="0.35">
      <c r="O342" s="1" t="str" cm="1">
        <f t="array" ref="O342">IF($BA339="","",INDEX(tblServicios[Fecha],$BA339))</f>
        <v/>
      </c>
      <c r="P342" s="1" t="str" cm="1">
        <f t="array" ref="P342">IF($BA339="","",INDEX(tblServicios[Contrato],$BA339))</f>
        <v/>
      </c>
      <c r="Q342" s="1" t="str" cm="1">
        <f t="array" ref="Q342">IF($BA339="","",INDEX(tblServicios[Vehículo],$BA339))</f>
        <v/>
      </c>
      <c r="R342" s="34" t="str" cm="1">
        <f t="array" ref="R342">IF($BA339="","",INDEX(tblServicios[Base imponible (€)],$BA339)-INDEX(tblServicios[Imp. suplemento (€)],$BA339))</f>
        <v/>
      </c>
      <c r="S342" s="34" t="str" cm="1">
        <f t="array" ref="S342">IF($BA339="","",INDEX(tblServicios[Imp. suplemento (€)],$BA339))</f>
        <v/>
      </c>
      <c r="T342" t="str" cm="1">
        <f t="array" ref="T342">IF($BA342="","",INDEX(tblServicios[Tipo suplemento],$BA342))</f>
        <v/>
      </c>
      <c r="U342" s="34" t="str">
        <f t="shared" si="6"/>
        <v/>
      </c>
      <c r="V342" t="str" cm="1">
        <f t="array" ref="V342">IF($BA342="","",IF(INDEX(tblServicios[Conductor],$BA342)=$T$2,"Conductor",IF(INDEX(tblServicios[Personal adicional],$BA342)=$T$2,"Personal adicional","")))</f>
        <v/>
      </c>
      <c r="BA342" s="33" t="str" cm="1">
        <f t="array" ref="BA3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adicional]=$T$2))&gt;0)),ROW(A343)),"")</f>
        <v/>
      </c>
    </row>
    <row r="343" spans="15:53" x14ac:dyDescent="0.35">
      <c r="O343" s="1" t="str" cm="1">
        <f t="array" ref="O343">IF($BA340="","",INDEX(tblServicios[Fecha],$BA340))</f>
        <v/>
      </c>
      <c r="P343" s="1" t="str" cm="1">
        <f t="array" ref="P343">IF($BA340="","",INDEX(tblServicios[Contrato],$BA340))</f>
        <v/>
      </c>
      <c r="Q343" s="1" t="str" cm="1">
        <f t="array" ref="Q343">IF($BA340="","",INDEX(tblServicios[Vehículo],$BA340))</f>
        <v/>
      </c>
      <c r="R343" s="34" t="str" cm="1">
        <f t="array" ref="R343">IF($BA340="","",INDEX(tblServicios[Base imponible (€)],$BA340)-INDEX(tblServicios[Imp. suplemento (€)],$BA340))</f>
        <v/>
      </c>
      <c r="S343" s="34" t="str" cm="1">
        <f t="array" ref="S343">IF($BA340="","",INDEX(tblServicios[Imp. suplemento (€)],$BA340))</f>
        <v/>
      </c>
      <c r="T343" t="str" cm="1">
        <f t="array" ref="T343">IF($BA343="","",INDEX(tblServicios[Tipo suplemento],$BA343))</f>
        <v/>
      </c>
      <c r="U343" s="34" t="str">
        <f t="shared" si="6"/>
        <v/>
      </c>
      <c r="V343" t="str" cm="1">
        <f t="array" ref="V343">IF($BA343="","",IF(INDEX(tblServicios[Conductor],$BA343)=$T$2,"Conductor",IF(INDEX(tblServicios[Personal adicional],$BA343)=$T$2,"Personal adicional","")))</f>
        <v/>
      </c>
      <c r="BA343" s="33" t="str" cm="1">
        <f t="array" ref="BA3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adicional]=$T$2))&gt;0)),ROW(A344)),"")</f>
        <v/>
      </c>
    </row>
    <row r="344" spans="15:53" x14ac:dyDescent="0.35">
      <c r="O344" s="1" t="str" cm="1">
        <f t="array" ref="O344">IF($BA341="","",INDEX(tblServicios[Fecha],$BA341))</f>
        <v/>
      </c>
      <c r="P344" s="1" t="str" cm="1">
        <f t="array" ref="P344">IF($BA341="","",INDEX(tblServicios[Contrato],$BA341))</f>
        <v/>
      </c>
      <c r="Q344" s="1" t="str" cm="1">
        <f t="array" ref="Q344">IF($BA341="","",INDEX(tblServicios[Vehículo],$BA341))</f>
        <v/>
      </c>
      <c r="R344" s="34" t="str" cm="1">
        <f t="array" ref="R344">IF($BA341="","",INDEX(tblServicios[Base imponible (€)],$BA341)-INDEX(tblServicios[Imp. suplemento (€)],$BA341))</f>
        <v/>
      </c>
      <c r="S344" s="34" t="str" cm="1">
        <f t="array" ref="S344">IF($BA341="","",INDEX(tblServicios[Imp. suplemento (€)],$BA341))</f>
        <v/>
      </c>
      <c r="T344" t="str" cm="1">
        <f t="array" ref="T344">IF($BA344="","",INDEX(tblServicios[Tipo suplemento],$BA344))</f>
        <v/>
      </c>
      <c r="U344" s="34" t="str">
        <f t="shared" si="6"/>
        <v/>
      </c>
      <c r="V344" t="str" cm="1">
        <f t="array" ref="V344">IF($BA344="","",IF(INDEX(tblServicios[Conductor],$BA344)=$T$2,"Conductor",IF(INDEX(tblServicios[Personal adicional],$BA344)=$T$2,"Personal adicional","")))</f>
        <v/>
      </c>
      <c r="BA344" s="33" t="str" cm="1">
        <f t="array" ref="BA3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adicional]=$T$2))&gt;0)),ROW(A345)),"")</f>
        <v/>
      </c>
    </row>
    <row r="345" spans="15:53" x14ac:dyDescent="0.35">
      <c r="O345" s="1" t="str" cm="1">
        <f t="array" ref="O345">IF($BA342="","",INDEX(tblServicios[Fecha],$BA342))</f>
        <v/>
      </c>
      <c r="P345" s="1" t="str" cm="1">
        <f t="array" ref="P345">IF($BA342="","",INDEX(tblServicios[Contrato],$BA342))</f>
        <v/>
      </c>
      <c r="Q345" s="1" t="str" cm="1">
        <f t="array" ref="Q345">IF($BA342="","",INDEX(tblServicios[Vehículo],$BA342))</f>
        <v/>
      </c>
      <c r="R345" s="34" t="str" cm="1">
        <f t="array" ref="R345">IF($BA342="","",INDEX(tblServicios[Base imponible (€)],$BA342)-INDEX(tblServicios[Imp. suplemento (€)],$BA342))</f>
        <v/>
      </c>
      <c r="S345" s="34" t="str" cm="1">
        <f t="array" ref="S345">IF($BA342="","",INDEX(tblServicios[Imp. suplemento (€)],$BA342))</f>
        <v/>
      </c>
      <c r="T345" t="str" cm="1">
        <f t="array" ref="T345">IF($BA345="","",INDEX(tblServicios[Tipo suplemento],$BA345))</f>
        <v/>
      </c>
      <c r="U345" s="34" t="str">
        <f t="shared" si="6"/>
        <v/>
      </c>
      <c r="V345" t="str" cm="1">
        <f t="array" ref="V345">IF($BA345="","",IF(INDEX(tblServicios[Conductor],$BA345)=$T$2,"Conductor",IF(INDEX(tblServicios[Personal adicional],$BA345)=$T$2,"Personal adicional","")))</f>
        <v/>
      </c>
      <c r="BA345" s="33" t="str" cm="1">
        <f t="array" ref="BA3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adicional]=$T$2))&gt;0)),ROW(A346)),"")</f>
        <v/>
      </c>
    </row>
    <row r="346" spans="15:53" x14ac:dyDescent="0.35">
      <c r="O346" s="1" t="str" cm="1">
        <f t="array" ref="O346">IF($BA343="","",INDEX(tblServicios[Fecha],$BA343))</f>
        <v/>
      </c>
      <c r="P346" s="1" t="str" cm="1">
        <f t="array" ref="P346">IF($BA343="","",INDEX(tblServicios[Contrato],$BA343))</f>
        <v/>
      </c>
      <c r="Q346" s="1" t="str" cm="1">
        <f t="array" ref="Q346">IF($BA343="","",INDEX(tblServicios[Vehículo],$BA343))</f>
        <v/>
      </c>
      <c r="R346" s="34" t="str" cm="1">
        <f t="array" ref="R346">IF($BA343="","",INDEX(tblServicios[Base imponible (€)],$BA343)-INDEX(tblServicios[Imp. suplemento (€)],$BA343))</f>
        <v/>
      </c>
      <c r="S346" s="34" t="str" cm="1">
        <f t="array" ref="S346">IF($BA343="","",INDEX(tblServicios[Imp. suplemento (€)],$BA343))</f>
        <v/>
      </c>
      <c r="T346" t="str" cm="1">
        <f t="array" ref="T346">IF($BA346="","",INDEX(tblServicios[Tipo suplemento],$BA346))</f>
        <v/>
      </c>
      <c r="U346" s="34" t="str">
        <f t="shared" si="6"/>
        <v/>
      </c>
      <c r="V346" t="str" cm="1">
        <f t="array" ref="V346">IF($BA346="","",IF(INDEX(tblServicios[Conductor],$BA346)=$T$2,"Conductor",IF(INDEX(tblServicios[Personal adicional],$BA346)=$T$2,"Personal adicional","")))</f>
        <v/>
      </c>
      <c r="BA346" s="33" t="str" cm="1">
        <f t="array" ref="BA3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adicional]=$T$2))&gt;0)),ROW(A347)),"")</f>
        <v/>
      </c>
    </row>
    <row r="347" spans="15:53" x14ac:dyDescent="0.35">
      <c r="O347" s="1" t="str" cm="1">
        <f t="array" ref="O347">IF($BA344="","",INDEX(tblServicios[Fecha],$BA344))</f>
        <v/>
      </c>
      <c r="P347" s="1" t="str" cm="1">
        <f t="array" ref="P347">IF($BA344="","",INDEX(tblServicios[Contrato],$BA344))</f>
        <v/>
      </c>
      <c r="Q347" s="1" t="str" cm="1">
        <f t="array" ref="Q347">IF($BA344="","",INDEX(tblServicios[Vehículo],$BA344))</f>
        <v/>
      </c>
      <c r="R347" s="34" t="str" cm="1">
        <f t="array" ref="R347">IF($BA344="","",INDEX(tblServicios[Base imponible (€)],$BA344)-INDEX(tblServicios[Imp. suplemento (€)],$BA344))</f>
        <v/>
      </c>
      <c r="S347" s="34" t="str" cm="1">
        <f t="array" ref="S347">IF($BA344="","",INDEX(tblServicios[Imp. suplemento (€)],$BA344))</f>
        <v/>
      </c>
      <c r="T347" t="str" cm="1">
        <f t="array" ref="T347">IF($BA347="","",INDEX(tblServicios[Tipo suplemento],$BA347))</f>
        <v/>
      </c>
      <c r="U347" s="34" t="str">
        <f t="shared" si="6"/>
        <v/>
      </c>
      <c r="V347" t="str" cm="1">
        <f t="array" ref="V347">IF($BA347="","",IF(INDEX(tblServicios[Conductor],$BA347)=$T$2,"Conductor",IF(INDEX(tblServicios[Personal adicional],$BA347)=$T$2,"Personal adicional","")))</f>
        <v/>
      </c>
      <c r="BA347" s="33" t="str" cm="1">
        <f t="array" ref="BA3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adicional]=$T$2))&gt;0)),ROW(A348)),"")</f>
        <v/>
      </c>
    </row>
    <row r="348" spans="15:53" x14ac:dyDescent="0.35">
      <c r="O348" s="1" t="str" cm="1">
        <f t="array" ref="O348">IF($BA345="","",INDEX(tblServicios[Fecha],$BA345))</f>
        <v/>
      </c>
      <c r="P348" s="1" t="str" cm="1">
        <f t="array" ref="P348">IF($BA345="","",INDEX(tblServicios[Contrato],$BA345))</f>
        <v/>
      </c>
      <c r="Q348" s="1" t="str" cm="1">
        <f t="array" ref="Q348">IF($BA345="","",INDEX(tblServicios[Vehículo],$BA345))</f>
        <v/>
      </c>
      <c r="R348" s="34" t="str" cm="1">
        <f t="array" ref="R348">IF($BA345="","",INDEX(tblServicios[Base imponible (€)],$BA345)-INDEX(tblServicios[Imp. suplemento (€)],$BA345))</f>
        <v/>
      </c>
      <c r="S348" s="34" t="str" cm="1">
        <f t="array" ref="S348">IF($BA345="","",INDEX(tblServicios[Imp. suplemento (€)],$BA345))</f>
        <v/>
      </c>
      <c r="T348" t="str" cm="1">
        <f t="array" ref="T348">IF($BA348="","",INDEX(tblServicios[Tipo suplemento],$BA348))</f>
        <v/>
      </c>
      <c r="U348" s="34" t="str">
        <f t="shared" si="6"/>
        <v/>
      </c>
      <c r="V348" t="str" cm="1">
        <f t="array" ref="V348">IF($BA348="","",IF(INDEX(tblServicios[Conductor],$BA348)=$T$2,"Conductor",IF(INDEX(tblServicios[Personal adicional],$BA348)=$T$2,"Personal adicional","")))</f>
        <v/>
      </c>
      <c r="BA348" s="33" t="str" cm="1">
        <f t="array" ref="BA3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adicional]=$T$2))&gt;0)),ROW(A349)),"")</f>
        <v/>
      </c>
    </row>
    <row r="349" spans="15:53" x14ac:dyDescent="0.35">
      <c r="O349" s="1" t="str" cm="1">
        <f t="array" ref="O349">IF($BA346="","",INDEX(tblServicios[Fecha],$BA346))</f>
        <v/>
      </c>
      <c r="P349" s="1" t="str" cm="1">
        <f t="array" ref="P349">IF($BA346="","",INDEX(tblServicios[Contrato],$BA346))</f>
        <v/>
      </c>
      <c r="Q349" s="1" t="str" cm="1">
        <f t="array" ref="Q349">IF($BA346="","",INDEX(tblServicios[Vehículo],$BA346))</f>
        <v/>
      </c>
      <c r="R349" s="34" t="str" cm="1">
        <f t="array" ref="R349">IF($BA346="","",INDEX(tblServicios[Base imponible (€)],$BA346)-INDEX(tblServicios[Imp. suplemento (€)],$BA346))</f>
        <v/>
      </c>
      <c r="S349" s="34" t="str" cm="1">
        <f t="array" ref="S349">IF($BA346="","",INDEX(tblServicios[Imp. suplemento (€)],$BA346))</f>
        <v/>
      </c>
      <c r="T349" t="str" cm="1">
        <f t="array" ref="T349">IF($BA349="","",INDEX(tblServicios[Tipo suplemento],$BA349))</f>
        <v/>
      </c>
      <c r="U349" s="34" t="str">
        <f t="shared" si="6"/>
        <v/>
      </c>
      <c r="V349" t="str" cm="1">
        <f t="array" ref="V349">IF($BA349="","",IF(INDEX(tblServicios[Conductor],$BA349)=$T$2,"Conductor",IF(INDEX(tblServicios[Personal adicional],$BA349)=$T$2,"Personal adicional","")))</f>
        <v/>
      </c>
      <c r="BA349" s="33" t="str" cm="1">
        <f t="array" ref="BA3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adicional]=$T$2))&gt;0)),ROW(A350)),"")</f>
        <v/>
      </c>
    </row>
    <row r="350" spans="15:53" x14ac:dyDescent="0.35">
      <c r="O350" s="1" t="str" cm="1">
        <f t="array" ref="O350">IF($BA347="","",INDEX(tblServicios[Fecha],$BA347))</f>
        <v/>
      </c>
      <c r="P350" s="1" t="str" cm="1">
        <f t="array" ref="P350">IF($BA347="","",INDEX(tblServicios[Contrato],$BA347))</f>
        <v/>
      </c>
      <c r="Q350" s="1" t="str" cm="1">
        <f t="array" ref="Q350">IF($BA347="","",INDEX(tblServicios[Vehículo],$BA347))</f>
        <v/>
      </c>
      <c r="R350" s="34" t="str" cm="1">
        <f t="array" ref="R350">IF($BA347="","",INDEX(tblServicios[Base imponible (€)],$BA347)-INDEX(tblServicios[Imp. suplemento (€)],$BA347))</f>
        <v/>
      </c>
      <c r="S350" s="34" t="str" cm="1">
        <f t="array" ref="S350">IF($BA347="","",INDEX(tblServicios[Imp. suplemento (€)],$BA347))</f>
        <v/>
      </c>
      <c r="T350" t="str" cm="1">
        <f t="array" ref="T350">IF($BA350="","",INDEX(tblServicios[Tipo suplemento],$BA350))</f>
        <v/>
      </c>
      <c r="U350" s="34" t="str">
        <f t="shared" si="6"/>
        <v/>
      </c>
      <c r="V350" t="str" cm="1">
        <f t="array" ref="V350">IF($BA350="","",IF(INDEX(tblServicios[Conductor],$BA350)=$T$2,"Conductor",IF(INDEX(tblServicios[Personal adicional],$BA350)=$T$2,"Personal adicional","")))</f>
        <v/>
      </c>
      <c r="BA350" s="33" t="str" cm="1">
        <f t="array" ref="BA3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adicional]=$T$2))&gt;0)),ROW(A351)),"")</f>
        <v/>
      </c>
    </row>
    <row r="351" spans="15:53" x14ac:dyDescent="0.35">
      <c r="O351" s="1" t="str" cm="1">
        <f t="array" ref="O351">IF($BA348="","",INDEX(tblServicios[Fecha],$BA348))</f>
        <v/>
      </c>
      <c r="P351" s="1" t="str" cm="1">
        <f t="array" ref="P351">IF($BA348="","",INDEX(tblServicios[Contrato],$BA348))</f>
        <v/>
      </c>
      <c r="Q351" s="1" t="str" cm="1">
        <f t="array" ref="Q351">IF($BA348="","",INDEX(tblServicios[Vehículo],$BA348))</f>
        <v/>
      </c>
      <c r="R351" s="34" t="str" cm="1">
        <f t="array" ref="R351">IF($BA348="","",INDEX(tblServicios[Base imponible (€)],$BA348)-INDEX(tblServicios[Imp. suplemento (€)],$BA348))</f>
        <v/>
      </c>
      <c r="S351" s="34" t="str" cm="1">
        <f t="array" ref="S351">IF($BA348="","",INDEX(tblServicios[Imp. suplemento (€)],$BA348))</f>
        <v/>
      </c>
      <c r="T351" t="str" cm="1">
        <f t="array" ref="T351">IF($BA351="","",INDEX(tblServicios[Tipo suplemento],$BA351))</f>
        <v/>
      </c>
      <c r="U351" s="34" t="str">
        <f t="shared" si="6"/>
        <v/>
      </c>
      <c r="V351" t="str" cm="1">
        <f t="array" ref="V351">IF($BA351="","",IF(INDEX(tblServicios[Conductor],$BA351)=$T$2,"Conductor",IF(INDEX(tblServicios[Personal adicional],$BA351)=$T$2,"Personal adicional","")))</f>
        <v/>
      </c>
      <c r="BA351" s="33" t="str" cm="1">
        <f t="array" ref="BA3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adicional]=$T$2))&gt;0)),ROW(A352)),"")</f>
        <v/>
      </c>
    </row>
    <row r="352" spans="15:53" x14ac:dyDescent="0.35">
      <c r="O352" s="1" t="str" cm="1">
        <f t="array" ref="O352">IF($BA349="","",INDEX(tblServicios[Fecha],$BA349))</f>
        <v/>
      </c>
      <c r="P352" s="1" t="str" cm="1">
        <f t="array" ref="P352">IF($BA349="","",INDEX(tblServicios[Contrato],$BA349))</f>
        <v/>
      </c>
      <c r="Q352" s="1" t="str" cm="1">
        <f t="array" ref="Q352">IF($BA349="","",INDEX(tblServicios[Vehículo],$BA349))</f>
        <v/>
      </c>
      <c r="R352" s="34" t="str" cm="1">
        <f t="array" ref="R352">IF($BA349="","",INDEX(tblServicios[Base imponible (€)],$BA349)-INDEX(tblServicios[Imp. suplemento (€)],$BA349))</f>
        <v/>
      </c>
      <c r="S352" s="34" t="str" cm="1">
        <f t="array" ref="S352">IF($BA349="","",INDEX(tblServicios[Imp. suplemento (€)],$BA349))</f>
        <v/>
      </c>
      <c r="T352" t="str" cm="1">
        <f t="array" ref="T352">IF($BA352="","",INDEX(tblServicios[Tipo suplemento],$BA352))</f>
        <v/>
      </c>
      <c r="U352" s="34" t="str">
        <f t="shared" si="6"/>
        <v/>
      </c>
      <c r="V352" t="str" cm="1">
        <f t="array" ref="V352">IF($BA352="","",IF(INDEX(tblServicios[Conductor],$BA352)=$T$2,"Conductor",IF(INDEX(tblServicios[Personal adicional],$BA352)=$T$2,"Personal adicional","")))</f>
        <v/>
      </c>
      <c r="BA352" s="33" t="str" cm="1">
        <f t="array" ref="BA3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adicional]=$T$2))&gt;0)),ROW(A353)),"")</f>
        <v/>
      </c>
    </row>
    <row r="353" spans="15:53" x14ac:dyDescent="0.35">
      <c r="O353" s="1" t="str" cm="1">
        <f t="array" ref="O353">IF($BA350="","",INDEX(tblServicios[Fecha],$BA350))</f>
        <v/>
      </c>
      <c r="P353" s="1" t="str" cm="1">
        <f t="array" ref="P353">IF($BA350="","",INDEX(tblServicios[Contrato],$BA350))</f>
        <v/>
      </c>
      <c r="Q353" s="1" t="str" cm="1">
        <f t="array" ref="Q353">IF($BA350="","",INDEX(tblServicios[Vehículo],$BA350))</f>
        <v/>
      </c>
      <c r="R353" s="34" t="str" cm="1">
        <f t="array" ref="R353">IF($BA350="","",INDEX(tblServicios[Base imponible (€)],$BA350)-INDEX(tblServicios[Imp. suplemento (€)],$BA350))</f>
        <v/>
      </c>
      <c r="S353" s="34" t="str" cm="1">
        <f t="array" ref="S353">IF($BA350="","",INDEX(tblServicios[Imp. suplemento (€)],$BA350))</f>
        <v/>
      </c>
      <c r="T353" t="str" cm="1">
        <f t="array" ref="T353">IF($BA353="","",INDEX(tblServicios[Tipo suplemento],$BA353))</f>
        <v/>
      </c>
      <c r="U353" s="34" t="str">
        <f t="shared" si="6"/>
        <v/>
      </c>
      <c r="V353" t="str" cm="1">
        <f t="array" ref="V353">IF($BA353="","",IF(INDEX(tblServicios[Conductor],$BA353)=$T$2,"Conductor",IF(INDEX(tblServicios[Personal adicional],$BA353)=$T$2,"Personal adicional","")))</f>
        <v/>
      </c>
      <c r="BA353" s="33" t="str" cm="1">
        <f t="array" ref="BA3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adicional]=$T$2))&gt;0)),ROW(A354)),"")</f>
        <v/>
      </c>
    </row>
    <row r="354" spans="15:53" x14ac:dyDescent="0.35">
      <c r="O354" s="1" t="str" cm="1">
        <f t="array" ref="O354">IF($BA351="","",INDEX(tblServicios[Fecha],$BA351))</f>
        <v/>
      </c>
      <c r="P354" s="1" t="str" cm="1">
        <f t="array" ref="P354">IF($BA351="","",INDEX(tblServicios[Contrato],$BA351))</f>
        <v/>
      </c>
      <c r="Q354" s="1" t="str" cm="1">
        <f t="array" ref="Q354">IF($BA351="","",INDEX(tblServicios[Vehículo],$BA351))</f>
        <v/>
      </c>
      <c r="R354" s="34" t="str" cm="1">
        <f t="array" ref="R354">IF($BA351="","",INDEX(tblServicios[Base imponible (€)],$BA351)-INDEX(tblServicios[Imp. suplemento (€)],$BA351))</f>
        <v/>
      </c>
      <c r="S354" s="34" t="str" cm="1">
        <f t="array" ref="S354">IF($BA351="","",INDEX(tblServicios[Imp. suplemento (€)],$BA351))</f>
        <v/>
      </c>
      <c r="T354" t="str" cm="1">
        <f t="array" ref="T354">IF($BA354="","",INDEX(tblServicios[Tipo suplemento],$BA354))</f>
        <v/>
      </c>
      <c r="U354" s="34" t="str">
        <f t="shared" si="6"/>
        <v/>
      </c>
      <c r="V354" t="str" cm="1">
        <f t="array" ref="V354">IF($BA354="","",IF(INDEX(tblServicios[Conductor],$BA354)=$T$2,"Conductor",IF(INDEX(tblServicios[Personal adicional],$BA354)=$T$2,"Personal adicional","")))</f>
        <v/>
      </c>
      <c r="BA354" s="33" t="str" cm="1">
        <f t="array" ref="BA3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adicional]=$T$2))&gt;0)),ROW(A355)),"")</f>
        <v/>
      </c>
    </row>
    <row r="355" spans="15:53" x14ac:dyDescent="0.35">
      <c r="O355" s="1" t="str" cm="1">
        <f t="array" ref="O355">IF($BA352="","",INDEX(tblServicios[Fecha],$BA352))</f>
        <v/>
      </c>
      <c r="P355" s="1" t="str" cm="1">
        <f t="array" ref="P355">IF($BA352="","",INDEX(tblServicios[Contrato],$BA352))</f>
        <v/>
      </c>
      <c r="Q355" s="1" t="str" cm="1">
        <f t="array" ref="Q355">IF($BA352="","",INDEX(tblServicios[Vehículo],$BA352))</f>
        <v/>
      </c>
      <c r="R355" s="34" t="str" cm="1">
        <f t="array" ref="R355">IF($BA352="","",INDEX(tblServicios[Base imponible (€)],$BA352)-INDEX(tblServicios[Imp. suplemento (€)],$BA352))</f>
        <v/>
      </c>
      <c r="S355" s="34" t="str" cm="1">
        <f t="array" ref="S355">IF($BA352="","",INDEX(tblServicios[Imp. suplemento (€)],$BA352))</f>
        <v/>
      </c>
      <c r="T355" t="str" cm="1">
        <f t="array" ref="T355">IF($BA355="","",INDEX(tblServicios[Tipo suplemento],$BA355))</f>
        <v/>
      </c>
      <c r="U355" s="34" t="str">
        <f t="shared" si="6"/>
        <v/>
      </c>
      <c r="V355" t="str" cm="1">
        <f t="array" ref="V355">IF($BA355="","",IF(INDEX(tblServicios[Conductor],$BA355)=$T$2,"Conductor",IF(INDEX(tblServicios[Personal adicional],$BA355)=$T$2,"Personal adicional","")))</f>
        <v/>
      </c>
      <c r="BA355" s="33" t="str" cm="1">
        <f t="array" ref="BA3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adicional]=$T$2))&gt;0)),ROW(A356)),"")</f>
        <v/>
      </c>
    </row>
    <row r="356" spans="15:53" x14ac:dyDescent="0.35">
      <c r="O356" s="1" t="str" cm="1">
        <f t="array" ref="O356">IF($BA353="","",INDEX(tblServicios[Fecha],$BA353))</f>
        <v/>
      </c>
      <c r="P356" s="1" t="str" cm="1">
        <f t="array" ref="P356">IF($BA353="","",INDEX(tblServicios[Contrato],$BA353))</f>
        <v/>
      </c>
      <c r="Q356" s="1" t="str" cm="1">
        <f t="array" ref="Q356">IF($BA353="","",INDEX(tblServicios[Vehículo],$BA353))</f>
        <v/>
      </c>
      <c r="R356" s="34" t="str" cm="1">
        <f t="array" ref="R356">IF($BA353="","",INDEX(tblServicios[Base imponible (€)],$BA353)-INDEX(tblServicios[Imp. suplemento (€)],$BA353))</f>
        <v/>
      </c>
      <c r="S356" s="34" t="str" cm="1">
        <f t="array" ref="S356">IF($BA353="","",INDEX(tblServicios[Imp. suplemento (€)],$BA353))</f>
        <v/>
      </c>
      <c r="T356" t="str" cm="1">
        <f t="array" ref="T356">IF($BA356="","",INDEX(tblServicios[Tipo suplemento],$BA356))</f>
        <v/>
      </c>
      <c r="U356" s="34" t="str">
        <f t="shared" si="6"/>
        <v/>
      </c>
      <c r="V356" t="str" cm="1">
        <f t="array" ref="V356">IF($BA356="","",IF(INDEX(tblServicios[Conductor],$BA356)=$T$2,"Conductor",IF(INDEX(tblServicios[Personal adicional],$BA356)=$T$2,"Personal adicional","")))</f>
        <v/>
      </c>
      <c r="BA356" s="33" t="str" cm="1">
        <f t="array" ref="BA3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adicional]=$T$2))&gt;0)),ROW(A357)),"")</f>
        <v/>
      </c>
    </row>
    <row r="357" spans="15:53" x14ac:dyDescent="0.35">
      <c r="O357" s="1" t="str" cm="1">
        <f t="array" ref="O357">IF($BA354="","",INDEX(tblServicios[Fecha],$BA354))</f>
        <v/>
      </c>
      <c r="P357" s="1" t="str" cm="1">
        <f t="array" ref="P357">IF($BA354="","",INDEX(tblServicios[Contrato],$BA354))</f>
        <v/>
      </c>
      <c r="Q357" s="1" t="str" cm="1">
        <f t="array" ref="Q357">IF($BA354="","",INDEX(tblServicios[Vehículo],$BA354))</f>
        <v/>
      </c>
      <c r="R357" s="34" t="str" cm="1">
        <f t="array" ref="R357">IF($BA354="","",INDEX(tblServicios[Base imponible (€)],$BA354)-INDEX(tblServicios[Imp. suplemento (€)],$BA354))</f>
        <v/>
      </c>
      <c r="S357" s="34" t="str" cm="1">
        <f t="array" ref="S357">IF($BA354="","",INDEX(tblServicios[Imp. suplemento (€)],$BA354))</f>
        <v/>
      </c>
      <c r="T357" t="str" cm="1">
        <f t="array" ref="T357">IF($BA357="","",INDEX(tblServicios[Tipo suplemento],$BA357))</f>
        <v/>
      </c>
      <c r="U357" s="34" t="str">
        <f t="shared" si="6"/>
        <v/>
      </c>
      <c r="V357" t="str" cm="1">
        <f t="array" ref="V357">IF($BA357="","",IF(INDEX(tblServicios[Conductor],$BA357)=$T$2,"Conductor",IF(INDEX(tblServicios[Personal adicional],$BA357)=$T$2,"Personal adicional","")))</f>
        <v/>
      </c>
      <c r="BA357" s="33" t="str" cm="1">
        <f t="array" ref="BA3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adicional]=$T$2))&gt;0)),ROW(A358)),"")</f>
        <v/>
      </c>
    </row>
    <row r="358" spans="15:53" x14ac:dyDescent="0.35">
      <c r="O358" s="1" t="str" cm="1">
        <f t="array" ref="O358">IF($BA355="","",INDEX(tblServicios[Fecha],$BA355))</f>
        <v/>
      </c>
      <c r="P358" s="1" t="str" cm="1">
        <f t="array" ref="P358">IF($BA355="","",INDEX(tblServicios[Contrato],$BA355))</f>
        <v/>
      </c>
      <c r="Q358" s="1" t="str" cm="1">
        <f t="array" ref="Q358">IF($BA355="","",INDEX(tblServicios[Vehículo],$BA355))</f>
        <v/>
      </c>
      <c r="R358" s="34" t="str" cm="1">
        <f t="array" ref="R358">IF($BA355="","",INDEX(tblServicios[Base imponible (€)],$BA355)-INDEX(tblServicios[Imp. suplemento (€)],$BA355))</f>
        <v/>
      </c>
      <c r="S358" s="34" t="str" cm="1">
        <f t="array" ref="S358">IF($BA355="","",INDEX(tblServicios[Imp. suplemento (€)],$BA355))</f>
        <v/>
      </c>
      <c r="T358" t="str" cm="1">
        <f t="array" ref="T358">IF($BA358="","",INDEX(tblServicios[Tipo suplemento],$BA358))</f>
        <v/>
      </c>
      <c r="U358" s="34" t="str">
        <f t="shared" si="6"/>
        <v/>
      </c>
      <c r="V358" t="str" cm="1">
        <f t="array" ref="V358">IF($BA358="","",IF(INDEX(tblServicios[Conductor],$BA358)=$T$2,"Conductor",IF(INDEX(tblServicios[Personal adicional],$BA358)=$T$2,"Personal adicional","")))</f>
        <v/>
      </c>
      <c r="BA358" s="33" t="str" cm="1">
        <f t="array" ref="BA3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adicional]=$T$2))&gt;0)),ROW(A359)),"")</f>
        <v/>
      </c>
    </row>
    <row r="359" spans="15:53" x14ac:dyDescent="0.35">
      <c r="O359" s="1" t="str" cm="1">
        <f t="array" ref="O359">IF($BA356="","",INDEX(tblServicios[Fecha],$BA356))</f>
        <v/>
      </c>
      <c r="P359" s="1" t="str" cm="1">
        <f t="array" ref="P359">IF($BA356="","",INDEX(tblServicios[Contrato],$BA356))</f>
        <v/>
      </c>
      <c r="Q359" s="1" t="str" cm="1">
        <f t="array" ref="Q359">IF($BA356="","",INDEX(tblServicios[Vehículo],$BA356))</f>
        <v/>
      </c>
      <c r="R359" s="34" t="str" cm="1">
        <f t="array" ref="R359">IF($BA356="","",INDEX(tblServicios[Base imponible (€)],$BA356)-INDEX(tblServicios[Imp. suplemento (€)],$BA356))</f>
        <v/>
      </c>
      <c r="S359" s="34" t="str" cm="1">
        <f t="array" ref="S359">IF($BA356="","",INDEX(tblServicios[Imp. suplemento (€)],$BA356))</f>
        <v/>
      </c>
      <c r="T359" t="str" cm="1">
        <f t="array" ref="T359">IF($BA359="","",INDEX(tblServicios[Tipo suplemento],$BA359))</f>
        <v/>
      </c>
      <c r="U359" s="34" t="str">
        <f t="shared" si="6"/>
        <v/>
      </c>
      <c r="V359" t="str" cm="1">
        <f t="array" ref="V359">IF($BA359="","",IF(INDEX(tblServicios[Conductor],$BA359)=$T$2,"Conductor",IF(INDEX(tblServicios[Personal adicional],$BA359)=$T$2,"Personal adicional","")))</f>
        <v/>
      </c>
      <c r="BA359" s="33" t="str" cm="1">
        <f t="array" ref="BA3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adicional]=$T$2))&gt;0)),ROW(A360)),"")</f>
        <v/>
      </c>
    </row>
    <row r="360" spans="15:53" x14ac:dyDescent="0.35">
      <c r="O360" s="1" t="str" cm="1">
        <f t="array" ref="O360">IF($BA357="","",INDEX(tblServicios[Fecha],$BA357))</f>
        <v/>
      </c>
      <c r="P360" s="1" t="str" cm="1">
        <f t="array" ref="P360">IF($BA357="","",INDEX(tblServicios[Contrato],$BA357))</f>
        <v/>
      </c>
      <c r="Q360" s="1" t="str" cm="1">
        <f t="array" ref="Q360">IF($BA357="","",INDEX(tblServicios[Vehículo],$BA357))</f>
        <v/>
      </c>
      <c r="R360" s="34" t="str" cm="1">
        <f t="array" ref="R360">IF($BA357="","",INDEX(tblServicios[Base imponible (€)],$BA357)-INDEX(tblServicios[Imp. suplemento (€)],$BA357))</f>
        <v/>
      </c>
      <c r="S360" s="34" t="str" cm="1">
        <f t="array" ref="S360">IF($BA357="","",INDEX(tblServicios[Imp. suplemento (€)],$BA357))</f>
        <v/>
      </c>
      <c r="T360" t="str" cm="1">
        <f t="array" ref="T360">IF($BA360="","",INDEX(tblServicios[Tipo suplemento],$BA360))</f>
        <v/>
      </c>
      <c r="U360" s="34" t="str">
        <f t="shared" si="6"/>
        <v/>
      </c>
      <c r="V360" t="str" cm="1">
        <f t="array" ref="V360">IF($BA360="","",IF(INDEX(tblServicios[Conductor],$BA360)=$T$2,"Conductor",IF(INDEX(tblServicios[Personal adicional],$BA360)=$T$2,"Personal adicional","")))</f>
        <v/>
      </c>
      <c r="BA360" s="33" t="str" cm="1">
        <f t="array" ref="BA3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adicional]=$T$2))&gt;0)),ROW(A361)),"")</f>
        <v/>
      </c>
    </row>
    <row r="361" spans="15:53" x14ac:dyDescent="0.35">
      <c r="O361" s="1" t="str" cm="1">
        <f t="array" ref="O361">IF($BA358="","",INDEX(tblServicios[Fecha],$BA358))</f>
        <v/>
      </c>
      <c r="P361" s="1" t="str" cm="1">
        <f t="array" ref="P361">IF($BA358="","",INDEX(tblServicios[Contrato],$BA358))</f>
        <v/>
      </c>
      <c r="Q361" s="1" t="str" cm="1">
        <f t="array" ref="Q361">IF($BA358="","",INDEX(tblServicios[Vehículo],$BA358))</f>
        <v/>
      </c>
      <c r="R361" s="34" t="str" cm="1">
        <f t="array" ref="R361">IF($BA358="","",INDEX(tblServicios[Base imponible (€)],$BA358)-INDEX(tblServicios[Imp. suplemento (€)],$BA358))</f>
        <v/>
      </c>
      <c r="S361" s="34" t="str" cm="1">
        <f t="array" ref="S361">IF($BA358="","",INDEX(tblServicios[Imp. suplemento (€)],$BA358))</f>
        <v/>
      </c>
      <c r="T361" t="str" cm="1">
        <f t="array" ref="T361">IF($BA361="","",INDEX(tblServicios[Tipo suplemento],$BA361))</f>
        <v/>
      </c>
      <c r="U361" s="34" t="str">
        <f t="shared" si="6"/>
        <v/>
      </c>
      <c r="V361" t="str" cm="1">
        <f t="array" ref="V361">IF($BA361="","",IF(INDEX(tblServicios[Conductor],$BA361)=$T$2,"Conductor",IF(INDEX(tblServicios[Personal adicional],$BA361)=$T$2,"Personal adicional","")))</f>
        <v/>
      </c>
      <c r="BA361" s="33" t="str" cm="1">
        <f t="array" ref="BA3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adicional]=$T$2))&gt;0)),ROW(A362)),"")</f>
        <v/>
      </c>
    </row>
    <row r="362" spans="15:53" x14ac:dyDescent="0.35">
      <c r="O362" s="1" t="str" cm="1">
        <f t="array" ref="O362">IF($BA359="","",INDEX(tblServicios[Fecha],$BA359))</f>
        <v/>
      </c>
      <c r="P362" s="1" t="str" cm="1">
        <f t="array" ref="P362">IF($BA359="","",INDEX(tblServicios[Contrato],$BA359))</f>
        <v/>
      </c>
      <c r="Q362" s="1" t="str" cm="1">
        <f t="array" ref="Q362">IF($BA359="","",INDEX(tblServicios[Vehículo],$BA359))</f>
        <v/>
      </c>
      <c r="R362" s="34" t="str" cm="1">
        <f t="array" ref="R362">IF($BA359="","",INDEX(tblServicios[Base imponible (€)],$BA359)-INDEX(tblServicios[Imp. suplemento (€)],$BA359))</f>
        <v/>
      </c>
      <c r="S362" s="34" t="str" cm="1">
        <f t="array" ref="S362">IF($BA359="","",INDEX(tblServicios[Imp. suplemento (€)],$BA359))</f>
        <v/>
      </c>
      <c r="T362" t="str" cm="1">
        <f t="array" ref="T362">IF($BA362="","",INDEX(tblServicios[Tipo suplemento],$BA362))</f>
        <v/>
      </c>
      <c r="U362" s="34" t="str">
        <f t="shared" si="6"/>
        <v/>
      </c>
      <c r="V362" t="str" cm="1">
        <f t="array" ref="V362">IF($BA362="","",IF(INDEX(tblServicios[Conductor],$BA362)=$T$2,"Conductor",IF(INDEX(tblServicios[Personal adicional],$BA362)=$T$2,"Personal adicional","")))</f>
        <v/>
      </c>
      <c r="BA362" s="33" t="str" cm="1">
        <f t="array" ref="BA3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adicional]=$T$2))&gt;0)),ROW(A363)),"")</f>
        <v/>
      </c>
    </row>
    <row r="363" spans="15:53" x14ac:dyDescent="0.35">
      <c r="O363" s="1" t="str" cm="1">
        <f t="array" ref="O363">IF($BA360="","",INDEX(tblServicios[Fecha],$BA360))</f>
        <v/>
      </c>
      <c r="P363" s="1" t="str" cm="1">
        <f t="array" ref="P363">IF($BA360="","",INDEX(tblServicios[Contrato],$BA360))</f>
        <v/>
      </c>
      <c r="Q363" s="1" t="str" cm="1">
        <f t="array" ref="Q363">IF($BA360="","",INDEX(tblServicios[Vehículo],$BA360))</f>
        <v/>
      </c>
      <c r="R363" s="34" t="str" cm="1">
        <f t="array" ref="R363">IF($BA360="","",INDEX(tblServicios[Base imponible (€)],$BA360)-INDEX(tblServicios[Imp. suplemento (€)],$BA360))</f>
        <v/>
      </c>
      <c r="S363" s="34" t="str" cm="1">
        <f t="array" ref="S363">IF($BA360="","",INDEX(tblServicios[Imp. suplemento (€)],$BA360))</f>
        <v/>
      </c>
      <c r="T363" t="str" cm="1">
        <f t="array" ref="T363">IF($BA363="","",INDEX(tblServicios[Tipo suplemento],$BA363))</f>
        <v/>
      </c>
      <c r="U363" s="34" t="str">
        <f t="shared" si="6"/>
        <v/>
      </c>
      <c r="V363" t="str" cm="1">
        <f t="array" ref="V363">IF($BA363="","",IF(INDEX(tblServicios[Conductor],$BA363)=$T$2,"Conductor",IF(INDEX(tblServicios[Personal adicional],$BA363)=$T$2,"Personal adicional","")))</f>
        <v/>
      </c>
      <c r="BA363" s="33" t="str" cm="1">
        <f t="array" ref="BA3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adicional]=$T$2))&gt;0)),ROW(A364)),"")</f>
        <v/>
      </c>
    </row>
    <row r="364" spans="15:53" x14ac:dyDescent="0.35">
      <c r="O364" s="1" t="str" cm="1">
        <f t="array" ref="O364">IF($BA361="","",INDEX(tblServicios[Fecha],$BA361))</f>
        <v/>
      </c>
      <c r="P364" s="1" t="str" cm="1">
        <f t="array" ref="P364">IF($BA361="","",INDEX(tblServicios[Contrato],$BA361))</f>
        <v/>
      </c>
      <c r="Q364" s="1" t="str" cm="1">
        <f t="array" ref="Q364">IF($BA361="","",INDEX(tblServicios[Vehículo],$BA361))</f>
        <v/>
      </c>
      <c r="R364" s="34" t="str" cm="1">
        <f t="array" ref="R364">IF($BA361="","",INDEX(tblServicios[Base imponible (€)],$BA361)-INDEX(tblServicios[Imp. suplemento (€)],$BA361))</f>
        <v/>
      </c>
      <c r="S364" s="34" t="str" cm="1">
        <f t="array" ref="S364">IF($BA361="","",INDEX(tblServicios[Imp. suplemento (€)],$BA361))</f>
        <v/>
      </c>
      <c r="T364" t="str" cm="1">
        <f t="array" ref="T364">IF($BA364="","",INDEX(tblServicios[Tipo suplemento],$BA364))</f>
        <v/>
      </c>
      <c r="U364" s="34" t="str">
        <f t="shared" si="6"/>
        <v/>
      </c>
      <c r="V364" t="str" cm="1">
        <f t="array" ref="V364">IF($BA364="","",IF(INDEX(tblServicios[Conductor],$BA364)=$T$2,"Conductor",IF(INDEX(tblServicios[Personal adicional],$BA364)=$T$2,"Personal adicional","")))</f>
        <v/>
      </c>
      <c r="BA364" s="33" t="str" cm="1">
        <f t="array" ref="BA3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adicional]=$T$2))&gt;0)),ROW(A365)),"")</f>
        <v/>
      </c>
    </row>
    <row r="365" spans="15:53" x14ac:dyDescent="0.35">
      <c r="O365" s="1" t="str" cm="1">
        <f t="array" ref="O365">IF($BA362="","",INDEX(tblServicios[Fecha],$BA362))</f>
        <v/>
      </c>
      <c r="P365" s="1" t="str" cm="1">
        <f t="array" ref="P365">IF($BA362="","",INDEX(tblServicios[Contrato],$BA362))</f>
        <v/>
      </c>
      <c r="Q365" s="1" t="str" cm="1">
        <f t="array" ref="Q365">IF($BA362="","",INDEX(tblServicios[Vehículo],$BA362))</f>
        <v/>
      </c>
      <c r="R365" s="34" t="str" cm="1">
        <f t="array" ref="R365">IF($BA362="","",INDEX(tblServicios[Base imponible (€)],$BA362)-INDEX(tblServicios[Imp. suplemento (€)],$BA362))</f>
        <v/>
      </c>
      <c r="S365" s="34" t="str" cm="1">
        <f t="array" ref="S365">IF($BA362="","",INDEX(tblServicios[Imp. suplemento (€)],$BA362))</f>
        <v/>
      </c>
      <c r="T365" t="str" cm="1">
        <f t="array" ref="T365">IF($BA365="","",INDEX(tblServicios[Tipo suplemento],$BA365))</f>
        <v/>
      </c>
      <c r="U365" s="34" t="str">
        <f t="shared" si="6"/>
        <v/>
      </c>
      <c r="V365" t="str" cm="1">
        <f t="array" ref="V365">IF($BA365="","",IF(INDEX(tblServicios[Conductor],$BA365)=$T$2,"Conductor",IF(INDEX(tblServicios[Personal adicional],$BA365)=$T$2,"Personal adicional","")))</f>
        <v/>
      </c>
      <c r="BA365" s="33" t="str" cm="1">
        <f t="array" ref="BA3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adicional]=$T$2))&gt;0)),ROW(A366)),"")</f>
        <v/>
      </c>
    </row>
    <row r="366" spans="15:53" x14ac:dyDescent="0.35">
      <c r="O366" s="1" t="str" cm="1">
        <f t="array" ref="O366">IF($BA363="","",INDEX(tblServicios[Fecha],$BA363))</f>
        <v/>
      </c>
      <c r="P366" s="1" t="str" cm="1">
        <f t="array" ref="P366">IF($BA363="","",INDEX(tblServicios[Contrato],$BA363))</f>
        <v/>
      </c>
      <c r="Q366" s="1" t="str" cm="1">
        <f t="array" ref="Q366">IF($BA363="","",INDEX(tblServicios[Vehículo],$BA363))</f>
        <v/>
      </c>
      <c r="R366" s="34" t="str" cm="1">
        <f t="array" ref="R366">IF($BA363="","",INDEX(tblServicios[Base imponible (€)],$BA363)-INDEX(tblServicios[Imp. suplemento (€)],$BA363))</f>
        <v/>
      </c>
      <c r="S366" s="34" t="str" cm="1">
        <f t="array" ref="S366">IF($BA363="","",INDEX(tblServicios[Imp. suplemento (€)],$BA363))</f>
        <v/>
      </c>
      <c r="T366" t="str" cm="1">
        <f t="array" ref="T366">IF($BA366="","",INDEX(tblServicios[Tipo suplemento],$BA366))</f>
        <v/>
      </c>
      <c r="U366" s="34" t="str">
        <f t="shared" si="6"/>
        <v/>
      </c>
      <c r="V366" t="str" cm="1">
        <f t="array" ref="V366">IF($BA366="","",IF(INDEX(tblServicios[Conductor],$BA366)=$T$2,"Conductor",IF(INDEX(tblServicios[Personal adicional],$BA366)=$T$2,"Personal adicional","")))</f>
        <v/>
      </c>
      <c r="BA366" s="33" t="str" cm="1">
        <f t="array" ref="BA3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adicional]=$T$2))&gt;0)),ROW(A367)),"")</f>
        <v/>
      </c>
    </row>
    <row r="367" spans="15:53" x14ac:dyDescent="0.35">
      <c r="O367" s="1" t="str" cm="1">
        <f t="array" ref="O367">IF($BA364="","",INDEX(tblServicios[Fecha],$BA364))</f>
        <v/>
      </c>
      <c r="P367" s="1" t="str" cm="1">
        <f t="array" ref="P367">IF($BA364="","",INDEX(tblServicios[Contrato],$BA364))</f>
        <v/>
      </c>
      <c r="Q367" s="1" t="str" cm="1">
        <f t="array" ref="Q367">IF($BA364="","",INDEX(tblServicios[Vehículo],$BA364))</f>
        <v/>
      </c>
      <c r="R367" s="34" t="str" cm="1">
        <f t="array" ref="R367">IF($BA364="","",INDEX(tblServicios[Base imponible (€)],$BA364)-INDEX(tblServicios[Imp. suplemento (€)],$BA364))</f>
        <v/>
      </c>
      <c r="S367" s="34" t="str" cm="1">
        <f t="array" ref="S367">IF($BA364="","",INDEX(tblServicios[Imp. suplemento (€)],$BA364))</f>
        <v/>
      </c>
      <c r="T367" t="str" cm="1">
        <f t="array" ref="T367">IF($BA367="","",INDEX(tblServicios[Tipo suplemento],$BA367))</f>
        <v/>
      </c>
      <c r="U367" s="34" t="str">
        <f t="shared" si="6"/>
        <v/>
      </c>
      <c r="V367" t="str" cm="1">
        <f t="array" ref="V367">IF($BA367="","",IF(INDEX(tblServicios[Conductor],$BA367)=$T$2,"Conductor",IF(INDEX(tblServicios[Personal adicional],$BA367)=$T$2,"Personal adicional","")))</f>
        <v/>
      </c>
      <c r="BA367" s="33" t="str" cm="1">
        <f t="array" ref="BA3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adicional]=$T$2))&gt;0)),ROW(A368)),"")</f>
        <v/>
      </c>
    </row>
    <row r="368" spans="15:53" x14ac:dyDescent="0.35">
      <c r="O368" s="1" t="str" cm="1">
        <f t="array" ref="O368">IF($BA365="","",INDEX(tblServicios[Fecha],$BA365))</f>
        <v/>
      </c>
      <c r="P368" s="1" t="str" cm="1">
        <f t="array" ref="P368">IF($BA365="","",INDEX(tblServicios[Contrato],$BA365))</f>
        <v/>
      </c>
      <c r="Q368" s="1" t="str" cm="1">
        <f t="array" ref="Q368">IF($BA365="","",INDEX(tblServicios[Vehículo],$BA365))</f>
        <v/>
      </c>
      <c r="R368" s="34" t="str" cm="1">
        <f t="array" ref="R368">IF($BA365="","",INDEX(tblServicios[Base imponible (€)],$BA365)-INDEX(tblServicios[Imp. suplemento (€)],$BA365))</f>
        <v/>
      </c>
      <c r="S368" s="34" t="str" cm="1">
        <f t="array" ref="S368">IF($BA365="","",INDEX(tblServicios[Imp. suplemento (€)],$BA365))</f>
        <v/>
      </c>
      <c r="T368" t="str" cm="1">
        <f t="array" ref="T368">IF($BA368="","",INDEX(tblServicios[Tipo suplemento],$BA368))</f>
        <v/>
      </c>
      <c r="U368" s="34" t="str">
        <f t="shared" si="6"/>
        <v/>
      </c>
      <c r="V368" t="str" cm="1">
        <f t="array" ref="V368">IF($BA368="","",IF(INDEX(tblServicios[Conductor],$BA368)=$T$2,"Conductor",IF(INDEX(tblServicios[Personal adicional],$BA368)=$T$2,"Personal adicional","")))</f>
        <v/>
      </c>
      <c r="BA368" s="33" t="str" cm="1">
        <f t="array" ref="BA3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adicional]=$T$2))&gt;0)),ROW(A369)),"")</f>
        <v/>
      </c>
    </row>
    <row r="369" spans="15:53" x14ac:dyDescent="0.35">
      <c r="O369" s="1" t="str" cm="1">
        <f t="array" ref="O369">IF($BA366="","",INDEX(tblServicios[Fecha],$BA366))</f>
        <v/>
      </c>
      <c r="P369" s="1" t="str" cm="1">
        <f t="array" ref="P369">IF($BA366="","",INDEX(tblServicios[Contrato],$BA366))</f>
        <v/>
      </c>
      <c r="Q369" s="1" t="str" cm="1">
        <f t="array" ref="Q369">IF($BA366="","",INDEX(tblServicios[Vehículo],$BA366))</f>
        <v/>
      </c>
      <c r="R369" s="34" t="str" cm="1">
        <f t="array" ref="R369">IF($BA366="","",INDEX(tblServicios[Base imponible (€)],$BA366)-INDEX(tblServicios[Imp. suplemento (€)],$BA366))</f>
        <v/>
      </c>
      <c r="S369" s="34" t="str" cm="1">
        <f t="array" ref="S369">IF($BA366="","",INDEX(tblServicios[Imp. suplemento (€)],$BA366))</f>
        <v/>
      </c>
      <c r="T369" t="str" cm="1">
        <f t="array" ref="T369">IF($BA369="","",INDEX(tblServicios[Tipo suplemento],$BA369))</f>
        <v/>
      </c>
      <c r="U369" s="34" t="str">
        <f t="shared" si="6"/>
        <v/>
      </c>
      <c r="V369" t="str" cm="1">
        <f t="array" ref="V369">IF($BA369="","",IF(INDEX(tblServicios[Conductor],$BA369)=$T$2,"Conductor",IF(INDEX(tblServicios[Personal adicional],$BA369)=$T$2,"Personal adicional","")))</f>
        <v/>
      </c>
      <c r="BA369" s="33" t="str" cm="1">
        <f t="array" ref="BA3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adicional]=$T$2))&gt;0)),ROW(A370)),"")</f>
        <v/>
      </c>
    </row>
    <row r="370" spans="15:53" x14ac:dyDescent="0.35">
      <c r="O370" s="1" t="str" cm="1">
        <f t="array" ref="O370">IF($BA367="","",INDEX(tblServicios[Fecha],$BA367))</f>
        <v/>
      </c>
      <c r="P370" s="1" t="str" cm="1">
        <f t="array" ref="P370">IF($BA367="","",INDEX(tblServicios[Contrato],$BA367))</f>
        <v/>
      </c>
      <c r="Q370" s="1" t="str" cm="1">
        <f t="array" ref="Q370">IF($BA367="","",INDEX(tblServicios[Vehículo],$BA367))</f>
        <v/>
      </c>
      <c r="R370" s="34" t="str" cm="1">
        <f t="array" ref="R370">IF($BA367="","",INDEX(tblServicios[Base imponible (€)],$BA367)-INDEX(tblServicios[Imp. suplemento (€)],$BA367))</f>
        <v/>
      </c>
      <c r="S370" s="34" t="str" cm="1">
        <f t="array" ref="S370">IF($BA367="","",INDEX(tblServicios[Imp. suplemento (€)],$BA367))</f>
        <v/>
      </c>
      <c r="T370" t="str" cm="1">
        <f t="array" ref="T370">IF($BA370="","",INDEX(tblServicios[Tipo suplemento],$BA370))</f>
        <v/>
      </c>
      <c r="U370" s="34" t="str">
        <f t="shared" si="6"/>
        <v/>
      </c>
      <c r="V370" t="str" cm="1">
        <f t="array" ref="V370">IF($BA370="","",IF(INDEX(tblServicios[Conductor],$BA370)=$T$2,"Conductor",IF(INDEX(tblServicios[Personal adicional],$BA370)=$T$2,"Personal adicional","")))</f>
        <v/>
      </c>
      <c r="BA370" s="33" t="str" cm="1">
        <f t="array" ref="BA3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adicional]=$T$2))&gt;0)),ROW(A371)),"")</f>
        <v/>
      </c>
    </row>
    <row r="371" spans="15:53" x14ac:dyDescent="0.35">
      <c r="O371" s="1" t="str" cm="1">
        <f t="array" ref="O371">IF($BA368="","",INDEX(tblServicios[Fecha],$BA368))</f>
        <v/>
      </c>
      <c r="P371" s="1" t="str" cm="1">
        <f t="array" ref="P371">IF($BA368="","",INDEX(tblServicios[Contrato],$BA368))</f>
        <v/>
      </c>
      <c r="Q371" s="1" t="str" cm="1">
        <f t="array" ref="Q371">IF($BA368="","",INDEX(tblServicios[Vehículo],$BA368))</f>
        <v/>
      </c>
      <c r="R371" s="34" t="str" cm="1">
        <f t="array" ref="R371">IF($BA368="","",INDEX(tblServicios[Base imponible (€)],$BA368)-INDEX(tblServicios[Imp. suplemento (€)],$BA368))</f>
        <v/>
      </c>
      <c r="S371" s="34" t="str" cm="1">
        <f t="array" ref="S371">IF($BA368="","",INDEX(tblServicios[Imp. suplemento (€)],$BA368))</f>
        <v/>
      </c>
      <c r="T371" t="str" cm="1">
        <f t="array" ref="T371">IF($BA371="","",INDEX(tblServicios[Tipo suplemento],$BA371))</f>
        <v/>
      </c>
      <c r="U371" s="34" t="str">
        <f t="shared" si="6"/>
        <v/>
      </c>
      <c r="V371" t="str" cm="1">
        <f t="array" ref="V371">IF($BA371="","",IF(INDEX(tblServicios[Conductor],$BA371)=$T$2,"Conductor",IF(INDEX(tblServicios[Personal adicional],$BA371)=$T$2,"Personal adicional","")))</f>
        <v/>
      </c>
      <c r="BA371" s="33" t="str" cm="1">
        <f t="array" ref="BA3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adicional]=$T$2))&gt;0)),ROW(A372)),"")</f>
        <v/>
      </c>
    </row>
    <row r="372" spans="15:53" x14ac:dyDescent="0.35">
      <c r="O372" s="1" t="str" cm="1">
        <f t="array" ref="O372">IF($BA369="","",INDEX(tblServicios[Fecha],$BA369))</f>
        <v/>
      </c>
      <c r="P372" s="1" t="str" cm="1">
        <f t="array" ref="P372">IF($BA369="","",INDEX(tblServicios[Contrato],$BA369))</f>
        <v/>
      </c>
      <c r="Q372" s="1" t="str" cm="1">
        <f t="array" ref="Q372">IF($BA369="","",INDEX(tblServicios[Vehículo],$BA369))</f>
        <v/>
      </c>
      <c r="R372" s="34" t="str" cm="1">
        <f t="array" ref="R372">IF($BA369="","",INDEX(tblServicios[Base imponible (€)],$BA369)-INDEX(tblServicios[Imp. suplemento (€)],$BA369))</f>
        <v/>
      </c>
      <c r="S372" s="34" t="str" cm="1">
        <f t="array" ref="S372">IF($BA369="","",INDEX(tblServicios[Imp. suplemento (€)],$BA369))</f>
        <v/>
      </c>
      <c r="T372" t="str" cm="1">
        <f t="array" ref="T372">IF($BA372="","",INDEX(tblServicios[Tipo suplemento],$BA372))</f>
        <v/>
      </c>
      <c r="U372" s="34" t="str">
        <f t="shared" si="6"/>
        <v/>
      </c>
      <c r="V372" t="str" cm="1">
        <f t="array" ref="V372">IF($BA372="","",IF(INDEX(tblServicios[Conductor],$BA372)=$T$2,"Conductor",IF(INDEX(tblServicios[Personal adicional],$BA372)=$T$2,"Personal adicional","")))</f>
        <v/>
      </c>
      <c r="BA372" s="33" t="str" cm="1">
        <f t="array" ref="BA3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adicional]=$T$2))&gt;0)),ROW(A373)),"")</f>
        <v/>
      </c>
    </row>
    <row r="373" spans="15:53" x14ac:dyDescent="0.35">
      <c r="O373" s="1" t="str" cm="1">
        <f t="array" ref="O373">IF($BA370="","",INDEX(tblServicios[Fecha],$BA370))</f>
        <v/>
      </c>
      <c r="P373" s="1" t="str" cm="1">
        <f t="array" ref="P373">IF($BA370="","",INDEX(tblServicios[Contrato],$BA370))</f>
        <v/>
      </c>
      <c r="Q373" s="1" t="str" cm="1">
        <f t="array" ref="Q373">IF($BA370="","",INDEX(tblServicios[Vehículo],$BA370))</f>
        <v/>
      </c>
      <c r="R373" s="34" t="str" cm="1">
        <f t="array" ref="R373">IF($BA370="","",INDEX(tblServicios[Base imponible (€)],$BA370)-INDEX(tblServicios[Imp. suplemento (€)],$BA370))</f>
        <v/>
      </c>
      <c r="S373" s="34" t="str" cm="1">
        <f t="array" ref="S373">IF($BA370="","",INDEX(tblServicios[Imp. suplemento (€)],$BA370))</f>
        <v/>
      </c>
      <c r="T373" t="str" cm="1">
        <f t="array" ref="T373">IF($BA373="","",INDEX(tblServicios[Tipo suplemento],$BA373))</f>
        <v/>
      </c>
      <c r="U373" s="34" t="str">
        <f t="shared" si="6"/>
        <v/>
      </c>
      <c r="V373" t="str" cm="1">
        <f t="array" ref="V373">IF($BA373="","",IF(INDEX(tblServicios[Conductor],$BA373)=$T$2,"Conductor",IF(INDEX(tblServicios[Personal adicional],$BA373)=$T$2,"Personal adicional","")))</f>
        <v/>
      </c>
      <c r="BA373" s="33" t="str" cm="1">
        <f t="array" ref="BA3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adicional]=$T$2))&gt;0)),ROW(A374)),"")</f>
        <v/>
      </c>
    </row>
    <row r="374" spans="15:53" x14ac:dyDescent="0.35">
      <c r="O374" s="1" t="str" cm="1">
        <f t="array" ref="O374">IF($BA371="","",INDEX(tblServicios[Fecha],$BA371))</f>
        <v/>
      </c>
      <c r="P374" s="1" t="str" cm="1">
        <f t="array" ref="P374">IF($BA371="","",INDEX(tblServicios[Contrato],$BA371))</f>
        <v/>
      </c>
      <c r="Q374" s="1" t="str" cm="1">
        <f t="array" ref="Q374">IF($BA371="","",INDEX(tblServicios[Vehículo],$BA371))</f>
        <v/>
      </c>
      <c r="R374" s="34" t="str" cm="1">
        <f t="array" ref="R374">IF($BA371="","",INDEX(tblServicios[Base imponible (€)],$BA371)-INDEX(tblServicios[Imp. suplemento (€)],$BA371))</f>
        <v/>
      </c>
      <c r="S374" s="34" t="str" cm="1">
        <f t="array" ref="S374">IF($BA371="","",INDEX(tblServicios[Imp. suplemento (€)],$BA371))</f>
        <v/>
      </c>
      <c r="T374" t="str" cm="1">
        <f t="array" ref="T374">IF($BA374="","",INDEX(tblServicios[Tipo suplemento],$BA374))</f>
        <v/>
      </c>
      <c r="U374" s="34" t="str">
        <f t="shared" si="6"/>
        <v/>
      </c>
      <c r="V374" t="str" cm="1">
        <f t="array" ref="V374">IF($BA374="","",IF(INDEX(tblServicios[Conductor],$BA374)=$T$2,"Conductor",IF(INDEX(tblServicios[Personal adicional],$BA374)=$T$2,"Personal adicional","")))</f>
        <v/>
      </c>
      <c r="BA374" s="33" t="str" cm="1">
        <f t="array" ref="BA3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adicional]=$T$2))&gt;0)),ROW(A375)),"")</f>
        <v/>
      </c>
    </row>
    <row r="375" spans="15:53" x14ac:dyDescent="0.35">
      <c r="O375" s="1" t="str" cm="1">
        <f t="array" ref="O375">IF($BA372="","",INDEX(tblServicios[Fecha],$BA372))</f>
        <v/>
      </c>
      <c r="P375" s="1" t="str" cm="1">
        <f t="array" ref="P375">IF($BA372="","",INDEX(tblServicios[Contrato],$BA372))</f>
        <v/>
      </c>
      <c r="Q375" s="1" t="str" cm="1">
        <f t="array" ref="Q375">IF($BA372="","",INDEX(tblServicios[Vehículo],$BA372))</f>
        <v/>
      </c>
      <c r="R375" s="34" t="str" cm="1">
        <f t="array" ref="R375">IF($BA372="","",INDEX(tblServicios[Base imponible (€)],$BA372)-INDEX(tblServicios[Imp. suplemento (€)],$BA372))</f>
        <v/>
      </c>
      <c r="S375" s="34" t="str" cm="1">
        <f t="array" ref="S375">IF($BA372="","",INDEX(tblServicios[Imp. suplemento (€)],$BA372))</f>
        <v/>
      </c>
      <c r="T375" t="str" cm="1">
        <f t="array" ref="T375">IF($BA375="","",INDEX(tblServicios[Tipo suplemento],$BA375))</f>
        <v/>
      </c>
      <c r="U375" s="34" t="str">
        <f t="shared" si="6"/>
        <v/>
      </c>
      <c r="V375" t="str" cm="1">
        <f t="array" ref="V375">IF($BA375="","",IF(INDEX(tblServicios[Conductor],$BA375)=$T$2,"Conductor",IF(INDEX(tblServicios[Personal adicional],$BA375)=$T$2,"Personal adicional","")))</f>
        <v/>
      </c>
      <c r="BA375" s="33" t="str" cm="1">
        <f t="array" ref="BA3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adicional]=$T$2))&gt;0)),ROW(A376)),"")</f>
        <v/>
      </c>
    </row>
    <row r="376" spans="15:53" x14ac:dyDescent="0.35">
      <c r="O376" s="1" t="str" cm="1">
        <f t="array" ref="O376">IF($BA373="","",INDEX(tblServicios[Fecha],$BA373))</f>
        <v/>
      </c>
      <c r="P376" s="1" t="str" cm="1">
        <f t="array" ref="P376">IF($BA373="","",INDEX(tblServicios[Contrato],$BA373))</f>
        <v/>
      </c>
      <c r="Q376" s="1" t="str" cm="1">
        <f t="array" ref="Q376">IF($BA373="","",INDEX(tblServicios[Vehículo],$BA373))</f>
        <v/>
      </c>
      <c r="R376" s="34" t="str" cm="1">
        <f t="array" ref="R376">IF($BA373="","",INDEX(tblServicios[Base imponible (€)],$BA373)-INDEX(tblServicios[Imp. suplemento (€)],$BA373))</f>
        <v/>
      </c>
      <c r="S376" s="34" t="str" cm="1">
        <f t="array" ref="S376">IF($BA373="","",INDEX(tblServicios[Imp. suplemento (€)],$BA373))</f>
        <v/>
      </c>
      <c r="T376" t="str" cm="1">
        <f t="array" ref="T376">IF($BA376="","",INDEX(tblServicios[Tipo suplemento],$BA376))</f>
        <v/>
      </c>
      <c r="U376" s="34" t="str">
        <f t="shared" si="6"/>
        <v/>
      </c>
      <c r="V376" t="str" cm="1">
        <f t="array" ref="V376">IF($BA376="","",IF(INDEX(tblServicios[Conductor],$BA376)=$T$2,"Conductor",IF(INDEX(tblServicios[Personal adicional],$BA376)=$T$2,"Personal adicional","")))</f>
        <v/>
      </c>
      <c r="BA376" s="33" t="str" cm="1">
        <f t="array" ref="BA3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adicional]=$T$2))&gt;0)),ROW(A377)),"")</f>
        <v/>
      </c>
    </row>
    <row r="377" spans="15:53" x14ac:dyDescent="0.35">
      <c r="O377" s="1" t="str" cm="1">
        <f t="array" ref="O377">IF($BA374="","",INDEX(tblServicios[Fecha],$BA374))</f>
        <v/>
      </c>
      <c r="P377" s="1" t="str" cm="1">
        <f t="array" ref="P377">IF($BA374="","",INDEX(tblServicios[Contrato],$BA374))</f>
        <v/>
      </c>
      <c r="Q377" s="1" t="str" cm="1">
        <f t="array" ref="Q377">IF($BA374="","",INDEX(tblServicios[Vehículo],$BA374))</f>
        <v/>
      </c>
      <c r="R377" s="34" t="str" cm="1">
        <f t="array" ref="R377">IF($BA374="","",INDEX(tblServicios[Base imponible (€)],$BA374)-INDEX(tblServicios[Imp. suplemento (€)],$BA374))</f>
        <v/>
      </c>
      <c r="S377" s="34" t="str" cm="1">
        <f t="array" ref="S377">IF($BA374="","",INDEX(tblServicios[Imp. suplemento (€)],$BA374))</f>
        <v/>
      </c>
      <c r="T377" t="str" cm="1">
        <f t="array" ref="T377">IF($BA377="","",INDEX(tblServicios[Tipo suplemento],$BA377))</f>
        <v/>
      </c>
      <c r="U377" s="34" t="str">
        <f t="shared" si="6"/>
        <v/>
      </c>
      <c r="V377" t="str" cm="1">
        <f t="array" ref="V377">IF($BA377="","",IF(INDEX(tblServicios[Conductor],$BA377)=$T$2,"Conductor",IF(INDEX(tblServicios[Personal adicional],$BA377)=$T$2,"Personal adicional","")))</f>
        <v/>
      </c>
      <c r="BA377" s="33" t="str" cm="1">
        <f t="array" ref="BA3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adicional]=$T$2))&gt;0)),ROW(A378)),"")</f>
        <v/>
      </c>
    </row>
    <row r="378" spans="15:53" x14ac:dyDescent="0.35">
      <c r="O378" s="1" t="str" cm="1">
        <f t="array" ref="O378">IF($BA375="","",INDEX(tblServicios[Fecha],$BA375))</f>
        <v/>
      </c>
      <c r="P378" s="1" t="str" cm="1">
        <f t="array" ref="P378">IF($BA375="","",INDEX(tblServicios[Contrato],$BA375))</f>
        <v/>
      </c>
      <c r="Q378" s="1" t="str" cm="1">
        <f t="array" ref="Q378">IF($BA375="","",INDEX(tblServicios[Vehículo],$BA375))</f>
        <v/>
      </c>
      <c r="R378" s="34" t="str" cm="1">
        <f t="array" ref="R378">IF($BA375="","",INDEX(tblServicios[Base imponible (€)],$BA375)-INDEX(tblServicios[Imp. suplemento (€)],$BA375))</f>
        <v/>
      </c>
      <c r="S378" s="34" t="str" cm="1">
        <f t="array" ref="S378">IF($BA375="","",INDEX(tblServicios[Imp. suplemento (€)],$BA375))</f>
        <v/>
      </c>
      <c r="T378" t="str" cm="1">
        <f t="array" ref="T378">IF($BA378="","",INDEX(tblServicios[Tipo suplemento],$BA378))</f>
        <v/>
      </c>
      <c r="U378" s="34" t="str">
        <f t="shared" si="6"/>
        <v/>
      </c>
      <c r="V378" t="str" cm="1">
        <f t="array" ref="V378">IF($BA378="","",IF(INDEX(tblServicios[Conductor],$BA378)=$T$2,"Conductor",IF(INDEX(tblServicios[Personal adicional],$BA378)=$T$2,"Personal adicional","")))</f>
        <v/>
      </c>
      <c r="BA378" s="33" t="str" cm="1">
        <f t="array" ref="BA3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adicional]=$T$2))&gt;0)),ROW(A379)),"")</f>
        <v/>
      </c>
    </row>
    <row r="379" spans="15:53" x14ac:dyDescent="0.35">
      <c r="O379" s="1" t="str" cm="1">
        <f t="array" ref="O379">IF($BA376="","",INDEX(tblServicios[Fecha],$BA376))</f>
        <v/>
      </c>
      <c r="P379" s="1" t="str" cm="1">
        <f t="array" ref="P379">IF($BA376="","",INDEX(tblServicios[Contrato],$BA376))</f>
        <v/>
      </c>
      <c r="Q379" s="1" t="str" cm="1">
        <f t="array" ref="Q379">IF($BA376="","",INDEX(tblServicios[Vehículo],$BA376))</f>
        <v/>
      </c>
      <c r="R379" s="34" t="str" cm="1">
        <f t="array" ref="R379">IF($BA376="","",INDEX(tblServicios[Base imponible (€)],$BA376)-INDEX(tblServicios[Imp. suplemento (€)],$BA376))</f>
        <v/>
      </c>
      <c r="S379" s="34" t="str" cm="1">
        <f t="array" ref="S379">IF($BA376="","",INDEX(tblServicios[Imp. suplemento (€)],$BA376))</f>
        <v/>
      </c>
      <c r="T379" t="str" cm="1">
        <f t="array" ref="T379">IF($BA379="","",INDEX(tblServicios[Tipo suplemento],$BA379))</f>
        <v/>
      </c>
      <c r="U379" s="34" t="str">
        <f t="shared" si="6"/>
        <v/>
      </c>
      <c r="V379" t="str" cm="1">
        <f t="array" ref="V379">IF($BA379="","",IF(INDEX(tblServicios[Conductor],$BA379)=$T$2,"Conductor",IF(INDEX(tblServicios[Personal adicional],$BA379)=$T$2,"Personal adicional","")))</f>
        <v/>
      </c>
      <c r="BA379" s="33" t="str" cm="1">
        <f t="array" ref="BA3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adicional]=$T$2))&gt;0)),ROW(A380)),"")</f>
        <v/>
      </c>
    </row>
    <row r="380" spans="15:53" x14ac:dyDescent="0.35">
      <c r="O380" s="1" t="str" cm="1">
        <f t="array" ref="O380">IF($BA377="","",INDEX(tblServicios[Fecha],$BA377))</f>
        <v/>
      </c>
      <c r="P380" s="1" t="str" cm="1">
        <f t="array" ref="P380">IF($BA377="","",INDEX(tblServicios[Contrato],$BA377))</f>
        <v/>
      </c>
      <c r="Q380" s="1" t="str" cm="1">
        <f t="array" ref="Q380">IF($BA377="","",INDEX(tblServicios[Vehículo],$BA377))</f>
        <v/>
      </c>
      <c r="R380" s="34" t="str" cm="1">
        <f t="array" ref="R380">IF($BA377="","",INDEX(tblServicios[Base imponible (€)],$BA377)-INDEX(tblServicios[Imp. suplemento (€)],$BA377))</f>
        <v/>
      </c>
      <c r="S380" s="34" t="str" cm="1">
        <f t="array" ref="S380">IF($BA377="","",INDEX(tblServicios[Imp. suplemento (€)],$BA377))</f>
        <v/>
      </c>
      <c r="T380" t="str" cm="1">
        <f t="array" ref="T380">IF($BA380="","",INDEX(tblServicios[Tipo suplemento],$BA380))</f>
        <v/>
      </c>
      <c r="U380" s="34" t="str">
        <f t="shared" si="6"/>
        <v/>
      </c>
      <c r="V380" t="str" cm="1">
        <f t="array" ref="V380">IF($BA380="","",IF(INDEX(tblServicios[Conductor],$BA380)=$T$2,"Conductor",IF(INDEX(tblServicios[Personal adicional],$BA380)=$T$2,"Personal adicional","")))</f>
        <v/>
      </c>
      <c r="BA380" s="33" t="str" cm="1">
        <f t="array" ref="BA3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adicional]=$T$2))&gt;0)),ROW(A381)),"")</f>
        <v/>
      </c>
    </row>
    <row r="381" spans="15:53" x14ac:dyDescent="0.35">
      <c r="O381" s="1" t="str" cm="1">
        <f t="array" ref="O381">IF($BA378="","",INDEX(tblServicios[Fecha],$BA378))</f>
        <v/>
      </c>
      <c r="P381" s="1" t="str" cm="1">
        <f t="array" ref="P381">IF($BA378="","",INDEX(tblServicios[Contrato],$BA378))</f>
        <v/>
      </c>
      <c r="Q381" s="1" t="str" cm="1">
        <f t="array" ref="Q381">IF($BA378="","",INDEX(tblServicios[Vehículo],$BA378))</f>
        <v/>
      </c>
      <c r="R381" s="34" t="str" cm="1">
        <f t="array" ref="R381">IF($BA378="","",INDEX(tblServicios[Base imponible (€)],$BA378)-INDEX(tblServicios[Imp. suplemento (€)],$BA378))</f>
        <v/>
      </c>
      <c r="S381" s="34" t="str" cm="1">
        <f t="array" ref="S381">IF($BA378="","",INDEX(tblServicios[Imp. suplemento (€)],$BA378))</f>
        <v/>
      </c>
      <c r="T381" t="str" cm="1">
        <f t="array" ref="T381">IF($BA381="","",INDEX(tblServicios[Tipo suplemento],$BA381))</f>
        <v/>
      </c>
      <c r="U381" s="34" t="str">
        <f t="shared" si="6"/>
        <v/>
      </c>
      <c r="V381" t="str" cm="1">
        <f t="array" ref="V381">IF($BA381="","",IF(INDEX(tblServicios[Conductor],$BA381)=$T$2,"Conductor",IF(INDEX(tblServicios[Personal adicional],$BA381)=$T$2,"Personal adicional","")))</f>
        <v/>
      </c>
      <c r="BA381" s="33" t="str" cm="1">
        <f t="array" ref="BA3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adicional]=$T$2))&gt;0)),ROW(A382)),"")</f>
        <v/>
      </c>
    </row>
    <row r="382" spans="15:53" x14ac:dyDescent="0.35">
      <c r="O382" s="1" t="str" cm="1">
        <f t="array" ref="O382">IF($BA379="","",INDEX(tblServicios[Fecha],$BA379))</f>
        <v/>
      </c>
      <c r="P382" s="1" t="str" cm="1">
        <f t="array" ref="P382">IF($BA379="","",INDEX(tblServicios[Contrato],$BA379))</f>
        <v/>
      </c>
      <c r="Q382" s="1" t="str" cm="1">
        <f t="array" ref="Q382">IF($BA379="","",INDEX(tblServicios[Vehículo],$BA379))</f>
        <v/>
      </c>
      <c r="R382" s="34" t="str" cm="1">
        <f t="array" ref="R382">IF($BA382="","",INDEX(tblServicios[Base imponible (€)],$BA382)-INDEX(tblServicios[Imp. suplemento (€)],$BA382))</f>
        <v/>
      </c>
      <c r="S382" s="34" t="str" cm="1">
        <f t="array" ref="S382">IF($BA379="","",INDEX(tblServicios[Imp. suplemento (€)],$BA379))</f>
        <v/>
      </c>
      <c r="T382" t="str" cm="1">
        <f t="array" ref="T382">IF($BA382="","",INDEX(tblServicios[Tipo suplemento],$BA382))</f>
        <v/>
      </c>
      <c r="U382" s="34" t="str">
        <f t="shared" si="6"/>
        <v/>
      </c>
      <c r="V382" t="str" cm="1">
        <f t="array" ref="V382">IF($BA382="","",IF(INDEX(tblServicios[Conductor],$BA382)=$T$2,"Conductor",IF(INDEX(tblServicios[Personal adicional],$BA382)=$T$2,"Personal adicional","")))</f>
        <v/>
      </c>
      <c r="BA382" s="33" t="str" cm="1">
        <f t="array" ref="BA3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adicional]=$T$2))&gt;0)),ROW(A383)),"")</f>
        <v/>
      </c>
    </row>
    <row r="383" spans="15:53" x14ac:dyDescent="0.35">
      <c r="O383" s="1" t="str" cm="1">
        <f t="array" ref="O383">IF($BA380="","",INDEX(tblServicios[Fecha],$BA380))</f>
        <v/>
      </c>
      <c r="P383" s="1" t="str" cm="1">
        <f t="array" ref="P383">IF($BA380="","",INDEX(tblServicios[Contrato],$BA380))</f>
        <v/>
      </c>
      <c r="Q383" s="1" t="str" cm="1">
        <f t="array" ref="Q383">IF($BA380="","",INDEX(tblServicios[Vehículo],$BA380))</f>
        <v/>
      </c>
      <c r="R383" s="34" t="str" cm="1">
        <f t="array" ref="R383">IF($BA383="","",INDEX(tblServicios[Base imponible (€)],$BA383)-INDEX(tblServicios[Imp. suplemento (€)],$BA383))</f>
        <v/>
      </c>
      <c r="S383" s="34" t="str" cm="1">
        <f t="array" ref="S383">IF($BA383="","",INDEX(tblServicios[Imp. suplemento (€)],$BA383))</f>
        <v/>
      </c>
      <c r="T383" t="str" cm="1">
        <f t="array" ref="T383">IF($BA383="","",INDEX(tblServicios[Tipo suplemento],$BA383))</f>
        <v/>
      </c>
      <c r="U383" s="34" t="str">
        <f t="shared" si="6"/>
        <v/>
      </c>
      <c r="V383" t="str" cm="1">
        <f t="array" ref="V383">IF($BA383="","",IF(INDEX(tblServicios[Conductor],$BA383)=$T$2,"Conductor",IF(INDEX(tblServicios[Personal adicional],$BA383)=$T$2,"Personal adicional","")))</f>
        <v/>
      </c>
      <c r="BA383" s="33" t="str" cm="1">
        <f t="array" ref="BA3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adicional]=$T$2))&gt;0)),ROW(A384)),"")</f>
        <v/>
      </c>
    </row>
    <row r="384" spans="15:53" x14ac:dyDescent="0.35">
      <c r="O384" s="1" t="str" cm="1">
        <f t="array" ref="O384">IF($BA381="","",INDEX(tblServicios[Fecha],$BA381))</f>
        <v/>
      </c>
      <c r="P384" s="1" t="str" cm="1">
        <f t="array" ref="P384">IF($BA381="","",INDEX(tblServicios[Contrato],$BA381))</f>
        <v/>
      </c>
      <c r="Q384" s="1" t="str" cm="1">
        <f t="array" ref="Q384">IF($BA381="","",INDEX(tblServicios[Vehículo],$BA381))</f>
        <v/>
      </c>
      <c r="R384" s="34" t="str" cm="1">
        <f t="array" ref="R384">IF($BA384="","",INDEX(tblServicios[Base imponible (€)],$BA384)-INDEX(tblServicios[Imp. suplemento (€)],$BA384))</f>
        <v/>
      </c>
      <c r="S384" s="34" t="str" cm="1">
        <f t="array" ref="S384">IF($BA384="","",INDEX(tblServicios[Imp. suplemento (€)],$BA384))</f>
        <v/>
      </c>
      <c r="T384" t="str" cm="1">
        <f t="array" ref="T384">IF($BA384="","",INDEX(tblServicios[Tipo suplemento],$BA384))</f>
        <v/>
      </c>
      <c r="U384" s="2" t="str">
        <f t="shared" ref="U384:U390" si="7">IF($BA384="","",R384+S384)</f>
        <v/>
      </c>
      <c r="V384" t="str" cm="1">
        <f t="array" ref="V384">IF($BA384="","",IF(INDEX(tblServicios[Conductor],$BA384)=$T$2,"Conductor",IF(INDEX(tblServicios[Personal adicional],$BA384)=$T$2,"Personal adicional","")))</f>
        <v/>
      </c>
      <c r="BA384" s="33" t="str" cm="1">
        <f t="array" ref="BA3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adicional]=$T$2))&gt;0)),ROW(A385)),"")</f>
        <v/>
      </c>
    </row>
    <row r="385" spans="15:53" x14ac:dyDescent="0.35">
      <c r="O385" s="1" t="str" cm="1">
        <f t="array" ref="O385">IF($BA382="","",INDEX(tblServicios[Fecha],$BA382))</f>
        <v/>
      </c>
      <c r="P385" s="1" t="str" cm="1">
        <f t="array" ref="P385">IF($BA382="","",INDEX(tblServicios[Contrato],$BA382))</f>
        <v/>
      </c>
      <c r="Q385" s="1" t="str" cm="1">
        <f t="array" ref="Q385">IF($BA382="","",INDEX(tblServicios[Vehículo],$BA382))</f>
        <v/>
      </c>
      <c r="R385" s="34" t="str" cm="1">
        <f t="array" ref="R385">IF($BA385="","",INDEX(tblServicios[Base imponible (€)],$BA385)-INDEX(tblServicios[Imp. suplemento (€)],$BA385))</f>
        <v/>
      </c>
      <c r="S385" s="34" t="str" cm="1">
        <f t="array" ref="S385">IF($BA385="","",INDEX(tblServicios[Imp. suplemento (€)],$BA385))</f>
        <v/>
      </c>
      <c r="T385" t="str" cm="1">
        <f t="array" ref="T385">IF($BA385="","",INDEX(tblServicios[Tipo suplemento],$BA385))</f>
        <v/>
      </c>
      <c r="U385" s="2" t="str">
        <f t="shared" si="7"/>
        <v/>
      </c>
      <c r="V385" t="str" cm="1">
        <f t="array" ref="V385">IF($BA385="","",IF(INDEX(tblServicios[Conductor],$BA385)=$T$2,"Conductor",IF(INDEX(tblServicios[Personal adicional],$BA385)=$T$2,"Personal adicional","")))</f>
        <v/>
      </c>
      <c r="BA385" s="33" t="str" cm="1">
        <f t="array" ref="BA3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adicional]=$T$2))&gt;0)),ROW(A386)),"")</f>
        <v/>
      </c>
    </row>
    <row r="386" spans="15:53" x14ac:dyDescent="0.35">
      <c r="O386" s="1" t="str" cm="1">
        <f t="array" ref="O386">IF($BA383="","",INDEX(tblServicios[Fecha],$BA383))</f>
        <v/>
      </c>
      <c r="P386" s="1" t="str" cm="1">
        <f t="array" ref="P386">IF($BA383="","",INDEX(tblServicios[Contrato],$BA383))</f>
        <v/>
      </c>
      <c r="Q386" s="1" t="str" cm="1">
        <f t="array" ref="Q386">IF($BA383="","",INDEX(tblServicios[Vehículo],$BA383))</f>
        <v/>
      </c>
      <c r="R386" s="34" t="str" cm="1">
        <f t="array" ref="R386">IF($BA386="","",INDEX(tblServicios[Base imponible (€)],$BA386)-INDEX(tblServicios[Imp. suplemento (€)],$BA386))</f>
        <v/>
      </c>
      <c r="S386" s="34" t="str" cm="1">
        <f t="array" ref="S386">IF($BA386="","",INDEX(tblServicios[Imp. suplemento (€)],$BA386))</f>
        <v/>
      </c>
      <c r="T386" t="str" cm="1">
        <f t="array" ref="T386">IF($BA386="","",INDEX(tblServicios[Tipo suplemento],$BA386))</f>
        <v/>
      </c>
      <c r="U386" s="2" t="str">
        <f t="shared" si="7"/>
        <v/>
      </c>
      <c r="V386" t="str" cm="1">
        <f t="array" ref="V386">IF($BA386="","",IF(INDEX(tblServicios[Conductor],$BA386)=$T$2,"Conductor",IF(INDEX(tblServicios[Personal adicional],$BA386)=$T$2,"Personal adicional","")))</f>
        <v/>
      </c>
      <c r="BA386" s="33" t="str" cm="1">
        <f t="array" ref="BA3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adicional]=$T$2))&gt;0)),ROW(A387)),"")</f>
        <v/>
      </c>
    </row>
    <row r="387" spans="15:53" x14ac:dyDescent="0.35">
      <c r="O387" s="1" t="str" cm="1">
        <f t="array" ref="O387">IF($BA384="","",INDEX(tblServicios[Fecha],$BA384))</f>
        <v/>
      </c>
      <c r="P387" s="1" t="str" cm="1">
        <f t="array" ref="P387">IF($BA384="","",INDEX(tblServicios[Contrato],$BA384))</f>
        <v/>
      </c>
      <c r="Q387" s="1" t="str" cm="1">
        <f t="array" ref="Q387">IF($BA384="","",INDEX(tblServicios[Vehículo],$BA384))</f>
        <v/>
      </c>
      <c r="R387" s="34" t="str" cm="1">
        <f t="array" ref="R387">IF($BA387="","",INDEX(tblServicios[Base imponible (€)],$BA387)-INDEX(tblServicios[Imp. suplemento (€)],$BA387))</f>
        <v/>
      </c>
      <c r="S387" s="34" t="str" cm="1">
        <f t="array" ref="S387">IF($BA387="","",INDEX(tblServicios[Imp. suplemento (€)],$BA387))</f>
        <v/>
      </c>
      <c r="T387" t="str" cm="1">
        <f t="array" ref="T387">IF($BA387="","",INDEX(tblServicios[Tipo suplemento],$BA387))</f>
        <v/>
      </c>
      <c r="U387" s="2" t="str">
        <f t="shared" si="7"/>
        <v/>
      </c>
      <c r="V387" t="str" cm="1">
        <f t="array" ref="V387">IF($BA387="","",IF(INDEX(tblServicios[Conductor],$BA387)=$T$2,"Conductor",IF(INDEX(tblServicios[Personal adicional],$BA387)=$T$2,"Personal adicional","")))</f>
        <v/>
      </c>
      <c r="BA387" s="33" t="str" cm="1">
        <f t="array" ref="BA3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adicional]=$T$2))&gt;0)),ROW(A388)),"")</f>
        <v/>
      </c>
    </row>
    <row r="388" spans="15:53" x14ac:dyDescent="0.35">
      <c r="O388" s="1" t="str" cm="1">
        <f t="array" ref="O388">IF($BA385="","",INDEX(tblServicios[Fecha],$BA385))</f>
        <v/>
      </c>
      <c r="P388" s="1" t="str" cm="1">
        <f t="array" ref="P388">IF($BA385="","",INDEX(tblServicios[Contrato],$BA385))</f>
        <v/>
      </c>
      <c r="Q388" s="1" t="str" cm="1">
        <f t="array" ref="Q388">IF($BA385="","",INDEX(tblServicios[Vehículo],$BA385))</f>
        <v/>
      </c>
      <c r="R388" s="34" t="str" cm="1">
        <f t="array" ref="R388">IF($BA388="","",INDEX(tblServicios[Base imponible (€)],$BA388)-INDEX(tblServicios[Imp. suplemento (€)],$BA388))</f>
        <v/>
      </c>
      <c r="S388" s="34" t="str" cm="1">
        <f t="array" ref="S388">IF($BA388="","",INDEX(tblServicios[Imp. suplemento (€)],$BA388))</f>
        <v/>
      </c>
      <c r="T388" t="str" cm="1">
        <f t="array" ref="T388">IF($BA388="","",INDEX(tblServicios[Tipo suplemento],$BA388))</f>
        <v/>
      </c>
      <c r="U388" s="2" t="str">
        <f t="shared" si="7"/>
        <v/>
      </c>
      <c r="V388" t="str" cm="1">
        <f t="array" ref="V388">IF($BA388="","",IF(INDEX(tblServicios[Conductor],$BA388)=$T$2,"Conductor",IF(INDEX(tblServicios[Personal adicional],$BA388)=$T$2,"Personal adicional","")))</f>
        <v/>
      </c>
      <c r="BA388" s="33" t="str" cm="1">
        <f t="array" ref="BA3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adicional]=$T$2))&gt;0)),ROW(A389)),"")</f>
        <v/>
      </c>
    </row>
    <row r="389" spans="15:53" x14ac:dyDescent="0.35">
      <c r="O389" s="1" t="str" cm="1">
        <f t="array" ref="O389">IF($BA386="","",INDEX(tblServicios[Fecha],$BA386))</f>
        <v/>
      </c>
      <c r="P389" s="1" t="str" cm="1">
        <f t="array" ref="P389">IF($BA386="","",INDEX(tblServicios[Contrato],$BA386))</f>
        <v/>
      </c>
      <c r="Q389" s="1" t="str" cm="1">
        <f t="array" ref="Q389">IF($BA386="","",INDEX(tblServicios[Vehículo],$BA386))</f>
        <v/>
      </c>
      <c r="R389" s="34" t="str" cm="1">
        <f t="array" ref="R389">IF($BA389="","",INDEX(tblServicios[Base imponible (€)],$BA389)-INDEX(tblServicios[Imp. suplemento (€)],$BA389))</f>
        <v/>
      </c>
      <c r="S389" s="34" t="str" cm="1">
        <f t="array" ref="S389">IF($BA389="","",INDEX(tblServicios[Imp. suplemento (€)],$BA389))</f>
        <v/>
      </c>
      <c r="T389" t="str" cm="1">
        <f t="array" ref="T389">IF($BA389="","",INDEX(tblServicios[Tipo suplemento],$BA389))</f>
        <v/>
      </c>
      <c r="U389" s="2" t="str">
        <f t="shared" si="7"/>
        <v/>
      </c>
      <c r="V389" t="str" cm="1">
        <f t="array" ref="V389">IF($BA389="","",IF(INDEX(tblServicios[Conductor],$BA389)=$T$2,"Conductor",IF(INDEX(tblServicios[Personal adicional],$BA389)=$T$2,"Personal adicional","")))</f>
        <v/>
      </c>
      <c r="BA389" s="33" t="str" cm="1">
        <f t="array" ref="BA3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adicional]=$T$2))&gt;0)),ROW(A390)),"")</f>
        <v/>
      </c>
    </row>
    <row r="390" spans="15:53" x14ac:dyDescent="0.35">
      <c r="O390" s="1" t="str" cm="1">
        <f t="array" ref="O390">IF($BA387="","",INDEX(tblServicios[Fecha],$BA387))</f>
        <v/>
      </c>
      <c r="P390" s="1" t="str" cm="1">
        <f t="array" ref="P390">IF($BA387="","",INDEX(tblServicios[Contrato],$BA387))</f>
        <v/>
      </c>
      <c r="Q390" s="1" t="str" cm="1">
        <f t="array" ref="Q390">IF($BA387="","",INDEX(tblServicios[Vehículo],$BA387))</f>
        <v/>
      </c>
      <c r="R390" s="34" t="str" cm="1">
        <f t="array" ref="R390">IF($BA390="","",INDEX(tblServicios[Base imponible (€)],$BA390)-INDEX(tblServicios[Imp. suplemento (€)],$BA390))</f>
        <v/>
      </c>
      <c r="S390" s="34" t="str" cm="1">
        <f t="array" ref="S390">IF($BA390="","",INDEX(tblServicios[Imp. suplemento (€)],$BA390))</f>
        <v/>
      </c>
      <c r="T390" t="str" cm="1">
        <f t="array" ref="T390">IF($BA390="","",INDEX(tblServicios[Tipo suplemento],$BA390))</f>
        <v/>
      </c>
      <c r="U390" s="2" t="str">
        <f t="shared" si="7"/>
        <v/>
      </c>
      <c r="V390" t="str" cm="1">
        <f t="array" ref="V390">IF($BA390="","",IF(INDEX(tblServicios[Conductor],$BA390)=$T$2,"Conductor",IF(INDEX(tblServicios[Personal adicional],$BA390)=$T$2,"Personal adicional","")))</f>
        <v/>
      </c>
      <c r="BA390" s="33" t="str" cm="1">
        <f t="array" ref="BA3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adicional]=$T$2))&gt;0)),ROW(A391)),"")</f>
        <v/>
      </c>
    </row>
    <row r="391" spans="15:53" x14ac:dyDescent="0.35">
      <c r="O391" s="1" t="str" cm="1">
        <f t="array" ref="O391">IF($BA388="","",INDEX(tblServicios[Fecha],$BA388))</f>
        <v/>
      </c>
      <c r="P391" s="1" t="str" cm="1">
        <f t="array" ref="P391">IF($BA388="","",INDEX(tblServicios[Contrato],$BA388))</f>
        <v/>
      </c>
      <c r="Q391" s="1" t="str" cm="1">
        <f t="array" ref="Q391">IF($BA388="","",INDEX(tblServicios[Vehículo],$BA388))</f>
        <v/>
      </c>
      <c r="R391" s="34" t="str" cm="1">
        <f t="array" ref="R391">IF($BA391="","",INDEX(tblServicios[Base imponible (€)],$BA391)-INDEX(tblServicios[Imp. suplemento (€)],$BA391))</f>
        <v/>
      </c>
      <c r="S391" s="34" t="str" cm="1">
        <f t="array" ref="S391">IF($BA391="","",INDEX(tblServicios[Imp. suplemento (€)],$BA391))</f>
        <v/>
      </c>
      <c r="T391" t="str" cm="1">
        <f t="array" ref="T391">IF($BA391="","",INDEX(tblServicios[Tipo suplemento],$BA391))</f>
        <v/>
      </c>
      <c r="U391" s="2" t="str">
        <f t="shared" ref="U391:U454" si="8">IF($BA391="","",R391+S391)</f>
        <v/>
      </c>
      <c r="V391" t="str" cm="1">
        <f t="array" ref="V391">IF($BA391="","",IF(INDEX(tblServicios[Conductor],$BA391)=$T$2,"Conductor",IF(INDEX(tblServicios[Personal adicional],$BA391)=$T$2,"Personal adicional","")))</f>
        <v/>
      </c>
      <c r="BA391" s="33" t="str" cm="1">
        <f t="array" ref="BA3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adicional]=$T$2))&gt;0)),ROW(A392)),"")</f>
        <v/>
      </c>
    </row>
    <row r="392" spans="15:53" x14ac:dyDescent="0.35">
      <c r="O392" s="1" t="str" cm="1">
        <f t="array" ref="O392">IF($BA389="","",INDEX(tblServicios[Fecha],$BA389))</f>
        <v/>
      </c>
      <c r="P392" s="1" t="str" cm="1">
        <f t="array" ref="P392">IF($BA389="","",INDEX(tblServicios[Contrato],$BA389))</f>
        <v/>
      </c>
      <c r="Q392" s="1" t="str" cm="1">
        <f t="array" ref="Q392">IF($BA389="","",INDEX(tblServicios[Vehículo],$BA389))</f>
        <v/>
      </c>
      <c r="R392" s="34" t="str" cm="1">
        <f t="array" ref="R392">IF($BA392="","",INDEX(tblServicios[Base imponible (€)],$BA392)-INDEX(tblServicios[Imp. suplemento (€)],$BA392))</f>
        <v/>
      </c>
      <c r="S392" s="34" t="str" cm="1">
        <f t="array" ref="S392">IF($BA392="","",INDEX(tblServicios[Imp. suplemento (€)],$BA392))</f>
        <v/>
      </c>
      <c r="T392" t="str" cm="1">
        <f t="array" ref="T392">IF($BA392="","",INDEX(tblServicios[Tipo suplemento],$BA392))</f>
        <v/>
      </c>
      <c r="U392" s="2" t="str">
        <f t="shared" si="8"/>
        <v/>
      </c>
      <c r="V392" t="str" cm="1">
        <f t="array" ref="V392">IF($BA392="","",IF(INDEX(tblServicios[Conductor],$BA392)=$T$2,"Conductor",IF(INDEX(tblServicios[Personal adicional],$BA392)=$T$2,"Personal adicional","")))</f>
        <v/>
      </c>
      <c r="BA392" s="33" t="str" cm="1">
        <f t="array" ref="BA3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adicional]=$T$2))&gt;0)),ROW(A393)),"")</f>
        <v/>
      </c>
    </row>
    <row r="393" spans="15:53" x14ac:dyDescent="0.35">
      <c r="O393" s="1" t="str" cm="1">
        <f t="array" ref="O393">IF($BA390="","",INDEX(tblServicios[Fecha],$BA390))</f>
        <v/>
      </c>
      <c r="P393" s="1" t="str" cm="1">
        <f t="array" ref="P393">IF($BA390="","",INDEX(tblServicios[Contrato],$BA390))</f>
        <v/>
      </c>
      <c r="Q393" s="1" t="str" cm="1">
        <f t="array" ref="Q393">IF($BA390="","",INDEX(tblServicios[Vehículo],$BA390))</f>
        <v/>
      </c>
      <c r="R393" s="34" t="str" cm="1">
        <f t="array" ref="R393">IF($BA393="","",INDEX(tblServicios[Base imponible (€)],$BA393)-INDEX(tblServicios[Imp. suplemento (€)],$BA393))</f>
        <v/>
      </c>
      <c r="S393" s="34" t="str" cm="1">
        <f t="array" ref="S393">IF($BA393="","",INDEX(tblServicios[Imp. suplemento (€)],$BA393))</f>
        <v/>
      </c>
      <c r="T393" t="str" cm="1">
        <f t="array" ref="T393">IF($BA393="","",INDEX(tblServicios[Tipo suplemento],$BA393))</f>
        <v/>
      </c>
      <c r="U393" s="2" t="str">
        <f t="shared" si="8"/>
        <v/>
      </c>
      <c r="V393" t="str" cm="1">
        <f t="array" ref="V393">IF($BA393="","",IF(INDEX(tblServicios[Conductor],$BA393)=$T$2,"Conductor",IF(INDEX(tblServicios[Personal adicional],$BA393)=$T$2,"Personal adicional","")))</f>
        <v/>
      </c>
      <c r="BA393" s="33" t="str" cm="1">
        <f t="array" ref="BA39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adicional]=$T$2))&gt;0)),ROW(A394)),"")</f>
        <v/>
      </c>
    </row>
    <row r="394" spans="15:53" x14ac:dyDescent="0.35">
      <c r="O394" s="1" t="str" cm="1">
        <f t="array" ref="O394">IF($BA391="","",INDEX(tblServicios[Fecha],$BA391))</f>
        <v/>
      </c>
      <c r="P394" s="1" t="str" cm="1">
        <f t="array" ref="P394">IF($BA391="","",INDEX(tblServicios[Contrato],$BA391))</f>
        <v/>
      </c>
      <c r="Q394" s="1" t="str" cm="1">
        <f t="array" ref="Q394">IF($BA391="","",INDEX(tblServicios[Vehículo],$BA391))</f>
        <v/>
      </c>
      <c r="R394" s="34" t="str" cm="1">
        <f t="array" ref="R394">IF($BA394="","",INDEX(tblServicios[Base imponible (€)],$BA394)-INDEX(tblServicios[Imp. suplemento (€)],$BA394))</f>
        <v/>
      </c>
      <c r="S394" s="34" t="str" cm="1">
        <f t="array" ref="S394">IF($BA394="","",INDEX(tblServicios[Imp. suplemento (€)],$BA394))</f>
        <v/>
      </c>
      <c r="T394" t="str" cm="1">
        <f t="array" ref="T394">IF($BA394="","",INDEX(tblServicios[Tipo suplemento],$BA394))</f>
        <v/>
      </c>
      <c r="U394" s="2" t="str">
        <f t="shared" si="8"/>
        <v/>
      </c>
      <c r="V394" t="str" cm="1">
        <f t="array" ref="V394">IF($BA394="","",IF(INDEX(tblServicios[Conductor],$BA394)=$T$2,"Conductor",IF(INDEX(tblServicios[Personal adicional],$BA394)=$T$2,"Personal adicional","")))</f>
        <v/>
      </c>
      <c r="BA394" s="33" t="str" cm="1">
        <f t="array" ref="BA39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adicional]=$T$2))&gt;0)),ROW(A395)),"")</f>
        <v/>
      </c>
    </row>
    <row r="395" spans="15:53" x14ac:dyDescent="0.35">
      <c r="O395" s="1" t="str" cm="1">
        <f t="array" ref="O395">IF($BA392="","",INDEX(tblServicios[Fecha],$BA392))</f>
        <v/>
      </c>
      <c r="P395" s="1" t="str" cm="1">
        <f t="array" ref="P395">IF($BA392="","",INDEX(tblServicios[Contrato],$BA392))</f>
        <v/>
      </c>
      <c r="Q395" s="1" t="str" cm="1">
        <f t="array" ref="Q395">IF($BA392="","",INDEX(tblServicios[Vehículo],$BA392))</f>
        <v/>
      </c>
      <c r="R395" s="34" t="str" cm="1">
        <f t="array" ref="R395">IF($BA395="","",INDEX(tblServicios[Base imponible (€)],$BA395)-INDEX(tblServicios[Imp. suplemento (€)],$BA395))</f>
        <v/>
      </c>
      <c r="S395" s="34" t="str" cm="1">
        <f t="array" ref="S395">IF($BA395="","",INDEX(tblServicios[Imp. suplemento (€)],$BA395))</f>
        <v/>
      </c>
      <c r="T395" t="str" cm="1">
        <f t="array" ref="T395">IF($BA395="","",INDEX(tblServicios[Tipo suplemento],$BA395))</f>
        <v/>
      </c>
      <c r="U395" s="2" t="str">
        <f t="shared" si="8"/>
        <v/>
      </c>
      <c r="V395" t="str" cm="1">
        <f t="array" ref="V395">IF($BA395="","",IF(INDEX(tblServicios[Conductor],$BA395)=$T$2,"Conductor",IF(INDEX(tblServicios[Personal adicional],$BA395)=$T$2,"Personal adicional","")))</f>
        <v/>
      </c>
      <c r="BA395" s="33" t="str" cm="1">
        <f t="array" ref="BA39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adicional]=$T$2))&gt;0)),ROW(A396)),"")</f>
        <v/>
      </c>
    </row>
    <row r="396" spans="15:53" x14ac:dyDescent="0.35">
      <c r="O396" s="1" t="str" cm="1">
        <f t="array" ref="O396">IF($BA393="","",INDEX(tblServicios[Fecha],$BA393))</f>
        <v/>
      </c>
      <c r="P396" s="1" t="str" cm="1">
        <f t="array" ref="P396">IF($BA393="","",INDEX(tblServicios[Contrato],$BA393))</f>
        <v/>
      </c>
      <c r="Q396" s="1" t="str" cm="1">
        <f t="array" ref="Q396">IF($BA393="","",INDEX(tblServicios[Vehículo],$BA393))</f>
        <v/>
      </c>
      <c r="R396" s="34" t="str" cm="1">
        <f t="array" ref="R396">IF($BA396="","",INDEX(tblServicios[Base imponible (€)],$BA396)-INDEX(tblServicios[Imp. suplemento (€)],$BA396))</f>
        <v/>
      </c>
      <c r="S396" s="34" t="str" cm="1">
        <f t="array" ref="S396">IF($BA396="","",INDEX(tblServicios[Imp. suplemento (€)],$BA396))</f>
        <v/>
      </c>
      <c r="T396" t="str" cm="1">
        <f t="array" ref="T396">IF($BA396="","",INDEX(tblServicios[Tipo suplemento],$BA396))</f>
        <v/>
      </c>
      <c r="U396" s="2" t="str">
        <f t="shared" si="8"/>
        <v/>
      </c>
      <c r="V396" t="str" cm="1">
        <f t="array" ref="V396">IF($BA396="","",IF(INDEX(tblServicios[Conductor],$BA396)=$T$2,"Conductor",IF(INDEX(tblServicios[Personal adicional],$BA396)=$T$2,"Personal adicional","")))</f>
        <v/>
      </c>
      <c r="BA396" s="33" t="str" cm="1">
        <f t="array" ref="BA39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adicional]=$T$2))&gt;0)),ROW(A397)),"")</f>
        <v/>
      </c>
    </row>
    <row r="397" spans="15:53" x14ac:dyDescent="0.35">
      <c r="O397" s="1" t="str" cm="1">
        <f t="array" ref="O397">IF($BA394="","",INDEX(tblServicios[Fecha],$BA394))</f>
        <v/>
      </c>
      <c r="P397" s="1" t="str" cm="1">
        <f t="array" ref="P397">IF($BA394="","",INDEX(tblServicios[Contrato],$BA394))</f>
        <v/>
      </c>
      <c r="Q397" s="1" t="str" cm="1">
        <f t="array" ref="Q397">IF($BA394="","",INDEX(tblServicios[Vehículo],$BA394))</f>
        <v/>
      </c>
      <c r="R397" s="34" t="str" cm="1">
        <f t="array" ref="R397">IF($BA397="","",INDEX(tblServicios[Base imponible (€)],$BA397)-INDEX(tblServicios[Imp. suplemento (€)],$BA397))</f>
        <v/>
      </c>
      <c r="S397" s="34" t="str" cm="1">
        <f t="array" ref="S397">IF($BA397="","",INDEX(tblServicios[Imp. suplemento (€)],$BA397))</f>
        <v/>
      </c>
      <c r="T397" t="str" cm="1">
        <f t="array" ref="T397">IF($BA397="","",INDEX(tblServicios[Tipo suplemento],$BA397))</f>
        <v/>
      </c>
      <c r="U397" s="2" t="str">
        <f t="shared" si="8"/>
        <v/>
      </c>
      <c r="V397" t="str" cm="1">
        <f t="array" ref="V397">IF($BA397="","",IF(INDEX(tblServicios[Conductor],$BA397)=$T$2,"Conductor",IF(INDEX(tblServicios[Personal adicional],$BA397)=$T$2,"Personal adicional","")))</f>
        <v/>
      </c>
      <c r="BA397" s="33" t="str" cm="1">
        <f t="array" ref="BA39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adicional]=$T$2))&gt;0)),ROW(A398)),"")</f>
        <v/>
      </c>
    </row>
    <row r="398" spans="15:53" x14ac:dyDescent="0.35">
      <c r="O398" s="1" t="str" cm="1">
        <f t="array" ref="O398">IF($BA395="","",INDEX(tblServicios[Fecha],$BA395))</f>
        <v/>
      </c>
      <c r="P398" s="1" t="str" cm="1">
        <f t="array" ref="P398">IF($BA395="","",INDEX(tblServicios[Contrato],$BA395))</f>
        <v/>
      </c>
      <c r="Q398" s="1" t="str" cm="1">
        <f t="array" ref="Q398">IF($BA395="","",INDEX(tblServicios[Vehículo],$BA395))</f>
        <v/>
      </c>
      <c r="R398" s="34" t="str" cm="1">
        <f t="array" ref="R398">IF($BA398="","",INDEX(tblServicios[Base imponible (€)],$BA398)-INDEX(tblServicios[Imp. suplemento (€)],$BA398))</f>
        <v/>
      </c>
      <c r="S398" s="34" t="str" cm="1">
        <f t="array" ref="S398">IF($BA398="","",INDEX(tblServicios[Imp. suplemento (€)],$BA398))</f>
        <v/>
      </c>
      <c r="T398" t="str" cm="1">
        <f t="array" ref="T398">IF($BA398="","",INDEX(tblServicios[Tipo suplemento],$BA398))</f>
        <v/>
      </c>
      <c r="U398" s="2" t="str">
        <f t="shared" si="8"/>
        <v/>
      </c>
      <c r="V398" t="str" cm="1">
        <f t="array" ref="V398">IF($BA398="","",IF(INDEX(tblServicios[Conductor],$BA398)=$T$2,"Conductor",IF(INDEX(tblServicios[Personal adicional],$BA398)=$T$2,"Personal adicional","")))</f>
        <v/>
      </c>
      <c r="BA398" s="33" t="str" cm="1">
        <f t="array" ref="BA39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adicional]=$T$2))&gt;0)),ROW(A399)),"")</f>
        <v/>
      </c>
    </row>
    <row r="399" spans="15:53" x14ac:dyDescent="0.35">
      <c r="O399" s="1" t="str" cm="1">
        <f t="array" ref="O399">IF($BA396="","",INDEX(tblServicios[Fecha],$BA396))</f>
        <v/>
      </c>
      <c r="P399" s="1" t="str" cm="1">
        <f t="array" ref="P399">IF($BA396="","",INDEX(tblServicios[Contrato],$BA396))</f>
        <v/>
      </c>
      <c r="Q399" s="1" t="str" cm="1">
        <f t="array" ref="Q399">IF($BA396="","",INDEX(tblServicios[Vehículo],$BA396))</f>
        <v/>
      </c>
      <c r="R399" s="34" t="str" cm="1">
        <f t="array" ref="R399">IF($BA399="","",INDEX(tblServicios[Base imponible (€)],$BA399)-INDEX(tblServicios[Imp. suplemento (€)],$BA399))</f>
        <v/>
      </c>
      <c r="S399" s="34" t="str" cm="1">
        <f t="array" ref="S399">IF($BA399="","",INDEX(tblServicios[Imp. suplemento (€)],$BA399))</f>
        <v/>
      </c>
      <c r="T399" t="str" cm="1">
        <f t="array" ref="T399">IF($BA399="","",INDEX(tblServicios[Tipo suplemento],$BA399))</f>
        <v/>
      </c>
      <c r="U399" s="2" t="str">
        <f t="shared" si="8"/>
        <v/>
      </c>
      <c r="V399" t="str" cm="1">
        <f t="array" ref="V399">IF($BA399="","",IF(INDEX(tblServicios[Conductor],$BA399)=$T$2,"Conductor",IF(INDEX(tblServicios[Personal adicional],$BA399)=$T$2,"Personal adicional","")))</f>
        <v/>
      </c>
      <c r="BA399" s="33" t="str" cm="1">
        <f t="array" ref="BA39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adicional]=$T$2))&gt;0)),ROW(A400)),"")</f>
        <v/>
      </c>
    </row>
    <row r="400" spans="15:53" x14ac:dyDescent="0.35">
      <c r="O400" s="1" t="str" cm="1">
        <f t="array" ref="O400">IF($BA397="","",INDEX(tblServicios[Fecha],$BA397))</f>
        <v/>
      </c>
      <c r="P400" s="1" t="str" cm="1">
        <f t="array" ref="P400">IF($BA397="","",INDEX(tblServicios[Contrato],$BA397))</f>
        <v/>
      </c>
      <c r="Q400" s="1" t="str" cm="1">
        <f t="array" ref="Q400">IF($BA397="","",INDEX(tblServicios[Vehículo],$BA397))</f>
        <v/>
      </c>
      <c r="R400" s="34" t="str" cm="1">
        <f t="array" ref="R400">IF($BA400="","",INDEX(tblServicios[Base imponible (€)],$BA400)-INDEX(tblServicios[Imp. suplemento (€)],$BA400))</f>
        <v/>
      </c>
      <c r="S400" s="34" t="str" cm="1">
        <f t="array" ref="S400">IF($BA400="","",INDEX(tblServicios[Imp. suplemento (€)],$BA400))</f>
        <v/>
      </c>
      <c r="T400" t="str" cm="1">
        <f t="array" ref="T400">IF($BA400="","",INDEX(tblServicios[Tipo suplemento],$BA400))</f>
        <v/>
      </c>
      <c r="U400" s="2" t="str">
        <f t="shared" si="8"/>
        <v/>
      </c>
      <c r="V400" t="str" cm="1">
        <f t="array" ref="V400">IF($BA400="","",IF(INDEX(tblServicios[Conductor],$BA400)=$T$2,"Conductor",IF(INDEX(tblServicios[Personal adicional],$BA400)=$T$2,"Personal adicional","")))</f>
        <v/>
      </c>
      <c r="BA400" s="33" t="str" cm="1">
        <f t="array" ref="BA40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adicional]=$T$2))&gt;0)),ROW(A401)),"")</f>
        <v/>
      </c>
    </row>
    <row r="401" spans="15:53" x14ac:dyDescent="0.35">
      <c r="O401" s="1" t="str" cm="1">
        <f t="array" ref="O401">IF($BA398="","",INDEX(tblServicios[Fecha],$BA398))</f>
        <v/>
      </c>
      <c r="P401" s="1" t="str" cm="1">
        <f t="array" ref="P401">IF($BA398="","",INDEX(tblServicios[Contrato],$BA398))</f>
        <v/>
      </c>
      <c r="Q401" s="1" t="str" cm="1">
        <f t="array" ref="Q401">IF($BA398="","",INDEX(tblServicios[Vehículo],$BA398))</f>
        <v/>
      </c>
      <c r="R401" s="34" t="str" cm="1">
        <f t="array" ref="R401">IF($BA401="","",INDEX(tblServicios[Base imponible (€)],$BA401)-INDEX(tblServicios[Imp. suplemento (€)],$BA401))</f>
        <v/>
      </c>
      <c r="S401" s="34" t="str" cm="1">
        <f t="array" ref="S401">IF($BA401="","",INDEX(tblServicios[Imp. suplemento (€)],$BA401))</f>
        <v/>
      </c>
      <c r="T401" t="str" cm="1">
        <f t="array" ref="T401">IF($BA401="","",INDEX(tblServicios[Tipo suplemento],$BA401))</f>
        <v/>
      </c>
      <c r="U401" s="2" t="str">
        <f t="shared" si="8"/>
        <v/>
      </c>
      <c r="V401" t="str" cm="1">
        <f t="array" ref="V401">IF($BA401="","",IF(INDEX(tblServicios[Conductor],$BA401)=$T$2,"Conductor",IF(INDEX(tblServicios[Personal adicional],$BA401)=$T$2,"Personal adicional","")))</f>
        <v/>
      </c>
      <c r="BA401" s="33" t="str" cm="1">
        <f t="array" ref="BA40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adicional]=$T$2))&gt;0)),ROW(A402)),"")</f>
        <v/>
      </c>
    </row>
    <row r="402" spans="15:53" x14ac:dyDescent="0.35">
      <c r="O402" s="1" t="str" cm="1">
        <f t="array" ref="O402">IF($BA399="","",INDEX(tblServicios[Fecha],$BA399))</f>
        <v/>
      </c>
      <c r="P402" s="1" t="str" cm="1">
        <f t="array" ref="P402">IF($BA399="","",INDEX(tblServicios[Contrato],$BA399))</f>
        <v/>
      </c>
      <c r="Q402" s="1" t="str" cm="1">
        <f t="array" ref="Q402">IF($BA399="","",INDEX(tblServicios[Vehículo],$BA399))</f>
        <v/>
      </c>
      <c r="R402" s="34" t="str" cm="1">
        <f t="array" ref="R402">IF($BA402="","",INDEX(tblServicios[Base imponible (€)],$BA402)-INDEX(tblServicios[Imp. suplemento (€)],$BA402))</f>
        <v/>
      </c>
      <c r="S402" s="34" t="str" cm="1">
        <f t="array" ref="S402">IF($BA402="","",INDEX(tblServicios[Imp. suplemento (€)],$BA402))</f>
        <v/>
      </c>
      <c r="T402" t="str" cm="1">
        <f t="array" ref="T402">IF($BA402="","",INDEX(tblServicios[Tipo suplemento],$BA402))</f>
        <v/>
      </c>
      <c r="U402" s="2" t="str">
        <f t="shared" si="8"/>
        <v/>
      </c>
      <c r="V402" t="str" cm="1">
        <f t="array" ref="V402">IF($BA402="","",IF(INDEX(tblServicios[Conductor],$BA402)=$T$2,"Conductor",IF(INDEX(tblServicios[Personal adicional],$BA402)=$T$2,"Personal adicional","")))</f>
        <v/>
      </c>
      <c r="BA402" s="33" t="str" cm="1">
        <f t="array" ref="BA40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adicional]=$T$2))&gt;0)),ROW(A403)),"")</f>
        <v/>
      </c>
    </row>
    <row r="403" spans="15:53" x14ac:dyDescent="0.35">
      <c r="O403" s="1" t="str" cm="1">
        <f t="array" ref="O403">IF($BA400="","",INDEX(tblServicios[Fecha],$BA400))</f>
        <v/>
      </c>
      <c r="P403" s="1" t="str" cm="1">
        <f t="array" ref="P403">IF($BA400="","",INDEX(tblServicios[Contrato],$BA400))</f>
        <v/>
      </c>
      <c r="Q403" s="1" t="str" cm="1">
        <f t="array" ref="Q403">IF($BA400="","",INDEX(tblServicios[Vehículo],$BA400))</f>
        <v/>
      </c>
      <c r="R403" s="34" t="str" cm="1">
        <f t="array" ref="R403">IF($BA403="","",INDEX(tblServicios[Base imponible (€)],$BA403)-INDEX(tblServicios[Imp. suplemento (€)],$BA403))</f>
        <v/>
      </c>
      <c r="S403" s="34" t="str" cm="1">
        <f t="array" ref="S403">IF($BA403="","",INDEX(tblServicios[Imp. suplemento (€)],$BA403))</f>
        <v/>
      </c>
      <c r="T403" t="str" cm="1">
        <f t="array" ref="T403">IF($BA403="","",INDEX(tblServicios[Tipo suplemento],$BA403))</f>
        <v/>
      </c>
      <c r="U403" s="2" t="str">
        <f t="shared" si="8"/>
        <v/>
      </c>
      <c r="V403" t="str" cm="1">
        <f t="array" ref="V403">IF($BA403="","",IF(INDEX(tblServicios[Conductor],$BA403)=$T$2,"Conductor",IF(INDEX(tblServicios[Personal adicional],$BA403)=$T$2,"Personal adicional","")))</f>
        <v/>
      </c>
      <c r="BA403" s="33" t="str" cm="1">
        <f t="array" ref="BA40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adicional]=$T$2))&gt;0)),ROW(A404)),"")</f>
        <v/>
      </c>
    </row>
    <row r="404" spans="15:53" x14ac:dyDescent="0.35">
      <c r="O404" s="1" t="str" cm="1">
        <f t="array" ref="O404">IF($BA401="","",INDEX(tblServicios[Fecha],$BA401))</f>
        <v/>
      </c>
      <c r="P404" s="1" t="str" cm="1">
        <f t="array" ref="P404">IF($BA401="","",INDEX(tblServicios[Contrato],$BA401))</f>
        <v/>
      </c>
      <c r="Q404" s="1" t="str" cm="1">
        <f t="array" ref="Q404">IF($BA401="","",INDEX(tblServicios[Vehículo],$BA401))</f>
        <v/>
      </c>
      <c r="R404" s="34" t="str" cm="1">
        <f t="array" ref="R404">IF($BA404="","",INDEX(tblServicios[Base imponible (€)],$BA404)-INDEX(tblServicios[Imp. suplemento (€)],$BA404))</f>
        <v/>
      </c>
      <c r="S404" s="34" t="str" cm="1">
        <f t="array" ref="S404">IF($BA404="","",INDEX(tblServicios[Imp. suplemento (€)],$BA404))</f>
        <v/>
      </c>
      <c r="T404" t="str" cm="1">
        <f t="array" ref="T404">IF($BA404="","",INDEX(tblServicios[Tipo suplemento],$BA404))</f>
        <v/>
      </c>
      <c r="U404" s="2" t="str">
        <f t="shared" si="8"/>
        <v/>
      </c>
      <c r="V404" t="str" cm="1">
        <f t="array" ref="V404">IF($BA404="","",IF(INDEX(tblServicios[Conductor],$BA404)=$T$2,"Conductor",IF(INDEX(tblServicios[Personal adicional],$BA404)=$T$2,"Personal adicional","")))</f>
        <v/>
      </c>
      <c r="BA404" s="33" t="str" cm="1">
        <f t="array" ref="BA40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adicional]=$T$2))&gt;0)),ROW(A405)),"")</f>
        <v/>
      </c>
    </row>
    <row r="405" spans="15:53" x14ac:dyDescent="0.35">
      <c r="O405" s="1" t="str" cm="1">
        <f t="array" ref="O405">IF($BA402="","",INDEX(tblServicios[Fecha],$BA402))</f>
        <v/>
      </c>
      <c r="P405" s="1" t="str" cm="1">
        <f t="array" ref="P405">IF($BA402="","",INDEX(tblServicios[Contrato],$BA402))</f>
        <v/>
      </c>
      <c r="Q405" s="1" t="str" cm="1">
        <f t="array" ref="Q405">IF($BA402="","",INDEX(tblServicios[Vehículo],$BA402))</f>
        <v/>
      </c>
      <c r="R405" s="34" t="str" cm="1">
        <f t="array" ref="R405">IF($BA405="","",INDEX(tblServicios[Base imponible (€)],$BA405)-INDEX(tblServicios[Imp. suplemento (€)],$BA405))</f>
        <v/>
      </c>
      <c r="S405" s="34" t="str" cm="1">
        <f t="array" ref="S405">IF($BA405="","",INDEX(tblServicios[Imp. suplemento (€)],$BA405))</f>
        <v/>
      </c>
      <c r="T405" t="str" cm="1">
        <f t="array" ref="T405">IF($BA405="","",INDEX(tblServicios[Tipo suplemento],$BA405))</f>
        <v/>
      </c>
      <c r="U405" s="2" t="str">
        <f t="shared" si="8"/>
        <v/>
      </c>
      <c r="V405" t="str" cm="1">
        <f t="array" ref="V405">IF($BA405="","",IF(INDEX(tblServicios[Conductor],$BA405)=$T$2,"Conductor",IF(INDEX(tblServicios[Personal adicional],$BA405)=$T$2,"Personal adicional","")))</f>
        <v/>
      </c>
      <c r="BA405" s="33" t="str" cm="1">
        <f t="array" ref="BA40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adicional]=$T$2))&gt;0)),ROW(A406)),"")</f>
        <v/>
      </c>
    </row>
    <row r="406" spans="15:53" x14ac:dyDescent="0.35">
      <c r="O406" s="1" t="str" cm="1">
        <f t="array" ref="O406">IF($BA403="","",INDEX(tblServicios[Fecha],$BA403))</f>
        <v/>
      </c>
      <c r="P406" s="1" t="str" cm="1">
        <f t="array" ref="P406">IF($BA403="","",INDEX(tblServicios[Contrato],$BA403))</f>
        <v/>
      </c>
      <c r="Q406" t="str" cm="1">
        <f t="array" ref="Q406">IF($BA406="","",INDEX(tblServicios[Vehículo],$BA406))</f>
        <v/>
      </c>
      <c r="R406" s="34" t="str" cm="1">
        <f t="array" ref="R406">IF($BA406="","",INDEX(tblServicios[Base imponible (€)],$BA406)-INDEX(tblServicios[Imp. suplemento (€)],$BA406))</f>
        <v/>
      </c>
      <c r="S406" s="34" t="str" cm="1">
        <f t="array" ref="S406">IF($BA406="","",INDEX(tblServicios[Imp. suplemento (€)],$BA406))</f>
        <v/>
      </c>
      <c r="T406" t="str" cm="1">
        <f t="array" ref="T406">IF($BA406="","",INDEX(tblServicios[Tipo suplemento],$BA406))</f>
        <v/>
      </c>
      <c r="U406" s="2" t="str">
        <f t="shared" si="8"/>
        <v/>
      </c>
      <c r="V406" t="str" cm="1">
        <f t="array" ref="V406">IF($BA406="","",IF(INDEX(tblServicios[Conductor],$BA406)=$T$2,"Conductor",IF(INDEX(tblServicios[Personal adicional],$BA406)=$T$2,"Personal adicional","")))</f>
        <v/>
      </c>
      <c r="BA406" s="33" t="str" cm="1">
        <f t="array" ref="BA40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adicional]=$T$2))&gt;0)),ROW(A407)),"")</f>
        <v/>
      </c>
    </row>
    <row r="407" spans="15:53" x14ac:dyDescent="0.35">
      <c r="O407" s="1" t="str" cm="1">
        <f t="array" ref="O407">IF($BA404="","",INDEX(tblServicios[Fecha],$BA404))</f>
        <v/>
      </c>
      <c r="P407" s="1" t="str" cm="1">
        <f t="array" ref="P407">IF($BA404="","",INDEX(tblServicios[Contrato],$BA404))</f>
        <v/>
      </c>
      <c r="Q407" t="str" cm="1">
        <f t="array" ref="Q407">IF($BA407="","",INDEX(tblServicios[Vehículo],$BA407))</f>
        <v/>
      </c>
      <c r="R407" s="34" t="str" cm="1">
        <f t="array" ref="R407">IF($BA407="","",INDEX(tblServicios[Base imponible (€)],$BA407)-INDEX(tblServicios[Imp. suplemento (€)],$BA407))</f>
        <v/>
      </c>
      <c r="S407" s="34" t="str" cm="1">
        <f t="array" ref="S407">IF($BA407="","",INDEX(tblServicios[Imp. suplemento (€)],$BA407))</f>
        <v/>
      </c>
      <c r="T407" t="str" cm="1">
        <f t="array" ref="T407">IF($BA407="","",INDEX(tblServicios[Tipo suplemento],$BA407))</f>
        <v/>
      </c>
      <c r="U407" s="2" t="str">
        <f t="shared" si="8"/>
        <v/>
      </c>
      <c r="V407" t="str" cm="1">
        <f t="array" ref="V407">IF($BA407="","",IF(INDEX(tblServicios[Conductor],$BA407)=$T$2,"Conductor",IF(INDEX(tblServicios[Personal adicional],$BA407)=$T$2,"Personal adicional","")))</f>
        <v/>
      </c>
      <c r="BA407" s="33" t="str" cm="1">
        <f t="array" ref="BA40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adicional]=$T$2))&gt;0)),ROW(A408)),"")</f>
        <v/>
      </c>
    </row>
    <row r="408" spans="15:53" x14ac:dyDescent="0.35">
      <c r="O408" s="1" t="str" cm="1">
        <f t="array" ref="O408">IF($BA405="","",INDEX(tblServicios[Fecha],$BA405))</f>
        <v/>
      </c>
      <c r="P408" s="1" t="str" cm="1">
        <f t="array" ref="P408">IF($BA405="","",INDEX(tblServicios[Contrato],$BA405))</f>
        <v/>
      </c>
      <c r="Q408" t="str" cm="1">
        <f t="array" ref="Q408">IF($BA408="","",INDEX(tblServicios[Vehículo],$BA408))</f>
        <v/>
      </c>
      <c r="R408" s="34" t="str" cm="1">
        <f t="array" ref="R408">IF($BA408="","",INDEX(tblServicios[Base imponible (€)],$BA408)-INDEX(tblServicios[Imp. suplemento (€)],$BA408))</f>
        <v/>
      </c>
      <c r="S408" s="34" t="str" cm="1">
        <f t="array" ref="S408">IF($BA408="","",INDEX(tblServicios[Imp. suplemento (€)],$BA408))</f>
        <v/>
      </c>
      <c r="T408" t="str" cm="1">
        <f t="array" ref="T408">IF($BA408="","",INDEX(tblServicios[Tipo suplemento],$BA408))</f>
        <v/>
      </c>
      <c r="U408" s="2" t="str">
        <f t="shared" si="8"/>
        <v/>
      </c>
      <c r="V408" t="str" cm="1">
        <f t="array" ref="V408">IF($BA408="","",IF(INDEX(tblServicios[Conductor],$BA408)=$T$2,"Conductor",IF(INDEX(tblServicios[Personal adicional],$BA408)=$T$2,"Personal adicional","")))</f>
        <v/>
      </c>
      <c r="BA408" s="33" t="str" cm="1">
        <f t="array" ref="BA40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adicional]=$T$2))&gt;0)),ROW(A409)),"")</f>
        <v/>
      </c>
    </row>
    <row r="409" spans="15:53" x14ac:dyDescent="0.35">
      <c r="O409" s="1" t="str" cm="1">
        <f t="array" ref="O409">IF($BA406="","",INDEX(tblServicios[Fecha],$BA406))</f>
        <v/>
      </c>
      <c r="P409" s="1" t="str" cm="1">
        <f t="array" ref="P409">IF($BA406="","",INDEX(tblServicios[Contrato],$BA406))</f>
        <v/>
      </c>
      <c r="Q409" t="str" cm="1">
        <f t="array" ref="Q409">IF($BA409="","",INDEX(tblServicios[Vehículo],$BA409))</f>
        <v/>
      </c>
      <c r="R409" s="34" t="str" cm="1">
        <f t="array" ref="R409">IF($BA409="","",INDEX(tblServicios[Base imponible (€)],$BA409)-INDEX(tblServicios[Imp. suplemento (€)],$BA409))</f>
        <v/>
      </c>
      <c r="S409" s="34" t="str" cm="1">
        <f t="array" ref="S409">IF($BA409="","",INDEX(tblServicios[Imp. suplemento (€)],$BA409))</f>
        <v/>
      </c>
      <c r="T409" t="str" cm="1">
        <f t="array" ref="T409">IF($BA409="","",INDEX(tblServicios[Tipo suplemento],$BA409))</f>
        <v/>
      </c>
      <c r="U409" s="2" t="str">
        <f t="shared" si="8"/>
        <v/>
      </c>
      <c r="V409" t="str" cm="1">
        <f t="array" ref="V409">IF($BA409="","",IF(INDEX(tblServicios[Conductor],$BA409)=$T$2,"Conductor",IF(INDEX(tblServicios[Personal adicional],$BA409)=$T$2,"Personal adicional","")))</f>
        <v/>
      </c>
      <c r="BA409" s="33" t="str" cm="1">
        <f t="array" ref="BA40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adicional]=$T$2))&gt;0)),ROW(A410)),"")</f>
        <v/>
      </c>
    </row>
    <row r="410" spans="15:53" x14ac:dyDescent="0.35">
      <c r="O410" s="1" t="str" cm="1">
        <f t="array" ref="O410">IF($BA407="","",INDEX(tblServicios[Fecha],$BA407))</f>
        <v/>
      </c>
      <c r="P410" s="1" t="str" cm="1">
        <f t="array" ref="P410">IF($BA407="","",INDEX(tblServicios[Contrato],$BA407))</f>
        <v/>
      </c>
      <c r="Q410" t="str" cm="1">
        <f t="array" ref="Q410">IF($BA410="","",INDEX(tblServicios[Vehículo],$BA410))</f>
        <v/>
      </c>
      <c r="R410" s="34" t="str" cm="1">
        <f t="array" ref="R410">IF($BA410="","",INDEX(tblServicios[Base imponible (€)],$BA410)-INDEX(tblServicios[Imp. suplemento (€)],$BA410))</f>
        <v/>
      </c>
      <c r="S410" s="34" t="str" cm="1">
        <f t="array" ref="S410">IF($BA410="","",INDEX(tblServicios[Imp. suplemento (€)],$BA410))</f>
        <v/>
      </c>
      <c r="T410" t="str" cm="1">
        <f t="array" ref="T410">IF($BA410="","",INDEX(tblServicios[Tipo suplemento],$BA410))</f>
        <v/>
      </c>
      <c r="U410" s="2" t="str">
        <f t="shared" si="8"/>
        <v/>
      </c>
      <c r="V410" t="str" cm="1">
        <f t="array" ref="V410">IF($BA410="","",IF(INDEX(tblServicios[Conductor],$BA410)=$T$2,"Conductor",IF(INDEX(tblServicios[Personal adicional],$BA410)=$T$2,"Personal adicional","")))</f>
        <v/>
      </c>
      <c r="BA410" s="33" t="str" cm="1">
        <f t="array" ref="BA4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adicional]=$T$2))&gt;0)),ROW(A411)),"")</f>
        <v/>
      </c>
    </row>
    <row r="411" spans="15:53" x14ac:dyDescent="0.35">
      <c r="O411" s="1" t="str" cm="1">
        <f t="array" ref="O411">IF($BA408="","",INDEX(tblServicios[Fecha],$BA408))</f>
        <v/>
      </c>
      <c r="P411" s="1" t="str" cm="1">
        <f t="array" ref="P411">IF($BA408="","",INDEX(tblServicios[Contrato],$BA408))</f>
        <v/>
      </c>
      <c r="Q411" t="str" cm="1">
        <f t="array" ref="Q411">IF($BA411="","",INDEX(tblServicios[Vehículo],$BA411))</f>
        <v/>
      </c>
      <c r="R411" s="34" t="str" cm="1">
        <f t="array" ref="R411">IF($BA411="","",INDEX(tblServicios[Base imponible (€)],$BA411)-INDEX(tblServicios[Imp. suplemento (€)],$BA411))</f>
        <v/>
      </c>
      <c r="S411" s="34" t="str" cm="1">
        <f t="array" ref="S411">IF($BA411="","",INDEX(tblServicios[Imp. suplemento (€)],$BA411))</f>
        <v/>
      </c>
      <c r="T411" t="str" cm="1">
        <f t="array" ref="T411">IF($BA411="","",INDEX(tblServicios[Tipo suplemento],$BA411))</f>
        <v/>
      </c>
      <c r="U411" s="2" t="str">
        <f t="shared" si="8"/>
        <v/>
      </c>
      <c r="V411" t="str" cm="1">
        <f t="array" ref="V411">IF($BA411="","",IF(INDEX(tblServicios[Conductor],$BA411)=$T$2,"Conductor",IF(INDEX(tblServicios[Personal adicional],$BA411)=$T$2,"Personal adicional","")))</f>
        <v/>
      </c>
      <c r="BA411" s="33" t="str" cm="1">
        <f t="array" ref="BA4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adicional]=$T$2))&gt;0)),ROW(A412)),"")</f>
        <v/>
      </c>
    </row>
    <row r="412" spans="15:53" x14ac:dyDescent="0.35">
      <c r="O412" s="1" t="str" cm="1">
        <f t="array" ref="O412">IF($BA409="","",INDEX(tblServicios[Fecha],$BA409))</f>
        <v/>
      </c>
      <c r="P412" s="1" t="str" cm="1">
        <f t="array" ref="P412">IF($BA409="","",INDEX(tblServicios[Contrato],$BA409))</f>
        <v/>
      </c>
      <c r="Q412" t="str" cm="1">
        <f t="array" ref="Q412">IF($BA412="","",INDEX(tblServicios[Vehículo],$BA412))</f>
        <v/>
      </c>
      <c r="R412" s="34" t="str" cm="1">
        <f t="array" ref="R412">IF($BA412="","",INDEX(tblServicios[Base imponible (€)],$BA412)-INDEX(tblServicios[Imp. suplemento (€)],$BA412))</f>
        <v/>
      </c>
      <c r="S412" s="34" t="str" cm="1">
        <f t="array" ref="S412">IF($BA412="","",INDEX(tblServicios[Imp. suplemento (€)],$BA412))</f>
        <v/>
      </c>
      <c r="T412" t="str" cm="1">
        <f t="array" ref="T412">IF($BA412="","",INDEX(tblServicios[Tipo suplemento],$BA412))</f>
        <v/>
      </c>
      <c r="U412" s="2" t="str">
        <f t="shared" si="8"/>
        <v/>
      </c>
      <c r="V412" t="str" cm="1">
        <f t="array" ref="V412">IF($BA412="","",IF(INDEX(tblServicios[Conductor],$BA412)=$T$2,"Conductor",IF(INDEX(tblServicios[Personal adicional],$BA412)=$T$2,"Personal adicional","")))</f>
        <v/>
      </c>
      <c r="BA412" s="33" t="str" cm="1">
        <f t="array" ref="BA4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adicional]=$T$2))&gt;0)),ROW(A413)),"")</f>
        <v/>
      </c>
    </row>
    <row r="413" spans="15:53" x14ac:dyDescent="0.35">
      <c r="O413" s="1" t="str" cm="1">
        <f t="array" ref="O413">IF($BA410="","",INDEX(tblServicios[Fecha],$BA410))</f>
        <v/>
      </c>
      <c r="P413" s="1" t="str" cm="1">
        <f t="array" ref="P413">IF($BA410="","",INDEX(tblServicios[Contrato],$BA410))</f>
        <v/>
      </c>
      <c r="Q413" t="str" cm="1">
        <f t="array" ref="Q413">IF($BA413="","",INDEX(tblServicios[Vehículo],$BA413))</f>
        <v/>
      </c>
      <c r="R413" s="34" t="str" cm="1">
        <f t="array" ref="R413">IF($BA413="","",INDEX(tblServicios[Base imponible (€)],$BA413)-INDEX(tblServicios[Imp. suplemento (€)],$BA413))</f>
        <v/>
      </c>
      <c r="S413" s="34" t="str" cm="1">
        <f t="array" ref="S413">IF($BA413="","",INDEX(tblServicios[Imp. suplemento (€)],$BA413))</f>
        <v/>
      </c>
      <c r="T413" t="str" cm="1">
        <f t="array" ref="T413">IF($BA413="","",INDEX(tblServicios[Tipo suplemento],$BA413))</f>
        <v/>
      </c>
      <c r="U413" s="2" t="str">
        <f t="shared" si="8"/>
        <v/>
      </c>
      <c r="V413" t="str" cm="1">
        <f t="array" ref="V413">IF($BA413="","",IF(INDEX(tblServicios[Conductor],$BA413)=$T$2,"Conductor",IF(INDEX(tblServicios[Personal adicional],$BA413)=$T$2,"Personal adicional","")))</f>
        <v/>
      </c>
      <c r="BA413" s="33" t="str" cm="1">
        <f t="array" ref="BA4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adicional]=$T$2))&gt;0)),ROW(A414)),"")</f>
        <v/>
      </c>
    </row>
    <row r="414" spans="15:53" x14ac:dyDescent="0.35">
      <c r="O414" s="1" t="str" cm="1">
        <f t="array" ref="O414">IF($BA411="","",INDEX(tblServicios[Fecha],$BA411))</f>
        <v/>
      </c>
      <c r="P414" s="1" t="str" cm="1">
        <f t="array" ref="P414">IF($BA411="","",INDEX(tblServicios[Contrato],$BA411))</f>
        <v/>
      </c>
      <c r="Q414" t="str" cm="1">
        <f t="array" ref="Q414">IF($BA414="","",INDEX(tblServicios[Vehículo],$BA414))</f>
        <v/>
      </c>
      <c r="R414" s="34" t="str" cm="1">
        <f t="array" ref="R414">IF($BA414="","",INDEX(tblServicios[Base imponible (€)],$BA414)-INDEX(tblServicios[Imp. suplemento (€)],$BA414))</f>
        <v/>
      </c>
      <c r="S414" s="34" t="str" cm="1">
        <f t="array" ref="S414">IF($BA414="","",INDEX(tblServicios[Imp. suplemento (€)],$BA414))</f>
        <v/>
      </c>
      <c r="T414" t="str" cm="1">
        <f t="array" ref="T414">IF($BA414="","",INDEX(tblServicios[Tipo suplemento],$BA414))</f>
        <v/>
      </c>
      <c r="U414" s="2" t="str">
        <f t="shared" si="8"/>
        <v/>
      </c>
      <c r="V414" t="str" cm="1">
        <f t="array" ref="V414">IF($BA414="","",IF(INDEX(tblServicios[Conductor],$BA414)=$T$2,"Conductor",IF(INDEX(tblServicios[Personal adicional],$BA414)=$T$2,"Personal adicional","")))</f>
        <v/>
      </c>
      <c r="BA414" s="33" t="str" cm="1">
        <f t="array" ref="BA4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adicional]=$T$2))&gt;0)),ROW(A415)),"")</f>
        <v/>
      </c>
    </row>
    <row r="415" spans="15:53" x14ac:dyDescent="0.35">
      <c r="O415" s="1" t="str" cm="1">
        <f t="array" ref="O415">IF($BA412="","",INDEX(tblServicios[Fecha],$BA412))</f>
        <v/>
      </c>
      <c r="P415" s="1" t="str" cm="1">
        <f t="array" ref="P415">IF($BA412="","",INDEX(tblServicios[Contrato],$BA412))</f>
        <v/>
      </c>
      <c r="Q415" t="str" cm="1">
        <f t="array" ref="Q415">IF($BA415="","",INDEX(tblServicios[Vehículo],$BA415))</f>
        <v/>
      </c>
      <c r="R415" s="34" t="str" cm="1">
        <f t="array" ref="R415">IF($BA415="","",INDEX(tblServicios[Base imponible (€)],$BA415)-INDEX(tblServicios[Imp. suplemento (€)],$BA415))</f>
        <v/>
      </c>
      <c r="S415" s="34" t="str" cm="1">
        <f t="array" ref="S415">IF($BA415="","",INDEX(tblServicios[Imp. suplemento (€)],$BA415))</f>
        <v/>
      </c>
      <c r="T415" t="str" cm="1">
        <f t="array" ref="T415">IF($BA415="","",INDEX(tblServicios[Tipo suplemento],$BA415))</f>
        <v/>
      </c>
      <c r="U415" s="2" t="str">
        <f t="shared" si="8"/>
        <v/>
      </c>
      <c r="V415" t="str" cm="1">
        <f t="array" ref="V415">IF($BA415="","",IF(INDEX(tblServicios[Conductor],$BA415)=$T$2,"Conductor",IF(INDEX(tblServicios[Personal adicional],$BA415)=$T$2,"Personal adicional","")))</f>
        <v/>
      </c>
      <c r="BA415" s="33" t="str" cm="1">
        <f t="array" ref="BA4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adicional]=$T$2))&gt;0)),ROW(A416)),"")</f>
        <v/>
      </c>
    </row>
    <row r="416" spans="15:53" x14ac:dyDescent="0.35">
      <c r="O416" s="1" t="str" cm="1">
        <f t="array" ref="O416">IF($BA413="","",INDEX(tblServicios[Fecha],$BA413))</f>
        <v/>
      </c>
      <c r="P416" s="1" t="str" cm="1">
        <f t="array" ref="P416">IF($BA413="","",INDEX(tblServicios[Contrato],$BA413))</f>
        <v/>
      </c>
      <c r="Q416" t="str" cm="1">
        <f t="array" ref="Q416">IF($BA416="","",INDEX(tblServicios[Vehículo],$BA416))</f>
        <v/>
      </c>
      <c r="R416" s="34" t="str" cm="1">
        <f t="array" ref="R416">IF($BA416="","",INDEX(tblServicios[Base imponible (€)],$BA416)-INDEX(tblServicios[Imp. suplemento (€)],$BA416))</f>
        <v/>
      </c>
      <c r="S416" s="34" t="str" cm="1">
        <f t="array" ref="S416">IF($BA416="","",INDEX(tblServicios[Imp. suplemento (€)],$BA416))</f>
        <v/>
      </c>
      <c r="T416" t="str" cm="1">
        <f t="array" ref="T416">IF($BA416="","",INDEX(tblServicios[Tipo suplemento],$BA416))</f>
        <v/>
      </c>
      <c r="U416" s="2" t="str">
        <f t="shared" si="8"/>
        <v/>
      </c>
      <c r="V416" t="str" cm="1">
        <f t="array" ref="V416">IF($BA416="","",IF(INDEX(tblServicios[Conductor],$BA416)=$T$2,"Conductor",IF(INDEX(tblServicios[Personal adicional],$BA416)=$T$2,"Personal adicional","")))</f>
        <v/>
      </c>
      <c r="BA416" s="33" t="str" cm="1">
        <f t="array" ref="BA4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adicional]=$T$2))&gt;0)),ROW(A417)),"")</f>
        <v/>
      </c>
    </row>
    <row r="417" spans="15:53" x14ac:dyDescent="0.35">
      <c r="O417" s="1" t="str" cm="1">
        <f t="array" ref="O417">IF($BA414="","",INDEX(tblServicios[Fecha],$BA414))</f>
        <v/>
      </c>
      <c r="P417" s="1" t="str" cm="1">
        <f t="array" ref="P417">IF($BA414="","",INDEX(tblServicios[Contrato],$BA414))</f>
        <v/>
      </c>
      <c r="Q417" t="str" cm="1">
        <f t="array" ref="Q417">IF($BA417="","",INDEX(tblServicios[Vehículo],$BA417))</f>
        <v/>
      </c>
      <c r="R417" s="34" t="str" cm="1">
        <f t="array" ref="R417">IF($BA417="","",INDEX(tblServicios[Base imponible (€)],$BA417)-INDEX(tblServicios[Imp. suplemento (€)],$BA417))</f>
        <v/>
      </c>
      <c r="S417" s="34" t="str" cm="1">
        <f t="array" ref="S417">IF($BA417="","",INDEX(tblServicios[Imp. suplemento (€)],$BA417))</f>
        <v/>
      </c>
      <c r="T417" t="str" cm="1">
        <f t="array" ref="T417">IF($BA417="","",INDEX(tblServicios[Tipo suplemento],$BA417))</f>
        <v/>
      </c>
      <c r="U417" s="2" t="str">
        <f t="shared" si="8"/>
        <v/>
      </c>
      <c r="V417" t="str" cm="1">
        <f t="array" ref="V417">IF($BA417="","",IF(INDEX(tblServicios[Conductor],$BA417)=$T$2,"Conductor",IF(INDEX(tblServicios[Personal adicional],$BA417)=$T$2,"Personal adicional","")))</f>
        <v/>
      </c>
      <c r="BA417" s="33" t="str" cm="1">
        <f t="array" ref="BA4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adicional]=$T$2))&gt;0)),ROW(A418)),"")</f>
        <v/>
      </c>
    </row>
    <row r="418" spans="15:53" x14ac:dyDescent="0.35">
      <c r="O418" s="1" t="str" cm="1">
        <f t="array" ref="O418">IF($BA415="","",INDEX(tblServicios[Fecha],$BA415))</f>
        <v/>
      </c>
      <c r="P418" t="str" cm="1">
        <f t="array" ref="P418">IF($BA418="","",INDEX(tblServicios[Contrato],$BA418))</f>
        <v/>
      </c>
      <c r="Q418" t="str" cm="1">
        <f t="array" ref="Q418">IF($BA418="","",INDEX(tblServicios[Vehículo],$BA418))</f>
        <v/>
      </c>
      <c r="R418" s="34" t="str" cm="1">
        <f t="array" ref="R418">IF($BA418="","",INDEX(tblServicios[Base imponible (€)],$BA418)-INDEX(tblServicios[Imp. suplemento (€)],$BA418))</f>
        <v/>
      </c>
      <c r="S418" s="34" t="str" cm="1">
        <f t="array" ref="S418">IF($BA418="","",INDEX(tblServicios[Imp. suplemento (€)],$BA418))</f>
        <v/>
      </c>
      <c r="T418" t="str" cm="1">
        <f t="array" ref="T418">IF($BA418="","",INDEX(tblServicios[Tipo suplemento],$BA418))</f>
        <v/>
      </c>
      <c r="U418" s="2" t="str">
        <f t="shared" si="8"/>
        <v/>
      </c>
      <c r="V418" t="str" cm="1">
        <f t="array" ref="V418">IF($BA418="","",IF(INDEX(tblServicios[Conductor],$BA418)=$T$2,"Conductor",IF(INDEX(tblServicios[Personal adicional],$BA418)=$T$2,"Personal adicional","")))</f>
        <v/>
      </c>
      <c r="BA418" s="33" t="str" cm="1">
        <f t="array" ref="BA4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adicional]=$T$2))&gt;0)),ROW(A419)),"")</f>
        <v/>
      </c>
    </row>
    <row r="419" spans="15:53" x14ac:dyDescent="0.35">
      <c r="O419" s="1" t="str" cm="1">
        <f t="array" ref="O419">IF($BA416="","",INDEX(tblServicios[Fecha],$BA416))</f>
        <v/>
      </c>
      <c r="P419" t="str" cm="1">
        <f t="array" ref="P419">IF($BA419="","",INDEX(tblServicios[Contrato],$BA419))</f>
        <v/>
      </c>
      <c r="Q419" t="str" cm="1">
        <f t="array" ref="Q419">IF($BA419="","",INDEX(tblServicios[Vehículo],$BA419))</f>
        <v/>
      </c>
      <c r="R419" s="34" t="str" cm="1">
        <f t="array" ref="R419">IF($BA419="","",INDEX(tblServicios[Base imponible (€)],$BA419)-INDEX(tblServicios[Imp. suplemento (€)],$BA419))</f>
        <v/>
      </c>
      <c r="S419" s="34" t="str" cm="1">
        <f t="array" ref="S419">IF($BA419="","",INDEX(tblServicios[Imp. suplemento (€)],$BA419))</f>
        <v/>
      </c>
      <c r="T419" t="str" cm="1">
        <f t="array" ref="T419">IF($BA419="","",INDEX(tblServicios[Tipo suplemento],$BA419))</f>
        <v/>
      </c>
      <c r="U419" s="2" t="str">
        <f t="shared" si="8"/>
        <v/>
      </c>
      <c r="V419" t="str" cm="1">
        <f t="array" ref="V419">IF($BA419="","",IF(INDEX(tblServicios[Conductor],$BA419)=$T$2,"Conductor",IF(INDEX(tblServicios[Personal adicional],$BA419)=$T$2,"Personal adicional","")))</f>
        <v/>
      </c>
      <c r="BA419" s="33" t="str" cm="1">
        <f t="array" ref="BA4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adicional]=$T$2))&gt;0)),ROW(A420)),"")</f>
        <v/>
      </c>
    </row>
    <row r="420" spans="15:53" x14ac:dyDescent="0.35">
      <c r="O420" s="1" t="str" cm="1">
        <f t="array" ref="O420">IF($BA417="","",INDEX(tblServicios[Fecha],$BA417))</f>
        <v/>
      </c>
      <c r="P420" t="str" cm="1">
        <f t="array" ref="P420">IF($BA420="","",INDEX(tblServicios[Contrato],$BA420))</f>
        <v/>
      </c>
      <c r="Q420" t="str" cm="1">
        <f t="array" ref="Q420">IF($BA420="","",INDEX(tblServicios[Vehículo],$BA420))</f>
        <v/>
      </c>
      <c r="R420" s="34" t="str" cm="1">
        <f t="array" ref="R420">IF($BA420="","",INDEX(tblServicios[Base imponible (€)],$BA420)-INDEX(tblServicios[Imp. suplemento (€)],$BA420))</f>
        <v/>
      </c>
      <c r="S420" s="34" t="str" cm="1">
        <f t="array" ref="S420">IF($BA420="","",INDEX(tblServicios[Imp. suplemento (€)],$BA420))</f>
        <v/>
      </c>
      <c r="T420" t="str" cm="1">
        <f t="array" ref="T420">IF($BA420="","",INDEX(tblServicios[Tipo suplemento],$BA420))</f>
        <v/>
      </c>
      <c r="U420" s="2" t="str">
        <f t="shared" si="8"/>
        <v/>
      </c>
      <c r="V420" t="str" cm="1">
        <f t="array" ref="V420">IF($BA420="","",IF(INDEX(tblServicios[Conductor],$BA420)=$T$2,"Conductor",IF(INDEX(tblServicios[Personal adicional],$BA420)=$T$2,"Personal adicional","")))</f>
        <v/>
      </c>
      <c r="BA420" s="33" t="str" cm="1">
        <f t="array" ref="BA4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adicional]=$T$2))&gt;0)),ROW(A421)),"")</f>
        <v/>
      </c>
    </row>
    <row r="421" spans="15:53" x14ac:dyDescent="0.35">
      <c r="O421" s="1" t="str" cm="1">
        <f t="array" ref="O421">IF($BA418="","",INDEX(tblServicios[Fecha],$BA418))</f>
        <v/>
      </c>
      <c r="P421" t="str" cm="1">
        <f t="array" ref="P421">IF($BA421="","",INDEX(tblServicios[Contrato],$BA421))</f>
        <v/>
      </c>
      <c r="Q421" t="str" cm="1">
        <f t="array" ref="Q421">IF($BA421="","",INDEX(tblServicios[Vehículo],$BA421))</f>
        <v/>
      </c>
      <c r="R421" s="34" t="str" cm="1">
        <f t="array" ref="R421">IF($BA421="","",INDEX(tblServicios[Base imponible (€)],$BA421)-INDEX(tblServicios[Imp. suplemento (€)],$BA421))</f>
        <v/>
      </c>
      <c r="S421" s="34" t="str" cm="1">
        <f t="array" ref="S421">IF($BA421="","",INDEX(tblServicios[Imp. suplemento (€)],$BA421))</f>
        <v/>
      </c>
      <c r="T421" t="str" cm="1">
        <f t="array" ref="T421">IF($BA421="","",INDEX(tblServicios[Tipo suplemento],$BA421))</f>
        <v/>
      </c>
      <c r="U421" s="2" t="str">
        <f t="shared" si="8"/>
        <v/>
      </c>
      <c r="V421" t="str" cm="1">
        <f t="array" ref="V421">IF($BA421="","",IF(INDEX(tblServicios[Conductor],$BA421)=$T$2,"Conductor",IF(INDEX(tblServicios[Personal adicional],$BA421)=$T$2,"Personal adicional","")))</f>
        <v/>
      </c>
      <c r="BA421" s="33" t="str" cm="1">
        <f t="array" ref="BA4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adicional]=$T$2))&gt;0)),ROW(A422)),"")</f>
        <v/>
      </c>
    </row>
    <row r="422" spans="15:53" x14ac:dyDescent="0.35">
      <c r="O422" s="1" t="str" cm="1">
        <f t="array" ref="O422">IF($BA419="","",INDEX(tblServicios[Fecha],$BA419))</f>
        <v/>
      </c>
      <c r="P422" t="str" cm="1">
        <f t="array" ref="P422">IF($BA422="","",INDEX(tblServicios[Contrato],$BA422))</f>
        <v/>
      </c>
      <c r="Q422" t="str" cm="1">
        <f t="array" ref="Q422">IF($BA422="","",INDEX(tblServicios[Vehículo],$BA422))</f>
        <v/>
      </c>
      <c r="R422" s="34" t="str" cm="1">
        <f t="array" ref="R422">IF($BA422="","",INDEX(tblServicios[Base imponible (€)],$BA422)-INDEX(tblServicios[Imp. suplemento (€)],$BA422))</f>
        <v/>
      </c>
      <c r="S422" s="34" t="str" cm="1">
        <f t="array" ref="S422">IF($BA422="","",INDEX(tblServicios[Imp. suplemento (€)],$BA422))</f>
        <v/>
      </c>
      <c r="T422" t="str" cm="1">
        <f t="array" ref="T422">IF($BA422="","",INDEX(tblServicios[Tipo suplemento],$BA422))</f>
        <v/>
      </c>
      <c r="U422" s="2" t="str">
        <f t="shared" si="8"/>
        <v/>
      </c>
      <c r="V422" t="str" cm="1">
        <f t="array" ref="V422">IF($BA422="","",IF(INDEX(tblServicios[Conductor],$BA422)=$T$2,"Conductor",IF(INDEX(tblServicios[Personal adicional],$BA422)=$T$2,"Personal adicional","")))</f>
        <v/>
      </c>
      <c r="BA422" s="33" t="str" cm="1">
        <f t="array" ref="BA4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adicional]=$T$2))&gt;0)),ROW(A423)),"")</f>
        <v/>
      </c>
    </row>
    <row r="423" spans="15:53" x14ac:dyDescent="0.35">
      <c r="O423" s="1" t="str" cm="1">
        <f t="array" ref="O423">IF($BA420="","",INDEX(tblServicios[Fecha],$BA420))</f>
        <v/>
      </c>
      <c r="P423" t="str" cm="1">
        <f t="array" ref="P423">IF($BA423="","",INDEX(tblServicios[Contrato],$BA423))</f>
        <v/>
      </c>
      <c r="Q423" t="str" cm="1">
        <f t="array" ref="Q423">IF($BA423="","",INDEX(tblServicios[Vehículo],$BA423))</f>
        <v/>
      </c>
      <c r="R423" s="34" t="str" cm="1">
        <f t="array" ref="R423">IF($BA423="","",INDEX(tblServicios[Base imponible (€)],$BA423)-INDEX(tblServicios[Imp. suplemento (€)],$BA423))</f>
        <v/>
      </c>
      <c r="S423" s="34" t="str" cm="1">
        <f t="array" ref="S423">IF($BA423="","",INDEX(tblServicios[Imp. suplemento (€)],$BA423))</f>
        <v/>
      </c>
      <c r="T423" t="str" cm="1">
        <f t="array" ref="T423">IF($BA423="","",INDEX(tblServicios[Tipo suplemento],$BA423))</f>
        <v/>
      </c>
      <c r="U423" s="2" t="str">
        <f t="shared" si="8"/>
        <v/>
      </c>
      <c r="V423" t="str" cm="1">
        <f t="array" ref="V423">IF($BA423="","",IF(INDEX(tblServicios[Conductor],$BA423)=$T$2,"Conductor",IF(INDEX(tblServicios[Personal adicional],$BA423)=$T$2,"Personal adicional","")))</f>
        <v/>
      </c>
      <c r="BA423" s="33" t="str" cm="1">
        <f t="array" ref="BA4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adicional]=$T$2))&gt;0)),ROW(A424)),"")</f>
        <v/>
      </c>
    </row>
    <row r="424" spans="15:53" x14ac:dyDescent="0.35">
      <c r="O424" s="1" t="str" cm="1">
        <f t="array" ref="O424">IF($BA421="","",INDEX(tblServicios[Fecha],$BA421))</f>
        <v/>
      </c>
      <c r="P424" t="str" cm="1">
        <f t="array" ref="P424">IF($BA424="","",INDEX(tblServicios[Contrato],$BA424))</f>
        <v/>
      </c>
      <c r="Q424" t="str" cm="1">
        <f t="array" ref="Q424">IF($BA424="","",INDEX(tblServicios[Vehículo],$BA424))</f>
        <v/>
      </c>
      <c r="R424" s="34" t="str" cm="1">
        <f t="array" ref="R424">IF($BA424="","",INDEX(tblServicios[Base imponible (€)],$BA424)-INDEX(tblServicios[Imp. suplemento (€)],$BA424))</f>
        <v/>
      </c>
      <c r="S424" s="34" t="str" cm="1">
        <f t="array" ref="S424">IF($BA424="","",INDEX(tblServicios[Imp. suplemento (€)],$BA424))</f>
        <v/>
      </c>
      <c r="T424" t="str" cm="1">
        <f t="array" ref="T424">IF($BA424="","",INDEX(tblServicios[Tipo suplemento],$BA424))</f>
        <v/>
      </c>
      <c r="U424" s="2" t="str">
        <f t="shared" si="8"/>
        <v/>
      </c>
      <c r="V424" t="str" cm="1">
        <f t="array" ref="V424">IF($BA424="","",IF(INDEX(tblServicios[Conductor],$BA424)=$T$2,"Conductor",IF(INDEX(tblServicios[Personal adicional],$BA424)=$T$2,"Personal adicional","")))</f>
        <v/>
      </c>
      <c r="BA424" s="33" t="str" cm="1">
        <f t="array" ref="BA4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adicional]=$T$2))&gt;0)),ROW(A425)),"")</f>
        <v/>
      </c>
    </row>
    <row r="425" spans="15:53" x14ac:dyDescent="0.35">
      <c r="O425" s="1" t="str" cm="1">
        <f t="array" ref="O425">IF($BA422="","",INDEX(tblServicios[Fecha],$BA422))</f>
        <v/>
      </c>
      <c r="P425" t="str" cm="1">
        <f t="array" ref="P425">IF($BA425="","",INDEX(tblServicios[Contrato],$BA425))</f>
        <v/>
      </c>
      <c r="Q425" t="str" cm="1">
        <f t="array" ref="Q425">IF($BA425="","",INDEX(tblServicios[Vehículo],$BA425))</f>
        <v/>
      </c>
      <c r="R425" s="34" t="str" cm="1">
        <f t="array" ref="R425">IF($BA425="","",INDEX(tblServicios[Base imponible (€)],$BA425)-INDEX(tblServicios[Imp. suplemento (€)],$BA425))</f>
        <v/>
      </c>
      <c r="S425" s="34" t="str" cm="1">
        <f t="array" ref="S425">IF($BA425="","",INDEX(tblServicios[Imp. suplemento (€)],$BA425))</f>
        <v/>
      </c>
      <c r="T425" t="str" cm="1">
        <f t="array" ref="T425">IF($BA425="","",INDEX(tblServicios[Tipo suplemento],$BA425))</f>
        <v/>
      </c>
      <c r="U425" s="2" t="str">
        <f t="shared" si="8"/>
        <v/>
      </c>
      <c r="V425" t="str" cm="1">
        <f t="array" ref="V425">IF($BA425="","",IF(INDEX(tblServicios[Conductor],$BA425)=$T$2,"Conductor",IF(INDEX(tblServicios[Personal adicional],$BA425)=$T$2,"Personal adicional","")))</f>
        <v/>
      </c>
      <c r="BA425" s="33" t="str" cm="1">
        <f t="array" ref="BA4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adicional]=$T$2))&gt;0)),ROW(A426)),"")</f>
        <v/>
      </c>
    </row>
    <row r="426" spans="15:53" x14ac:dyDescent="0.35">
      <c r="O426" s="1" t="str" cm="1">
        <f t="array" ref="O426">IF($BA423="","",INDEX(tblServicios[Fecha],$BA423))</f>
        <v/>
      </c>
      <c r="P426" t="str" cm="1">
        <f t="array" ref="P426">IF($BA426="","",INDEX(tblServicios[Contrato],$BA426))</f>
        <v/>
      </c>
      <c r="Q426" t="str" cm="1">
        <f t="array" ref="Q426">IF($BA426="","",INDEX(tblServicios[Vehículo],$BA426))</f>
        <v/>
      </c>
      <c r="R426" s="34" t="str" cm="1">
        <f t="array" ref="R426">IF($BA426="","",INDEX(tblServicios[Base imponible (€)],$BA426)-INDEX(tblServicios[Imp. suplemento (€)],$BA426))</f>
        <v/>
      </c>
      <c r="S426" s="34" t="str" cm="1">
        <f t="array" ref="S426">IF($BA426="","",INDEX(tblServicios[Imp. suplemento (€)],$BA426))</f>
        <v/>
      </c>
      <c r="T426" t="str" cm="1">
        <f t="array" ref="T426">IF($BA426="","",INDEX(tblServicios[Tipo suplemento],$BA426))</f>
        <v/>
      </c>
      <c r="U426" s="2" t="str">
        <f t="shared" si="8"/>
        <v/>
      </c>
      <c r="V426" t="str" cm="1">
        <f t="array" ref="V426">IF($BA426="","",IF(INDEX(tblServicios[Conductor],$BA426)=$T$2,"Conductor",IF(INDEX(tblServicios[Personal adicional],$BA426)=$T$2,"Personal adicional","")))</f>
        <v/>
      </c>
      <c r="BA426" s="33" t="str" cm="1">
        <f t="array" ref="BA4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adicional]=$T$2))&gt;0)),ROW(A427)),"")</f>
        <v/>
      </c>
    </row>
    <row r="427" spans="15:53" x14ac:dyDescent="0.35">
      <c r="O427" s="1" t="str" cm="1">
        <f t="array" ref="O427">IF($BA424="","",INDEX(tblServicios[Fecha],$BA424))</f>
        <v/>
      </c>
      <c r="P427" t="str" cm="1">
        <f t="array" ref="P427">IF($BA427="","",INDEX(tblServicios[Contrato],$BA427))</f>
        <v/>
      </c>
      <c r="Q427" t="str" cm="1">
        <f t="array" ref="Q427">IF($BA427="","",INDEX(tblServicios[Vehículo],$BA427))</f>
        <v/>
      </c>
      <c r="R427" s="34" t="str" cm="1">
        <f t="array" ref="R427">IF($BA427="","",INDEX(tblServicios[Base imponible (€)],$BA427)-INDEX(tblServicios[Imp. suplemento (€)],$BA427))</f>
        <v/>
      </c>
      <c r="S427" s="34" t="str" cm="1">
        <f t="array" ref="S427">IF($BA427="","",INDEX(tblServicios[Imp. suplemento (€)],$BA427))</f>
        <v/>
      </c>
      <c r="T427" t="str" cm="1">
        <f t="array" ref="T427">IF($BA427="","",INDEX(tblServicios[Tipo suplemento],$BA427))</f>
        <v/>
      </c>
      <c r="U427" s="2" t="str">
        <f t="shared" si="8"/>
        <v/>
      </c>
      <c r="V427" t="str" cm="1">
        <f t="array" ref="V427">IF($BA427="","",IF(INDEX(tblServicios[Conductor],$BA427)=$T$2,"Conductor",IF(INDEX(tblServicios[Personal adicional],$BA427)=$T$2,"Personal adicional","")))</f>
        <v/>
      </c>
      <c r="BA427" s="33" t="str" cm="1">
        <f t="array" ref="BA4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adicional]=$T$2))&gt;0)),ROW(A428)),"")</f>
        <v/>
      </c>
    </row>
    <row r="428" spans="15:53" x14ac:dyDescent="0.35">
      <c r="O428" s="1" t="str" cm="1">
        <f t="array" ref="O428">IF($BA425="","",INDEX(tblServicios[Fecha],$BA425))</f>
        <v/>
      </c>
      <c r="P428" t="str" cm="1">
        <f t="array" ref="P428">IF($BA428="","",INDEX(tblServicios[Contrato],$BA428))</f>
        <v/>
      </c>
      <c r="Q428" t="str" cm="1">
        <f t="array" ref="Q428">IF($BA428="","",INDEX(tblServicios[Vehículo],$BA428))</f>
        <v/>
      </c>
      <c r="R428" s="34" t="str" cm="1">
        <f t="array" ref="R428">IF($BA428="","",INDEX(tblServicios[Base imponible (€)],$BA428)-INDEX(tblServicios[Imp. suplemento (€)],$BA428))</f>
        <v/>
      </c>
      <c r="S428" s="34" t="str" cm="1">
        <f t="array" ref="S428">IF($BA428="","",INDEX(tblServicios[Imp. suplemento (€)],$BA428))</f>
        <v/>
      </c>
      <c r="T428" t="str" cm="1">
        <f t="array" ref="T428">IF($BA428="","",INDEX(tblServicios[Tipo suplemento],$BA428))</f>
        <v/>
      </c>
      <c r="U428" s="2" t="str">
        <f t="shared" si="8"/>
        <v/>
      </c>
      <c r="V428" t="str" cm="1">
        <f t="array" ref="V428">IF($BA428="","",IF(INDEX(tblServicios[Conductor],$BA428)=$T$2,"Conductor",IF(INDEX(tblServicios[Personal adicional],$BA428)=$T$2,"Personal adicional","")))</f>
        <v/>
      </c>
      <c r="BA428" s="33" t="str" cm="1">
        <f t="array" ref="BA4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adicional]=$T$2))&gt;0)),ROW(A429)),"")</f>
        <v/>
      </c>
    </row>
    <row r="429" spans="15:53" x14ac:dyDescent="0.35">
      <c r="O429" s="1" t="str" cm="1">
        <f t="array" ref="O429">IF($BA426="","",INDEX(tblServicios[Fecha],$BA426))</f>
        <v/>
      </c>
      <c r="P429" t="str" cm="1">
        <f t="array" ref="P429">IF($BA429="","",INDEX(tblServicios[Contrato],$BA429))</f>
        <v/>
      </c>
      <c r="Q429" t="str" cm="1">
        <f t="array" ref="Q429">IF($BA429="","",INDEX(tblServicios[Vehículo],$BA429))</f>
        <v/>
      </c>
      <c r="R429" s="34" t="str" cm="1">
        <f t="array" ref="R429">IF($BA429="","",INDEX(tblServicios[Base imponible (€)],$BA429)-INDEX(tblServicios[Imp. suplemento (€)],$BA429))</f>
        <v/>
      </c>
      <c r="S429" s="34" t="str" cm="1">
        <f t="array" ref="S429">IF($BA429="","",INDEX(tblServicios[Imp. suplemento (€)],$BA429))</f>
        <v/>
      </c>
      <c r="T429" t="str" cm="1">
        <f t="array" ref="T429">IF($BA429="","",INDEX(tblServicios[Tipo suplemento],$BA429))</f>
        <v/>
      </c>
      <c r="U429" s="2" t="str">
        <f t="shared" si="8"/>
        <v/>
      </c>
      <c r="V429" t="str" cm="1">
        <f t="array" ref="V429">IF($BA429="","",IF(INDEX(tblServicios[Conductor],$BA429)=$T$2,"Conductor",IF(INDEX(tblServicios[Personal adicional],$BA429)=$T$2,"Personal adicional","")))</f>
        <v/>
      </c>
      <c r="BA429" s="33" t="str" cm="1">
        <f t="array" ref="BA4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adicional]=$T$2))&gt;0)),ROW(A430)),"")</f>
        <v/>
      </c>
    </row>
    <row r="430" spans="15:53" x14ac:dyDescent="0.35">
      <c r="O430" s="1" t="str" cm="1">
        <f t="array" ref="O430">IF($BA430="","",INDEX(tblServicios[Fecha],$BA430))</f>
        <v/>
      </c>
      <c r="P430" t="str" cm="1">
        <f t="array" ref="P430">IF($BA430="","",INDEX(tblServicios[Contrato],$BA430))</f>
        <v/>
      </c>
      <c r="Q430" t="str" cm="1">
        <f t="array" ref="Q430">IF($BA430="","",INDEX(tblServicios[Vehículo],$BA430))</f>
        <v/>
      </c>
      <c r="R430" s="34" t="str" cm="1">
        <f t="array" ref="R430">IF($BA430="","",INDEX(tblServicios[Base imponible (€)],$BA430)-INDEX(tblServicios[Imp. suplemento (€)],$BA430))</f>
        <v/>
      </c>
      <c r="S430" s="34" t="str" cm="1">
        <f t="array" ref="S430">IF($BA430="","",INDEX(tblServicios[Imp. suplemento (€)],$BA430))</f>
        <v/>
      </c>
      <c r="T430" t="str" cm="1">
        <f t="array" ref="T430">IF($BA430="","",INDEX(tblServicios[Tipo suplemento],$BA430))</f>
        <v/>
      </c>
      <c r="U430" s="2" t="str">
        <f t="shared" si="8"/>
        <v/>
      </c>
      <c r="V430" t="str" cm="1">
        <f t="array" ref="V430">IF($BA430="","",IF(INDEX(tblServicios[Conductor],$BA430)=$T$2,"Conductor",IF(INDEX(tblServicios[Personal adicional],$BA430)=$T$2,"Personal adicional","")))</f>
        <v/>
      </c>
      <c r="BA430" s="33" t="str" cm="1">
        <f t="array" ref="BA4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adicional]=$T$2))&gt;0)),ROW(A431)),"")</f>
        <v/>
      </c>
    </row>
    <row r="431" spans="15:53" x14ac:dyDescent="0.35">
      <c r="O431" s="1" t="str" cm="1">
        <f t="array" ref="O431">IF($BA431="","",INDEX(tblServicios[Fecha],$BA431))</f>
        <v/>
      </c>
      <c r="P431" t="str" cm="1">
        <f t="array" ref="P431">IF($BA431="","",INDEX(tblServicios[Contrato],$BA431))</f>
        <v/>
      </c>
      <c r="Q431" t="str" cm="1">
        <f t="array" ref="Q431">IF($BA431="","",INDEX(tblServicios[Vehículo],$BA431))</f>
        <v/>
      </c>
      <c r="R431" s="34" t="str" cm="1">
        <f t="array" ref="R431">IF($BA431="","",INDEX(tblServicios[Base imponible (€)],$BA431)-INDEX(tblServicios[Imp. suplemento (€)],$BA431))</f>
        <v/>
      </c>
      <c r="S431" s="34" t="str" cm="1">
        <f t="array" ref="S431">IF($BA431="","",INDEX(tblServicios[Imp. suplemento (€)],$BA431))</f>
        <v/>
      </c>
      <c r="T431" t="str" cm="1">
        <f t="array" ref="T431">IF($BA431="","",INDEX(tblServicios[Tipo suplemento],$BA431))</f>
        <v/>
      </c>
      <c r="U431" s="2" t="str">
        <f t="shared" si="8"/>
        <v/>
      </c>
      <c r="V431" t="str" cm="1">
        <f t="array" ref="V431">IF($BA431="","",IF(INDEX(tblServicios[Conductor],$BA431)=$T$2,"Conductor",IF(INDEX(tblServicios[Personal adicional],$BA431)=$T$2,"Personal adicional","")))</f>
        <v/>
      </c>
      <c r="BA431" s="33" t="str" cm="1">
        <f t="array" ref="BA4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adicional]=$T$2))&gt;0)),ROW(A432)),"")</f>
        <v/>
      </c>
    </row>
    <row r="432" spans="15:53" x14ac:dyDescent="0.35">
      <c r="O432" s="1" t="str" cm="1">
        <f t="array" ref="O432">IF($BA432="","",INDEX(tblServicios[Fecha],$BA432))</f>
        <v/>
      </c>
      <c r="P432" t="str" cm="1">
        <f t="array" ref="P432">IF($BA432="","",INDEX(tblServicios[Contrato],$BA432))</f>
        <v/>
      </c>
      <c r="Q432" t="str" cm="1">
        <f t="array" ref="Q432">IF($BA432="","",INDEX(tblServicios[Vehículo],$BA432))</f>
        <v/>
      </c>
      <c r="R432" s="34" t="str" cm="1">
        <f t="array" ref="R432">IF($BA432="","",INDEX(tblServicios[Base imponible (€)],$BA432)-INDEX(tblServicios[Imp. suplemento (€)],$BA432))</f>
        <v/>
      </c>
      <c r="S432" s="34" t="str" cm="1">
        <f t="array" ref="S432">IF($BA432="","",INDEX(tblServicios[Imp. suplemento (€)],$BA432))</f>
        <v/>
      </c>
      <c r="T432" t="str" cm="1">
        <f t="array" ref="T432">IF($BA432="","",INDEX(tblServicios[Tipo suplemento],$BA432))</f>
        <v/>
      </c>
      <c r="U432" s="2" t="str">
        <f t="shared" si="8"/>
        <v/>
      </c>
      <c r="V432" t="str" cm="1">
        <f t="array" ref="V432">IF($BA432="","",IF(INDEX(tblServicios[Conductor],$BA432)=$T$2,"Conductor",IF(INDEX(tblServicios[Personal adicional],$BA432)=$T$2,"Personal adicional","")))</f>
        <v/>
      </c>
      <c r="BA432" s="33" t="str" cm="1">
        <f t="array" ref="BA4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adicional]=$T$2))&gt;0)),ROW(A433)),"")</f>
        <v/>
      </c>
    </row>
    <row r="433" spans="15:53" x14ac:dyDescent="0.35">
      <c r="O433" s="1" t="str" cm="1">
        <f t="array" ref="O433">IF($BA433="","",INDEX(tblServicios[Fecha],$BA433))</f>
        <v/>
      </c>
      <c r="P433" t="str" cm="1">
        <f t="array" ref="P433">IF($BA433="","",INDEX(tblServicios[Contrato],$BA433))</f>
        <v/>
      </c>
      <c r="Q433" t="str" cm="1">
        <f t="array" ref="Q433">IF($BA433="","",INDEX(tblServicios[Vehículo],$BA433))</f>
        <v/>
      </c>
      <c r="R433" s="34" t="str" cm="1">
        <f t="array" ref="R433">IF($BA433="","",INDEX(tblServicios[Base imponible (€)],$BA433)-INDEX(tblServicios[Imp. suplemento (€)],$BA433))</f>
        <v/>
      </c>
      <c r="S433" s="34" t="str" cm="1">
        <f t="array" ref="S433">IF($BA433="","",INDEX(tblServicios[Imp. suplemento (€)],$BA433))</f>
        <v/>
      </c>
      <c r="T433" t="str" cm="1">
        <f t="array" ref="T433">IF($BA433="","",INDEX(tblServicios[Tipo suplemento],$BA433))</f>
        <v/>
      </c>
      <c r="U433" s="2" t="str">
        <f t="shared" si="8"/>
        <v/>
      </c>
      <c r="V433" t="str" cm="1">
        <f t="array" ref="V433">IF($BA433="","",IF(INDEX(tblServicios[Conductor],$BA433)=$T$2,"Conductor",IF(INDEX(tblServicios[Personal adicional],$BA433)=$T$2,"Personal adicional","")))</f>
        <v/>
      </c>
      <c r="BA433" s="33" t="str" cm="1">
        <f t="array" ref="BA4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adicional]=$T$2))&gt;0)),ROW(A434)),"")</f>
        <v/>
      </c>
    </row>
    <row r="434" spans="15:53" x14ac:dyDescent="0.35">
      <c r="O434" s="1" t="str" cm="1">
        <f t="array" ref="O434">IF($BA434="","",INDEX(tblServicios[Fecha],$BA434))</f>
        <v/>
      </c>
      <c r="P434" t="str" cm="1">
        <f t="array" ref="P434">IF($BA434="","",INDEX(tblServicios[Contrato],$BA434))</f>
        <v/>
      </c>
      <c r="Q434" t="str" cm="1">
        <f t="array" ref="Q434">IF($BA434="","",INDEX(tblServicios[Vehículo],$BA434))</f>
        <v/>
      </c>
      <c r="R434" s="34" t="str" cm="1">
        <f t="array" ref="R434">IF($BA434="","",INDEX(tblServicios[Base imponible (€)],$BA434)-INDEX(tblServicios[Imp. suplemento (€)],$BA434))</f>
        <v/>
      </c>
      <c r="S434" s="34" t="str" cm="1">
        <f t="array" ref="S434">IF($BA434="","",INDEX(tblServicios[Imp. suplemento (€)],$BA434))</f>
        <v/>
      </c>
      <c r="T434" t="str" cm="1">
        <f t="array" ref="T434">IF($BA434="","",INDEX(tblServicios[Tipo suplemento],$BA434))</f>
        <v/>
      </c>
      <c r="U434" s="2" t="str">
        <f t="shared" si="8"/>
        <v/>
      </c>
      <c r="V434" t="str" cm="1">
        <f t="array" ref="V434">IF($BA434="","",IF(INDEX(tblServicios[Conductor],$BA434)=$T$2,"Conductor",IF(INDEX(tblServicios[Personal adicional],$BA434)=$T$2,"Personal adicional","")))</f>
        <v/>
      </c>
      <c r="BA434" s="33" t="str" cm="1">
        <f t="array" ref="BA4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adicional]=$T$2))&gt;0)),ROW(A435)),"")</f>
        <v/>
      </c>
    </row>
    <row r="435" spans="15:53" x14ac:dyDescent="0.35">
      <c r="O435" s="1" t="str" cm="1">
        <f t="array" ref="O435">IF($BA435="","",INDEX(tblServicios[Fecha],$BA435))</f>
        <v/>
      </c>
      <c r="P435" t="str" cm="1">
        <f t="array" ref="P435">IF($BA435="","",INDEX(tblServicios[Contrato],$BA435))</f>
        <v/>
      </c>
      <c r="Q435" t="str" cm="1">
        <f t="array" ref="Q435">IF($BA435="","",INDEX(tblServicios[Vehículo],$BA435))</f>
        <v/>
      </c>
      <c r="R435" s="34" t="str" cm="1">
        <f t="array" ref="R435">IF($BA435="","",INDEX(tblServicios[Base imponible (€)],$BA435)-INDEX(tblServicios[Imp. suplemento (€)],$BA435))</f>
        <v/>
      </c>
      <c r="S435" s="34" t="str" cm="1">
        <f t="array" ref="S435">IF($BA435="","",INDEX(tblServicios[Imp. suplemento (€)],$BA435))</f>
        <v/>
      </c>
      <c r="T435" t="str" cm="1">
        <f t="array" ref="T435">IF($BA435="","",INDEX(tblServicios[Tipo suplemento],$BA435))</f>
        <v/>
      </c>
      <c r="U435" s="2" t="str">
        <f t="shared" si="8"/>
        <v/>
      </c>
      <c r="V435" t="str" cm="1">
        <f t="array" ref="V435">IF($BA435="","",IF(INDEX(tblServicios[Conductor],$BA435)=$T$2,"Conductor",IF(INDEX(tblServicios[Personal adicional],$BA435)=$T$2,"Personal adicional","")))</f>
        <v/>
      </c>
      <c r="BA435" s="33" t="str" cm="1">
        <f t="array" ref="BA4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adicional]=$T$2))&gt;0)),ROW(A436)),"")</f>
        <v/>
      </c>
    </row>
    <row r="436" spans="15:53" x14ac:dyDescent="0.35">
      <c r="O436" s="1" t="str" cm="1">
        <f t="array" ref="O436">IF($BA436="","",INDEX(tblServicios[Fecha],$BA436))</f>
        <v/>
      </c>
      <c r="P436" t="str" cm="1">
        <f t="array" ref="P436">IF($BA436="","",INDEX(tblServicios[Contrato],$BA436))</f>
        <v/>
      </c>
      <c r="Q436" t="str" cm="1">
        <f t="array" ref="Q436">IF($BA436="","",INDEX(tblServicios[Vehículo],$BA436))</f>
        <v/>
      </c>
      <c r="R436" s="34" t="str" cm="1">
        <f t="array" ref="R436">IF($BA436="","",INDEX(tblServicios[Base imponible (€)],$BA436)-INDEX(tblServicios[Imp. suplemento (€)],$BA436))</f>
        <v/>
      </c>
      <c r="S436" s="34" t="str" cm="1">
        <f t="array" ref="S436">IF($BA436="","",INDEX(tblServicios[Imp. suplemento (€)],$BA436))</f>
        <v/>
      </c>
      <c r="T436" t="str" cm="1">
        <f t="array" ref="T436">IF($BA436="","",INDEX(tblServicios[Tipo suplemento],$BA436))</f>
        <v/>
      </c>
      <c r="U436" s="2" t="str">
        <f t="shared" si="8"/>
        <v/>
      </c>
      <c r="V436" t="str" cm="1">
        <f t="array" ref="V436">IF($BA436="","",IF(INDEX(tblServicios[Conductor],$BA436)=$T$2,"Conductor",IF(INDEX(tblServicios[Personal adicional],$BA436)=$T$2,"Personal adicional","")))</f>
        <v/>
      </c>
      <c r="BA436" s="33" t="str" cm="1">
        <f t="array" ref="BA4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adicional]=$T$2))&gt;0)),ROW(A437)),"")</f>
        <v/>
      </c>
    </row>
    <row r="437" spans="15:53" x14ac:dyDescent="0.35">
      <c r="O437" s="1" t="str" cm="1">
        <f t="array" ref="O437">IF($BA437="","",INDEX(tblServicios[Fecha],$BA437))</f>
        <v/>
      </c>
      <c r="P437" t="str" cm="1">
        <f t="array" ref="P437">IF($BA437="","",INDEX(tblServicios[Contrato],$BA437))</f>
        <v/>
      </c>
      <c r="Q437" t="str" cm="1">
        <f t="array" ref="Q437">IF($BA437="","",INDEX(tblServicios[Vehículo],$BA437))</f>
        <v/>
      </c>
      <c r="R437" s="34" t="str" cm="1">
        <f t="array" ref="R437">IF($BA437="","",INDEX(tblServicios[Base imponible (€)],$BA437)-INDEX(tblServicios[Imp. suplemento (€)],$BA437))</f>
        <v/>
      </c>
      <c r="S437" s="34" t="str" cm="1">
        <f t="array" ref="S437">IF($BA437="","",INDEX(tblServicios[Imp. suplemento (€)],$BA437))</f>
        <v/>
      </c>
      <c r="T437" t="str" cm="1">
        <f t="array" ref="T437">IF($BA437="","",INDEX(tblServicios[Tipo suplemento],$BA437))</f>
        <v/>
      </c>
      <c r="U437" s="2" t="str">
        <f t="shared" si="8"/>
        <v/>
      </c>
      <c r="V437" t="str" cm="1">
        <f t="array" ref="V437">IF($BA437="","",IF(INDEX(tblServicios[Conductor],$BA437)=$T$2,"Conductor",IF(INDEX(tblServicios[Personal adicional],$BA437)=$T$2,"Personal adicional","")))</f>
        <v/>
      </c>
      <c r="BA437" s="33" t="str" cm="1">
        <f t="array" ref="BA4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adicional]=$T$2))&gt;0)),ROW(A438)),"")</f>
        <v/>
      </c>
    </row>
    <row r="438" spans="15:53" x14ac:dyDescent="0.35">
      <c r="O438" s="1" t="str" cm="1">
        <f t="array" ref="O438">IF($BA438="","",INDEX(tblServicios[Fecha],$BA438))</f>
        <v/>
      </c>
      <c r="P438" t="str" cm="1">
        <f t="array" ref="P438">IF($BA438="","",INDEX(tblServicios[Contrato],$BA438))</f>
        <v/>
      </c>
      <c r="Q438" t="str" cm="1">
        <f t="array" ref="Q438">IF($BA438="","",INDEX(tblServicios[Vehículo],$BA438))</f>
        <v/>
      </c>
      <c r="R438" s="34" t="str" cm="1">
        <f t="array" ref="R438">IF($BA438="","",INDEX(tblServicios[Base imponible (€)],$BA438)-INDEX(tblServicios[Imp. suplemento (€)],$BA438))</f>
        <v/>
      </c>
      <c r="S438" s="34" t="str" cm="1">
        <f t="array" ref="S438">IF($BA438="","",INDEX(tblServicios[Imp. suplemento (€)],$BA438))</f>
        <v/>
      </c>
      <c r="T438" t="str" cm="1">
        <f t="array" ref="T438">IF($BA438="","",INDEX(tblServicios[Tipo suplemento],$BA438))</f>
        <v/>
      </c>
      <c r="U438" s="2" t="str">
        <f t="shared" si="8"/>
        <v/>
      </c>
      <c r="V438" t="str" cm="1">
        <f t="array" ref="V438">IF($BA438="","",IF(INDEX(tblServicios[Conductor],$BA438)=$T$2,"Conductor",IF(INDEX(tblServicios[Personal adicional],$BA438)=$T$2,"Personal adicional","")))</f>
        <v/>
      </c>
      <c r="BA438" s="33" t="str" cm="1">
        <f t="array" ref="BA4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adicional]=$T$2))&gt;0)),ROW(A439)),"")</f>
        <v/>
      </c>
    </row>
    <row r="439" spans="15:53" x14ac:dyDescent="0.35">
      <c r="O439" s="1" t="str" cm="1">
        <f t="array" ref="O439">IF($BA439="","",INDEX(tblServicios[Fecha],$BA439))</f>
        <v/>
      </c>
      <c r="P439" t="str" cm="1">
        <f t="array" ref="P439">IF($BA439="","",INDEX(tblServicios[Contrato],$BA439))</f>
        <v/>
      </c>
      <c r="Q439" t="str" cm="1">
        <f t="array" ref="Q439">IF($BA439="","",INDEX(tblServicios[Vehículo],$BA439))</f>
        <v/>
      </c>
      <c r="R439" s="34" t="str" cm="1">
        <f t="array" ref="R439">IF($BA439="","",INDEX(tblServicios[Base imponible (€)],$BA439)-INDEX(tblServicios[Imp. suplemento (€)],$BA439))</f>
        <v/>
      </c>
      <c r="S439" s="34" t="str" cm="1">
        <f t="array" ref="S439">IF($BA439="","",INDEX(tblServicios[Imp. suplemento (€)],$BA439))</f>
        <v/>
      </c>
      <c r="T439" t="str" cm="1">
        <f t="array" ref="T439">IF($BA439="","",INDEX(tblServicios[Tipo suplemento],$BA439))</f>
        <v/>
      </c>
      <c r="U439" s="2" t="str">
        <f t="shared" si="8"/>
        <v/>
      </c>
      <c r="V439" t="str" cm="1">
        <f t="array" ref="V439">IF($BA439="","",IF(INDEX(tblServicios[Conductor],$BA439)=$T$2,"Conductor",IF(INDEX(tblServicios[Personal adicional],$BA439)=$T$2,"Personal adicional","")))</f>
        <v/>
      </c>
      <c r="BA439" s="33" t="str" cm="1">
        <f t="array" ref="BA4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adicional]=$T$2))&gt;0)),ROW(A440)),"")</f>
        <v/>
      </c>
    </row>
    <row r="440" spans="15:53" x14ac:dyDescent="0.35">
      <c r="O440" s="1" t="str" cm="1">
        <f t="array" ref="O440">IF($BA440="","",INDEX(tblServicios[Fecha],$BA440))</f>
        <v/>
      </c>
      <c r="P440" t="str" cm="1">
        <f t="array" ref="P440">IF($BA440="","",INDEX(tblServicios[Contrato],$BA440))</f>
        <v/>
      </c>
      <c r="Q440" t="str" cm="1">
        <f t="array" ref="Q440">IF($BA440="","",INDEX(tblServicios[Vehículo],$BA440))</f>
        <v/>
      </c>
      <c r="R440" s="34" t="str" cm="1">
        <f t="array" ref="R440">IF($BA440="","",INDEX(tblServicios[Base imponible (€)],$BA440)-INDEX(tblServicios[Imp. suplemento (€)],$BA440))</f>
        <v/>
      </c>
      <c r="S440" s="34" t="str" cm="1">
        <f t="array" ref="S440">IF($BA440="","",INDEX(tblServicios[Imp. suplemento (€)],$BA440))</f>
        <v/>
      </c>
      <c r="T440" t="str" cm="1">
        <f t="array" ref="T440">IF($BA440="","",INDEX(tblServicios[Tipo suplemento],$BA440))</f>
        <v/>
      </c>
      <c r="U440" s="2" t="str">
        <f t="shared" si="8"/>
        <v/>
      </c>
      <c r="V440" t="str" cm="1">
        <f t="array" ref="V440">IF($BA440="","",IF(INDEX(tblServicios[Conductor],$BA440)=$T$2,"Conductor",IF(INDEX(tblServicios[Personal adicional],$BA440)=$T$2,"Personal adicional","")))</f>
        <v/>
      </c>
      <c r="BA440" s="33" t="str" cm="1">
        <f t="array" ref="BA4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adicional]=$T$2))&gt;0)),ROW(A441)),"")</f>
        <v/>
      </c>
    </row>
    <row r="441" spans="15:53" x14ac:dyDescent="0.35">
      <c r="O441" s="1" t="str" cm="1">
        <f t="array" ref="O441">IF($BA441="","",INDEX(tblServicios[Fecha],$BA441))</f>
        <v/>
      </c>
      <c r="P441" t="str" cm="1">
        <f t="array" ref="P441">IF($BA441="","",INDEX(tblServicios[Contrato],$BA441))</f>
        <v/>
      </c>
      <c r="Q441" t="str" cm="1">
        <f t="array" ref="Q441">IF($BA441="","",INDEX(tblServicios[Vehículo],$BA441))</f>
        <v/>
      </c>
      <c r="R441" s="34" t="str" cm="1">
        <f t="array" ref="R441">IF($BA441="","",INDEX(tblServicios[Base imponible (€)],$BA441)-INDEX(tblServicios[Imp. suplemento (€)],$BA441))</f>
        <v/>
      </c>
      <c r="S441" s="34" t="str" cm="1">
        <f t="array" ref="S441">IF($BA441="","",INDEX(tblServicios[Imp. suplemento (€)],$BA441))</f>
        <v/>
      </c>
      <c r="T441" t="str" cm="1">
        <f t="array" ref="T441">IF($BA441="","",INDEX(tblServicios[Tipo suplemento],$BA441))</f>
        <v/>
      </c>
      <c r="U441" s="2" t="str">
        <f t="shared" si="8"/>
        <v/>
      </c>
      <c r="V441" t="str" cm="1">
        <f t="array" ref="V441">IF($BA441="","",IF(INDEX(tblServicios[Conductor],$BA441)=$T$2,"Conductor",IF(INDEX(tblServicios[Personal adicional],$BA441)=$T$2,"Personal adicional","")))</f>
        <v/>
      </c>
      <c r="BA441" s="33" t="str" cm="1">
        <f t="array" ref="BA4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adicional]=$T$2))&gt;0)),ROW(A442)),"")</f>
        <v/>
      </c>
    </row>
    <row r="442" spans="15:53" x14ac:dyDescent="0.35">
      <c r="O442" s="1" t="str" cm="1">
        <f t="array" ref="O442">IF($BA442="","",INDEX(tblServicios[Fecha],$BA442))</f>
        <v/>
      </c>
      <c r="P442" t="str" cm="1">
        <f t="array" ref="P442">IF($BA442="","",INDEX(tblServicios[Contrato],$BA442))</f>
        <v/>
      </c>
      <c r="Q442" t="str" cm="1">
        <f t="array" ref="Q442">IF($BA442="","",INDEX(tblServicios[Vehículo],$BA442))</f>
        <v/>
      </c>
      <c r="R442" s="34" t="str" cm="1">
        <f t="array" ref="R442">IF($BA442="","",INDEX(tblServicios[Base imponible (€)],$BA442)-INDEX(tblServicios[Imp. suplemento (€)],$BA442))</f>
        <v/>
      </c>
      <c r="S442" s="34" t="str" cm="1">
        <f t="array" ref="S442">IF($BA442="","",INDEX(tblServicios[Imp. suplemento (€)],$BA442))</f>
        <v/>
      </c>
      <c r="T442" t="str" cm="1">
        <f t="array" ref="T442">IF($BA442="","",INDEX(tblServicios[Tipo suplemento],$BA442))</f>
        <v/>
      </c>
      <c r="U442" s="2" t="str">
        <f t="shared" si="8"/>
        <v/>
      </c>
      <c r="V442" t="str" cm="1">
        <f t="array" ref="V442">IF($BA442="","",IF(INDEX(tblServicios[Conductor],$BA442)=$T$2,"Conductor",IF(INDEX(tblServicios[Personal adicional],$BA442)=$T$2,"Personal adicional","")))</f>
        <v/>
      </c>
      <c r="BA442" s="33" t="str" cm="1">
        <f t="array" ref="BA4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adicional]=$T$2))&gt;0)),ROW(A443)),"")</f>
        <v/>
      </c>
    </row>
    <row r="443" spans="15:53" x14ac:dyDescent="0.35">
      <c r="O443" s="1" t="str" cm="1">
        <f t="array" ref="O443">IF($BA443="","",INDEX(tblServicios[Fecha],$BA443))</f>
        <v/>
      </c>
      <c r="P443" t="str" cm="1">
        <f t="array" ref="P443">IF($BA443="","",INDEX(tblServicios[Contrato],$BA443))</f>
        <v/>
      </c>
      <c r="Q443" t="str" cm="1">
        <f t="array" ref="Q443">IF($BA443="","",INDEX(tblServicios[Vehículo],$BA443))</f>
        <v/>
      </c>
      <c r="R443" s="34" t="str" cm="1">
        <f t="array" ref="R443">IF($BA443="","",INDEX(tblServicios[Base imponible (€)],$BA443)-INDEX(tblServicios[Imp. suplemento (€)],$BA443))</f>
        <v/>
      </c>
      <c r="S443" s="34" t="str" cm="1">
        <f t="array" ref="S443">IF($BA443="","",INDEX(tblServicios[Imp. suplemento (€)],$BA443))</f>
        <v/>
      </c>
      <c r="T443" t="str" cm="1">
        <f t="array" ref="T443">IF($BA443="","",INDEX(tblServicios[Tipo suplemento],$BA443))</f>
        <v/>
      </c>
      <c r="U443" s="2" t="str">
        <f t="shared" si="8"/>
        <v/>
      </c>
      <c r="V443" t="str" cm="1">
        <f t="array" ref="V443">IF($BA443="","",IF(INDEX(tblServicios[Conductor],$BA443)=$T$2,"Conductor",IF(INDEX(tblServicios[Personal adicional],$BA443)=$T$2,"Personal adicional","")))</f>
        <v/>
      </c>
      <c r="BA443" s="33" t="str" cm="1">
        <f t="array" ref="BA4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adicional]=$T$2))&gt;0)),ROW(A444)),"")</f>
        <v/>
      </c>
    </row>
    <row r="444" spans="15:53" x14ac:dyDescent="0.35">
      <c r="O444" s="1" t="str" cm="1">
        <f t="array" ref="O444">IF($BA444="","",INDEX(tblServicios[Fecha],$BA444))</f>
        <v/>
      </c>
      <c r="P444" t="str" cm="1">
        <f t="array" ref="P444">IF($BA444="","",INDEX(tblServicios[Contrato],$BA444))</f>
        <v/>
      </c>
      <c r="Q444" t="str" cm="1">
        <f t="array" ref="Q444">IF($BA444="","",INDEX(tblServicios[Vehículo],$BA444))</f>
        <v/>
      </c>
      <c r="R444" s="34" t="str" cm="1">
        <f t="array" ref="R444">IF($BA444="","",INDEX(tblServicios[Base imponible (€)],$BA444)-INDEX(tblServicios[Imp. suplemento (€)],$BA444))</f>
        <v/>
      </c>
      <c r="S444" s="34" t="str" cm="1">
        <f t="array" ref="S444">IF($BA444="","",INDEX(tblServicios[Imp. suplemento (€)],$BA444))</f>
        <v/>
      </c>
      <c r="T444" t="str" cm="1">
        <f t="array" ref="T444">IF($BA444="","",INDEX(tblServicios[Tipo suplemento],$BA444))</f>
        <v/>
      </c>
      <c r="U444" s="2" t="str">
        <f t="shared" si="8"/>
        <v/>
      </c>
      <c r="V444" t="str" cm="1">
        <f t="array" ref="V444">IF($BA444="","",IF(INDEX(tblServicios[Conductor],$BA444)=$T$2,"Conductor",IF(INDEX(tblServicios[Personal adicional],$BA444)=$T$2,"Personal adicional","")))</f>
        <v/>
      </c>
      <c r="BA444" s="33" t="str" cm="1">
        <f t="array" ref="BA4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adicional]=$T$2))&gt;0)),ROW(A445)),"")</f>
        <v/>
      </c>
    </row>
    <row r="445" spans="15:53" x14ac:dyDescent="0.35">
      <c r="O445" s="1" t="str" cm="1">
        <f t="array" ref="O445">IF($BA445="","",INDEX(tblServicios[Fecha],$BA445))</f>
        <v/>
      </c>
      <c r="P445" t="str" cm="1">
        <f t="array" ref="P445">IF($BA445="","",INDEX(tblServicios[Contrato],$BA445))</f>
        <v/>
      </c>
      <c r="Q445" t="str" cm="1">
        <f t="array" ref="Q445">IF($BA445="","",INDEX(tblServicios[Vehículo],$BA445))</f>
        <v/>
      </c>
      <c r="R445" s="34" t="str" cm="1">
        <f t="array" ref="R445">IF($BA445="","",INDEX(tblServicios[Base imponible (€)],$BA445)-INDEX(tblServicios[Imp. suplemento (€)],$BA445))</f>
        <v/>
      </c>
      <c r="S445" s="34" t="str" cm="1">
        <f t="array" ref="S445">IF($BA445="","",INDEX(tblServicios[Imp. suplemento (€)],$BA445))</f>
        <v/>
      </c>
      <c r="T445" t="str" cm="1">
        <f t="array" ref="T445">IF($BA445="","",INDEX(tblServicios[Tipo suplemento],$BA445))</f>
        <v/>
      </c>
      <c r="U445" s="2" t="str">
        <f t="shared" si="8"/>
        <v/>
      </c>
      <c r="V445" t="str" cm="1">
        <f t="array" ref="V445">IF($BA445="","",IF(INDEX(tblServicios[Conductor],$BA445)=$T$2,"Conductor",IF(INDEX(tblServicios[Personal adicional],$BA445)=$T$2,"Personal adicional","")))</f>
        <v/>
      </c>
      <c r="BA445" s="33" t="str" cm="1">
        <f t="array" ref="BA4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adicional]=$T$2))&gt;0)),ROW(A446)),"")</f>
        <v/>
      </c>
    </row>
    <row r="446" spans="15:53" x14ac:dyDescent="0.35">
      <c r="O446" s="1" t="str" cm="1">
        <f t="array" ref="O446">IF($BA446="","",INDEX(tblServicios[Fecha],$BA446))</f>
        <v/>
      </c>
      <c r="P446" t="str" cm="1">
        <f t="array" ref="P446">IF($BA446="","",INDEX(tblServicios[Contrato],$BA446))</f>
        <v/>
      </c>
      <c r="Q446" t="str" cm="1">
        <f t="array" ref="Q446">IF($BA446="","",INDEX(tblServicios[Vehículo],$BA446))</f>
        <v/>
      </c>
      <c r="R446" s="34" t="str" cm="1">
        <f t="array" ref="R446">IF($BA446="","",INDEX(tblServicios[Base imponible (€)],$BA446)-INDEX(tblServicios[Imp. suplemento (€)],$BA446))</f>
        <v/>
      </c>
      <c r="S446" s="34" t="str" cm="1">
        <f t="array" ref="S446">IF($BA446="","",INDEX(tblServicios[Imp. suplemento (€)],$BA446))</f>
        <v/>
      </c>
      <c r="T446" t="str" cm="1">
        <f t="array" ref="T446">IF($BA446="","",INDEX(tblServicios[Tipo suplemento],$BA446))</f>
        <v/>
      </c>
      <c r="U446" s="2" t="str">
        <f t="shared" si="8"/>
        <v/>
      </c>
      <c r="V446" t="str" cm="1">
        <f t="array" ref="V446">IF($BA446="","",IF(INDEX(tblServicios[Conductor],$BA446)=$T$2,"Conductor",IF(INDEX(tblServicios[Personal adicional],$BA446)=$T$2,"Personal adicional","")))</f>
        <v/>
      </c>
      <c r="BA446" s="33" t="str" cm="1">
        <f t="array" ref="BA4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adicional]=$T$2))&gt;0)),ROW(A447)),"")</f>
        <v/>
      </c>
    </row>
    <row r="447" spans="15:53" x14ac:dyDescent="0.35">
      <c r="O447" s="1" t="str" cm="1">
        <f t="array" ref="O447">IF($BA447="","",INDEX(tblServicios[Fecha],$BA447))</f>
        <v/>
      </c>
      <c r="P447" t="str" cm="1">
        <f t="array" ref="P447">IF($BA447="","",INDEX(tblServicios[Contrato],$BA447))</f>
        <v/>
      </c>
      <c r="Q447" t="str" cm="1">
        <f t="array" ref="Q447">IF($BA447="","",INDEX(tblServicios[Vehículo],$BA447))</f>
        <v/>
      </c>
      <c r="R447" s="34" t="str" cm="1">
        <f t="array" ref="R447">IF($BA447="","",INDEX(tblServicios[Base imponible (€)],$BA447)-INDEX(tblServicios[Imp. suplemento (€)],$BA447))</f>
        <v/>
      </c>
      <c r="S447" s="34" t="str" cm="1">
        <f t="array" ref="S447">IF($BA447="","",INDEX(tblServicios[Imp. suplemento (€)],$BA447))</f>
        <v/>
      </c>
      <c r="T447" t="str" cm="1">
        <f t="array" ref="T447">IF($BA447="","",INDEX(tblServicios[Tipo suplemento],$BA447))</f>
        <v/>
      </c>
      <c r="U447" s="2" t="str">
        <f t="shared" si="8"/>
        <v/>
      </c>
      <c r="V447" t="str" cm="1">
        <f t="array" ref="V447">IF($BA447="","",IF(INDEX(tblServicios[Conductor],$BA447)=$T$2,"Conductor",IF(INDEX(tblServicios[Personal adicional],$BA447)=$T$2,"Personal adicional","")))</f>
        <v/>
      </c>
      <c r="BA447" s="33" t="str" cm="1">
        <f t="array" ref="BA4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adicional]=$T$2))&gt;0)),ROW(A448)),"")</f>
        <v/>
      </c>
    </row>
    <row r="448" spans="15:53" x14ac:dyDescent="0.35">
      <c r="O448" s="1" t="str" cm="1">
        <f t="array" ref="O448">IF($BA448="","",INDEX(tblServicios[Fecha],$BA448))</f>
        <v/>
      </c>
      <c r="P448" t="str" cm="1">
        <f t="array" ref="P448">IF($BA448="","",INDEX(tblServicios[Contrato],$BA448))</f>
        <v/>
      </c>
      <c r="Q448" t="str" cm="1">
        <f t="array" ref="Q448">IF($BA448="","",INDEX(tblServicios[Vehículo],$BA448))</f>
        <v/>
      </c>
      <c r="R448" s="34" t="str" cm="1">
        <f t="array" ref="R448">IF($BA448="","",INDEX(tblServicios[Base imponible (€)],$BA448)-INDEX(tblServicios[Imp. suplemento (€)],$BA448))</f>
        <v/>
      </c>
      <c r="S448" s="34" t="str" cm="1">
        <f t="array" ref="S448">IF($BA448="","",INDEX(tblServicios[Imp. suplemento (€)],$BA448))</f>
        <v/>
      </c>
      <c r="T448" t="str" cm="1">
        <f t="array" ref="T448">IF($BA448="","",INDEX(tblServicios[Tipo suplemento],$BA448))</f>
        <v/>
      </c>
      <c r="U448" s="2" t="str">
        <f t="shared" si="8"/>
        <v/>
      </c>
      <c r="V448" t="str" cm="1">
        <f t="array" ref="V448">IF($BA448="","",IF(INDEX(tblServicios[Conductor],$BA448)=$T$2,"Conductor",IF(INDEX(tblServicios[Personal adicional],$BA448)=$T$2,"Personal adicional","")))</f>
        <v/>
      </c>
      <c r="BA448" s="33" t="str" cm="1">
        <f t="array" ref="BA4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adicional]=$T$2))&gt;0)),ROW(A449)),"")</f>
        <v/>
      </c>
    </row>
    <row r="449" spans="15:53" x14ac:dyDescent="0.35">
      <c r="O449" s="1" t="str" cm="1">
        <f t="array" ref="O449">IF($BA449="","",INDEX(tblServicios[Fecha],$BA449))</f>
        <v/>
      </c>
      <c r="P449" t="str" cm="1">
        <f t="array" ref="P449">IF($BA449="","",INDEX(tblServicios[Contrato],$BA449))</f>
        <v/>
      </c>
      <c r="Q449" t="str" cm="1">
        <f t="array" ref="Q449">IF($BA449="","",INDEX(tblServicios[Vehículo],$BA449))</f>
        <v/>
      </c>
      <c r="R449" s="34" t="str" cm="1">
        <f t="array" ref="R449">IF($BA449="","",INDEX(tblServicios[Base imponible (€)],$BA449)-INDEX(tblServicios[Imp. suplemento (€)],$BA449))</f>
        <v/>
      </c>
      <c r="S449" s="34" t="str" cm="1">
        <f t="array" ref="S449">IF($BA449="","",INDEX(tblServicios[Imp. suplemento (€)],$BA449))</f>
        <v/>
      </c>
      <c r="T449" t="str" cm="1">
        <f t="array" ref="T449">IF($BA449="","",INDEX(tblServicios[Tipo suplemento],$BA449))</f>
        <v/>
      </c>
      <c r="U449" s="2" t="str">
        <f t="shared" si="8"/>
        <v/>
      </c>
      <c r="V449" t="str" cm="1">
        <f t="array" ref="V449">IF($BA449="","",IF(INDEX(tblServicios[Conductor],$BA449)=$T$2,"Conductor",IF(INDEX(tblServicios[Personal adicional],$BA449)=$T$2,"Personal adicional","")))</f>
        <v/>
      </c>
      <c r="BA449" s="33" t="str" cm="1">
        <f t="array" ref="BA4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adicional]=$T$2))&gt;0)),ROW(A450)),"")</f>
        <v/>
      </c>
    </row>
    <row r="450" spans="15:53" x14ac:dyDescent="0.35">
      <c r="O450" s="1" t="str" cm="1">
        <f t="array" ref="O450">IF($BA450="","",INDEX(tblServicios[Fecha],$BA450))</f>
        <v/>
      </c>
      <c r="P450" t="str" cm="1">
        <f t="array" ref="P450">IF($BA450="","",INDEX(tblServicios[Contrato],$BA450))</f>
        <v/>
      </c>
      <c r="Q450" t="str" cm="1">
        <f t="array" ref="Q450">IF($BA450="","",INDEX(tblServicios[Vehículo],$BA450))</f>
        <v/>
      </c>
      <c r="R450" s="34" t="str" cm="1">
        <f t="array" ref="R450">IF($BA450="","",INDEX(tblServicios[Base imponible (€)],$BA450)-INDEX(tblServicios[Imp. suplemento (€)],$BA450))</f>
        <v/>
      </c>
      <c r="S450" s="34" t="str" cm="1">
        <f t="array" ref="S450">IF($BA450="","",INDEX(tblServicios[Imp. suplemento (€)],$BA450))</f>
        <v/>
      </c>
      <c r="T450" t="str" cm="1">
        <f t="array" ref="T450">IF($BA450="","",INDEX(tblServicios[Tipo suplemento],$BA450))</f>
        <v/>
      </c>
      <c r="U450" s="2" t="str">
        <f t="shared" si="8"/>
        <v/>
      </c>
      <c r="V450" t="str" cm="1">
        <f t="array" ref="V450">IF($BA450="","",IF(INDEX(tblServicios[Conductor],$BA450)=$T$2,"Conductor",IF(INDEX(tblServicios[Personal adicional],$BA450)=$T$2,"Personal adicional","")))</f>
        <v/>
      </c>
      <c r="BA450" s="33" t="str" cm="1">
        <f t="array" ref="BA4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adicional]=$T$2))&gt;0)),ROW(A451)),"")</f>
        <v/>
      </c>
    </row>
    <row r="451" spans="15:53" x14ac:dyDescent="0.35">
      <c r="O451" s="1" t="str" cm="1">
        <f t="array" ref="O451">IF($BA451="","",INDEX(tblServicios[Fecha],$BA451))</f>
        <v/>
      </c>
      <c r="P451" t="str" cm="1">
        <f t="array" ref="P451">IF($BA451="","",INDEX(tblServicios[Contrato],$BA451))</f>
        <v/>
      </c>
      <c r="Q451" t="str" cm="1">
        <f t="array" ref="Q451">IF($BA451="","",INDEX(tblServicios[Vehículo],$BA451))</f>
        <v/>
      </c>
      <c r="R451" s="34" t="str" cm="1">
        <f t="array" ref="R451">IF($BA451="","",INDEX(tblServicios[Base imponible (€)],$BA451)-INDEX(tblServicios[Imp. suplemento (€)],$BA451))</f>
        <v/>
      </c>
      <c r="S451" s="34" t="str" cm="1">
        <f t="array" ref="S451">IF($BA451="","",INDEX(tblServicios[Imp. suplemento (€)],$BA451))</f>
        <v/>
      </c>
      <c r="T451" t="str" cm="1">
        <f t="array" ref="T451">IF($BA451="","",INDEX(tblServicios[Tipo suplemento],$BA451))</f>
        <v/>
      </c>
      <c r="U451" s="2" t="str">
        <f t="shared" si="8"/>
        <v/>
      </c>
      <c r="V451" t="str" cm="1">
        <f t="array" ref="V451">IF($BA451="","",IF(INDEX(tblServicios[Conductor],$BA451)=$T$2,"Conductor",IF(INDEX(tblServicios[Personal adicional],$BA451)=$T$2,"Personal adicional","")))</f>
        <v/>
      </c>
      <c r="BA451" s="33" t="str" cm="1">
        <f t="array" ref="BA4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adicional]=$T$2))&gt;0)),ROW(A452)),"")</f>
        <v/>
      </c>
    </row>
    <row r="452" spans="15:53" x14ac:dyDescent="0.35">
      <c r="O452" s="1" t="str" cm="1">
        <f t="array" ref="O452">IF($BA452="","",INDEX(tblServicios[Fecha],$BA452))</f>
        <v/>
      </c>
      <c r="P452" t="str" cm="1">
        <f t="array" ref="P452">IF($BA452="","",INDEX(tblServicios[Contrato],$BA452))</f>
        <v/>
      </c>
      <c r="Q452" t="str" cm="1">
        <f t="array" ref="Q452">IF($BA452="","",INDEX(tblServicios[Vehículo],$BA452))</f>
        <v/>
      </c>
      <c r="R452" s="34" t="str" cm="1">
        <f t="array" ref="R452">IF($BA452="","",INDEX(tblServicios[Base imponible (€)],$BA452)-INDEX(tblServicios[Imp. suplemento (€)],$BA452))</f>
        <v/>
      </c>
      <c r="S452" s="34" t="str" cm="1">
        <f t="array" ref="S452">IF($BA452="","",INDEX(tblServicios[Imp. suplemento (€)],$BA452))</f>
        <v/>
      </c>
      <c r="T452" t="str" cm="1">
        <f t="array" ref="T452">IF($BA452="","",INDEX(tblServicios[Tipo suplemento],$BA452))</f>
        <v/>
      </c>
      <c r="U452" s="2" t="str">
        <f t="shared" si="8"/>
        <v/>
      </c>
      <c r="V452" t="str" cm="1">
        <f t="array" ref="V452">IF($BA452="","",IF(INDEX(tblServicios[Conductor],$BA452)=$T$2,"Conductor",IF(INDEX(tblServicios[Personal adicional],$BA452)=$T$2,"Personal adicional","")))</f>
        <v/>
      </c>
      <c r="BA452" s="33" t="str" cm="1">
        <f t="array" ref="BA4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adicional]=$T$2))&gt;0)),ROW(A453)),"")</f>
        <v/>
      </c>
    </row>
    <row r="453" spans="15:53" x14ac:dyDescent="0.35">
      <c r="O453" s="1" t="str" cm="1">
        <f t="array" ref="O453">IF($BA453="","",INDEX(tblServicios[Fecha],$BA453))</f>
        <v/>
      </c>
      <c r="P453" t="str" cm="1">
        <f t="array" ref="P453">IF($BA453="","",INDEX(tblServicios[Contrato],$BA453))</f>
        <v/>
      </c>
      <c r="Q453" t="str" cm="1">
        <f t="array" ref="Q453">IF($BA453="","",INDEX(tblServicios[Vehículo],$BA453))</f>
        <v/>
      </c>
      <c r="R453" s="34" t="str" cm="1">
        <f t="array" ref="R453">IF($BA453="","",INDEX(tblServicios[Base imponible (€)],$BA453)-INDEX(tblServicios[Imp. suplemento (€)],$BA453))</f>
        <v/>
      </c>
      <c r="S453" s="34" t="str" cm="1">
        <f t="array" ref="S453">IF($BA453="","",INDEX(tblServicios[Imp. suplemento (€)],$BA453))</f>
        <v/>
      </c>
      <c r="T453" t="str" cm="1">
        <f t="array" ref="T453">IF($BA453="","",INDEX(tblServicios[Tipo suplemento],$BA453))</f>
        <v/>
      </c>
      <c r="U453" s="2" t="str">
        <f t="shared" si="8"/>
        <v/>
      </c>
      <c r="V453" t="str" cm="1">
        <f t="array" ref="V453">IF($BA453="","",IF(INDEX(tblServicios[Conductor],$BA453)=$T$2,"Conductor",IF(INDEX(tblServicios[Personal adicional],$BA453)=$T$2,"Personal adicional","")))</f>
        <v/>
      </c>
      <c r="BA453" s="33" t="str" cm="1">
        <f t="array" ref="BA4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adicional]=$T$2))&gt;0)),ROW(A454)),"")</f>
        <v/>
      </c>
    </row>
    <row r="454" spans="15:53" x14ac:dyDescent="0.35">
      <c r="O454" s="1" t="str" cm="1">
        <f t="array" ref="O454">IF($BA454="","",INDEX(tblServicios[Fecha],$BA454))</f>
        <v/>
      </c>
      <c r="P454" t="str" cm="1">
        <f t="array" ref="P454">IF($BA454="","",INDEX(tblServicios[Contrato],$BA454))</f>
        <v/>
      </c>
      <c r="Q454" t="str" cm="1">
        <f t="array" ref="Q454">IF($BA454="","",INDEX(tblServicios[Vehículo],$BA454))</f>
        <v/>
      </c>
      <c r="R454" s="34" t="str" cm="1">
        <f t="array" ref="R454">IF($BA454="","",INDEX(tblServicios[Base imponible (€)],$BA454)-INDEX(tblServicios[Imp. suplemento (€)],$BA454))</f>
        <v/>
      </c>
      <c r="S454" s="34" t="str" cm="1">
        <f t="array" ref="S454">IF($BA454="","",INDEX(tblServicios[Imp. suplemento (€)],$BA454))</f>
        <v/>
      </c>
      <c r="T454" t="str" cm="1">
        <f t="array" ref="T454">IF($BA454="","",INDEX(tblServicios[Tipo suplemento],$BA454))</f>
        <v/>
      </c>
      <c r="U454" s="2" t="str">
        <f t="shared" si="8"/>
        <v/>
      </c>
      <c r="V454" t="str" cm="1">
        <f t="array" ref="V454">IF($BA454="","",IF(INDEX(tblServicios[Conductor],$BA454)=$T$2,"Conductor",IF(INDEX(tblServicios[Personal adicional],$BA454)=$T$2,"Personal adicional","")))</f>
        <v/>
      </c>
      <c r="BA454" s="33" t="str" cm="1">
        <f t="array" ref="BA4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adicional]=$T$2))&gt;0)),ROW(A455)),"")</f>
        <v/>
      </c>
    </row>
    <row r="455" spans="15:53" x14ac:dyDescent="0.35">
      <c r="O455" s="1" t="str" cm="1">
        <f t="array" ref="O455">IF($BA455="","",INDEX(tblServicios[Fecha],$BA455))</f>
        <v/>
      </c>
      <c r="P455" t="str" cm="1">
        <f t="array" ref="P455">IF($BA455="","",INDEX(tblServicios[Contrato],$BA455))</f>
        <v/>
      </c>
      <c r="Q455" t="str" cm="1">
        <f t="array" ref="Q455">IF($BA455="","",INDEX(tblServicios[Vehículo],$BA455))</f>
        <v/>
      </c>
      <c r="R455" s="34" t="str" cm="1">
        <f t="array" ref="R455">IF($BA455="","",INDEX(tblServicios[Base imponible (€)],$BA455)-INDEX(tblServicios[Imp. suplemento (€)],$BA455))</f>
        <v/>
      </c>
      <c r="S455" s="34" t="str" cm="1">
        <f t="array" ref="S455">IF($BA455="","",INDEX(tblServicios[Imp. suplemento (€)],$BA455))</f>
        <v/>
      </c>
      <c r="T455" t="str" cm="1">
        <f t="array" ref="T455">IF($BA455="","",INDEX(tblServicios[Tipo suplemento],$BA455))</f>
        <v/>
      </c>
      <c r="U455" s="2" t="str">
        <f t="shared" ref="U455:U518" si="9">IF($BA455="","",R455+S455)</f>
        <v/>
      </c>
      <c r="V455" t="str" cm="1">
        <f t="array" ref="V455">IF($BA455="","",IF(INDEX(tblServicios[Conductor],$BA455)=$T$2,"Conductor",IF(INDEX(tblServicios[Personal adicional],$BA455)=$T$2,"Personal adicional","")))</f>
        <v/>
      </c>
      <c r="BA455" s="33" t="str" cm="1">
        <f t="array" ref="BA4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adicional]=$T$2))&gt;0)),ROW(A456)),"")</f>
        <v/>
      </c>
    </row>
    <row r="456" spans="15:53" x14ac:dyDescent="0.35">
      <c r="O456" s="1" t="str" cm="1">
        <f t="array" ref="O456">IF($BA456="","",INDEX(tblServicios[Fecha],$BA456))</f>
        <v/>
      </c>
      <c r="P456" t="str" cm="1">
        <f t="array" ref="P456">IF($BA456="","",INDEX(tblServicios[Contrato],$BA456))</f>
        <v/>
      </c>
      <c r="Q456" t="str" cm="1">
        <f t="array" ref="Q456">IF($BA456="","",INDEX(tblServicios[Vehículo],$BA456))</f>
        <v/>
      </c>
      <c r="R456" s="34" t="str" cm="1">
        <f t="array" ref="R456">IF($BA456="","",INDEX(tblServicios[Base imponible (€)],$BA456)-INDEX(tblServicios[Imp. suplemento (€)],$BA456))</f>
        <v/>
      </c>
      <c r="S456" s="34" t="str" cm="1">
        <f t="array" ref="S456">IF($BA456="","",INDEX(tblServicios[Imp. suplemento (€)],$BA456))</f>
        <v/>
      </c>
      <c r="T456" t="str" cm="1">
        <f t="array" ref="T456">IF($BA456="","",INDEX(tblServicios[Tipo suplemento],$BA456))</f>
        <v/>
      </c>
      <c r="U456" s="2" t="str">
        <f t="shared" si="9"/>
        <v/>
      </c>
      <c r="V456" t="str" cm="1">
        <f t="array" ref="V456">IF($BA456="","",IF(INDEX(tblServicios[Conductor],$BA456)=$T$2,"Conductor",IF(INDEX(tblServicios[Personal adicional],$BA456)=$T$2,"Personal adicional","")))</f>
        <v/>
      </c>
      <c r="BA456" s="33" t="str" cm="1">
        <f t="array" ref="BA4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adicional]=$T$2))&gt;0)),ROW(A457)),"")</f>
        <v/>
      </c>
    </row>
    <row r="457" spans="15:53" x14ac:dyDescent="0.35">
      <c r="O457" s="1" t="str" cm="1">
        <f t="array" ref="O457">IF($BA457="","",INDEX(tblServicios[Fecha],$BA457))</f>
        <v/>
      </c>
      <c r="P457" t="str" cm="1">
        <f t="array" ref="P457">IF($BA457="","",INDEX(tblServicios[Contrato],$BA457))</f>
        <v/>
      </c>
      <c r="Q457" t="str" cm="1">
        <f t="array" ref="Q457">IF($BA457="","",INDEX(tblServicios[Vehículo],$BA457))</f>
        <v/>
      </c>
      <c r="R457" s="34" t="str" cm="1">
        <f t="array" ref="R457">IF($BA457="","",INDEX(tblServicios[Base imponible (€)],$BA457)-INDEX(tblServicios[Imp. suplemento (€)],$BA457))</f>
        <v/>
      </c>
      <c r="S457" s="34" t="str" cm="1">
        <f t="array" ref="S457">IF($BA457="","",INDEX(tblServicios[Imp. suplemento (€)],$BA457))</f>
        <v/>
      </c>
      <c r="T457" t="str" cm="1">
        <f t="array" ref="T457">IF($BA457="","",INDEX(tblServicios[Tipo suplemento],$BA457))</f>
        <v/>
      </c>
      <c r="U457" s="2" t="str">
        <f t="shared" si="9"/>
        <v/>
      </c>
      <c r="V457" t="str" cm="1">
        <f t="array" ref="V457">IF($BA457="","",IF(INDEX(tblServicios[Conductor],$BA457)=$T$2,"Conductor",IF(INDEX(tblServicios[Personal adicional],$BA457)=$T$2,"Personal adicional","")))</f>
        <v/>
      </c>
      <c r="BA457" s="33" t="str" cm="1">
        <f t="array" ref="BA4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adicional]=$T$2))&gt;0)),ROW(A458)),"")</f>
        <v/>
      </c>
    </row>
    <row r="458" spans="15:53" x14ac:dyDescent="0.35">
      <c r="O458" s="1" t="str" cm="1">
        <f t="array" ref="O458">IF($BA458="","",INDEX(tblServicios[Fecha],$BA458))</f>
        <v/>
      </c>
      <c r="P458" t="str" cm="1">
        <f t="array" ref="P458">IF($BA458="","",INDEX(tblServicios[Contrato],$BA458))</f>
        <v/>
      </c>
      <c r="Q458" t="str" cm="1">
        <f t="array" ref="Q458">IF($BA458="","",INDEX(tblServicios[Vehículo],$BA458))</f>
        <v/>
      </c>
      <c r="R458" s="34" t="str" cm="1">
        <f t="array" ref="R458">IF($BA458="","",INDEX(tblServicios[Base imponible (€)],$BA458)-INDEX(tblServicios[Imp. suplemento (€)],$BA458))</f>
        <v/>
      </c>
      <c r="S458" s="34" t="str" cm="1">
        <f t="array" ref="S458">IF($BA458="","",INDEX(tblServicios[Imp. suplemento (€)],$BA458))</f>
        <v/>
      </c>
      <c r="T458" t="str" cm="1">
        <f t="array" ref="T458">IF($BA458="","",INDEX(tblServicios[Tipo suplemento],$BA458))</f>
        <v/>
      </c>
      <c r="U458" s="2" t="str">
        <f t="shared" si="9"/>
        <v/>
      </c>
      <c r="V458" t="str" cm="1">
        <f t="array" ref="V458">IF($BA458="","",IF(INDEX(tblServicios[Conductor],$BA458)=$T$2,"Conductor",IF(INDEX(tblServicios[Personal adicional],$BA458)=$T$2,"Personal adicional","")))</f>
        <v/>
      </c>
      <c r="BA458" s="33" t="str" cm="1">
        <f t="array" ref="BA4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adicional]=$T$2))&gt;0)),ROW(A459)),"")</f>
        <v/>
      </c>
    </row>
    <row r="459" spans="15:53" x14ac:dyDescent="0.35">
      <c r="O459" s="1" t="str" cm="1">
        <f t="array" ref="O459">IF($BA459="","",INDEX(tblServicios[Fecha],$BA459))</f>
        <v/>
      </c>
      <c r="P459" t="str" cm="1">
        <f t="array" ref="P459">IF($BA459="","",INDEX(tblServicios[Contrato],$BA459))</f>
        <v/>
      </c>
      <c r="Q459" t="str" cm="1">
        <f t="array" ref="Q459">IF($BA459="","",INDEX(tblServicios[Vehículo],$BA459))</f>
        <v/>
      </c>
      <c r="R459" s="34" t="str" cm="1">
        <f t="array" ref="R459">IF($BA459="","",INDEX(tblServicios[Base imponible (€)],$BA459)-INDEX(tblServicios[Imp. suplemento (€)],$BA459))</f>
        <v/>
      </c>
      <c r="S459" s="34" t="str" cm="1">
        <f t="array" ref="S459">IF($BA459="","",INDEX(tblServicios[Imp. suplemento (€)],$BA459))</f>
        <v/>
      </c>
      <c r="T459" t="str" cm="1">
        <f t="array" ref="T459">IF($BA459="","",INDEX(tblServicios[Tipo suplemento],$BA459))</f>
        <v/>
      </c>
      <c r="U459" s="2" t="str">
        <f t="shared" si="9"/>
        <v/>
      </c>
      <c r="V459" t="str" cm="1">
        <f t="array" ref="V459">IF($BA459="","",IF(INDEX(tblServicios[Conductor],$BA459)=$T$2,"Conductor",IF(INDEX(tblServicios[Personal adicional],$BA459)=$T$2,"Personal adicional","")))</f>
        <v/>
      </c>
      <c r="BA459" s="33" t="str" cm="1">
        <f t="array" ref="BA4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adicional]=$T$2))&gt;0)),ROW(A460)),"")</f>
        <v/>
      </c>
    </row>
    <row r="460" spans="15:53" x14ac:dyDescent="0.35">
      <c r="O460" s="1" t="str" cm="1">
        <f t="array" ref="O460">IF($BA460="","",INDEX(tblServicios[Fecha],$BA460))</f>
        <v/>
      </c>
      <c r="P460" t="str" cm="1">
        <f t="array" ref="P460">IF($BA460="","",INDEX(tblServicios[Contrato],$BA460))</f>
        <v/>
      </c>
      <c r="Q460" t="str" cm="1">
        <f t="array" ref="Q460">IF($BA460="","",INDEX(tblServicios[Vehículo],$BA460))</f>
        <v/>
      </c>
      <c r="R460" s="34" t="str" cm="1">
        <f t="array" ref="R460">IF($BA460="","",INDEX(tblServicios[Base imponible (€)],$BA460)-INDEX(tblServicios[Imp. suplemento (€)],$BA460))</f>
        <v/>
      </c>
      <c r="S460" s="34" t="str" cm="1">
        <f t="array" ref="S460">IF($BA460="","",INDEX(tblServicios[Imp. suplemento (€)],$BA460))</f>
        <v/>
      </c>
      <c r="T460" t="str" cm="1">
        <f t="array" ref="T460">IF($BA460="","",INDEX(tblServicios[Tipo suplemento],$BA460))</f>
        <v/>
      </c>
      <c r="U460" s="2" t="str">
        <f t="shared" si="9"/>
        <v/>
      </c>
      <c r="V460" t="str" cm="1">
        <f t="array" ref="V460">IF($BA460="","",IF(INDEX(tblServicios[Conductor],$BA460)=$T$2,"Conductor",IF(INDEX(tblServicios[Personal adicional],$BA460)=$T$2,"Personal adicional","")))</f>
        <v/>
      </c>
      <c r="BA460" s="33" t="str" cm="1">
        <f t="array" ref="BA4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adicional]=$T$2))&gt;0)),ROW(A461)),"")</f>
        <v/>
      </c>
    </row>
    <row r="461" spans="15:53" x14ac:dyDescent="0.35">
      <c r="O461" s="1" t="str" cm="1">
        <f t="array" ref="O461">IF($BA461="","",INDEX(tblServicios[Fecha],$BA461))</f>
        <v/>
      </c>
      <c r="P461" t="str" cm="1">
        <f t="array" ref="P461">IF($BA461="","",INDEX(tblServicios[Contrato],$BA461))</f>
        <v/>
      </c>
      <c r="Q461" t="str" cm="1">
        <f t="array" ref="Q461">IF($BA461="","",INDEX(tblServicios[Vehículo],$BA461))</f>
        <v/>
      </c>
      <c r="R461" s="34" t="str" cm="1">
        <f t="array" ref="R461">IF($BA461="","",INDEX(tblServicios[Base imponible (€)],$BA461)-INDEX(tblServicios[Imp. suplemento (€)],$BA461))</f>
        <v/>
      </c>
      <c r="S461" s="34" t="str" cm="1">
        <f t="array" ref="S461">IF($BA461="","",INDEX(tblServicios[Imp. suplemento (€)],$BA461))</f>
        <v/>
      </c>
      <c r="T461" t="str" cm="1">
        <f t="array" ref="T461">IF($BA461="","",INDEX(tblServicios[Tipo suplemento],$BA461))</f>
        <v/>
      </c>
      <c r="U461" s="2" t="str">
        <f t="shared" si="9"/>
        <v/>
      </c>
      <c r="V461" t="str" cm="1">
        <f t="array" ref="V461">IF($BA461="","",IF(INDEX(tblServicios[Conductor],$BA461)=$T$2,"Conductor",IF(INDEX(tblServicios[Personal adicional],$BA461)=$T$2,"Personal adicional","")))</f>
        <v/>
      </c>
      <c r="BA461" s="33" t="str" cm="1">
        <f t="array" ref="BA4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adicional]=$T$2))&gt;0)),ROW(A462)),"")</f>
        <v/>
      </c>
    </row>
    <row r="462" spans="15:53" x14ac:dyDescent="0.35">
      <c r="O462" s="1" t="str" cm="1">
        <f t="array" ref="O462">IF($BA462="","",INDEX(tblServicios[Fecha],$BA462))</f>
        <v/>
      </c>
      <c r="P462" t="str" cm="1">
        <f t="array" ref="P462">IF($BA462="","",INDEX(tblServicios[Contrato],$BA462))</f>
        <v/>
      </c>
      <c r="Q462" t="str" cm="1">
        <f t="array" ref="Q462">IF($BA462="","",INDEX(tblServicios[Vehículo],$BA462))</f>
        <v/>
      </c>
      <c r="R462" s="34" t="str" cm="1">
        <f t="array" ref="R462">IF($BA462="","",INDEX(tblServicios[Base imponible (€)],$BA462)-INDEX(tblServicios[Imp. suplemento (€)],$BA462))</f>
        <v/>
      </c>
      <c r="S462" s="34" t="str" cm="1">
        <f t="array" ref="S462">IF($BA462="","",INDEX(tblServicios[Imp. suplemento (€)],$BA462))</f>
        <v/>
      </c>
      <c r="T462" t="str" cm="1">
        <f t="array" ref="T462">IF($BA462="","",INDEX(tblServicios[Tipo suplemento],$BA462))</f>
        <v/>
      </c>
      <c r="U462" s="2" t="str">
        <f t="shared" si="9"/>
        <v/>
      </c>
      <c r="V462" t="str" cm="1">
        <f t="array" ref="V462">IF($BA462="","",IF(INDEX(tblServicios[Conductor],$BA462)=$T$2,"Conductor",IF(INDEX(tblServicios[Personal adicional],$BA462)=$T$2,"Personal adicional","")))</f>
        <v/>
      </c>
      <c r="BA462" s="33" t="str" cm="1">
        <f t="array" ref="BA4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adicional]=$T$2))&gt;0)),ROW(A463)),"")</f>
        <v/>
      </c>
    </row>
    <row r="463" spans="15:53" x14ac:dyDescent="0.35">
      <c r="O463" s="1" t="str" cm="1">
        <f t="array" ref="O463">IF($BA463="","",INDEX(tblServicios[Fecha],$BA463))</f>
        <v/>
      </c>
      <c r="P463" t="str" cm="1">
        <f t="array" ref="P463">IF($BA463="","",INDEX(tblServicios[Contrato],$BA463))</f>
        <v/>
      </c>
      <c r="Q463" t="str" cm="1">
        <f t="array" ref="Q463">IF($BA463="","",INDEX(tblServicios[Vehículo],$BA463))</f>
        <v/>
      </c>
      <c r="R463" s="34" t="str" cm="1">
        <f t="array" ref="R463">IF($BA463="","",INDEX(tblServicios[Base imponible (€)],$BA463)-INDEX(tblServicios[Imp. suplemento (€)],$BA463))</f>
        <v/>
      </c>
      <c r="S463" s="34" t="str" cm="1">
        <f t="array" ref="S463">IF($BA463="","",INDEX(tblServicios[Imp. suplemento (€)],$BA463))</f>
        <v/>
      </c>
      <c r="T463" t="str" cm="1">
        <f t="array" ref="T463">IF($BA463="","",INDEX(tblServicios[Tipo suplemento],$BA463))</f>
        <v/>
      </c>
      <c r="U463" s="2" t="str">
        <f t="shared" si="9"/>
        <v/>
      </c>
      <c r="V463" t="str" cm="1">
        <f t="array" ref="V463">IF($BA463="","",IF(INDEX(tblServicios[Conductor],$BA463)=$T$2,"Conductor",IF(INDEX(tblServicios[Personal adicional],$BA463)=$T$2,"Personal adicional","")))</f>
        <v/>
      </c>
      <c r="BA463" s="33" t="str" cm="1">
        <f t="array" ref="BA4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adicional]=$T$2))&gt;0)),ROW(A464)),"")</f>
        <v/>
      </c>
    </row>
    <row r="464" spans="15:53" x14ac:dyDescent="0.35">
      <c r="O464" s="1" t="str" cm="1">
        <f t="array" ref="O464">IF($BA464="","",INDEX(tblServicios[Fecha],$BA464))</f>
        <v/>
      </c>
      <c r="P464" t="str" cm="1">
        <f t="array" ref="P464">IF($BA464="","",INDEX(tblServicios[Contrato],$BA464))</f>
        <v/>
      </c>
      <c r="Q464" t="str" cm="1">
        <f t="array" ref="Q464">IF($BA464="","",INDEX(tblServicios[Vehículo],$BA464))</f>
        <v/>
      </c>
      <c r="R464" s="34" t="str" cm="1">
        <f t="array" ref="R464">IF($BA464="","",INDEX(tblServicios[Base imponible (€)],$BA464)-INDEX(tblServicios[Imp. suplemento (€)],$BA464))</f>
        <v/>
      </c>
      <c r="S464" s="34" t="str" cm="1">
        <f t="array" ref="S464">IF($BA464="","",INDEX(tblServicios[Imp. suplemento (€)],$BA464))</f>
        <v/>
      </c>
      <c r="T464" t="str" cm="1">
        <f t="array" ref="T464">IF($BA464="","",INDEX(tblServicios[Tipo suplemento],$BA464))</f>
        <v/>
      </c>
      <c r="U464" s="2" t="str">
        <f t="shared" si="9"/>
        <v/>
      </c>
      <c r="V464" t="str" cm="1">
        <f t="array" ref="V464">IF($BA464="","",IF(INDEX(tblServicios[Conductor],$BA464)=$T$2,"Conductor",IF(INDEX(tblServicios[Personal adicional],$BA464)=$T$2,"Personal adicional","")))</f>
        <v/>
      </c>
      <c r="BA464" s="33" t="str" cm="1">
        <f t="array" ref="BA4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adicional]=$T$2))&gt;0)),ROW(A465)),"")</f>
        <v/>
      </c>
    </row>
    <row r="465" spans="15:53" x14ac:dyDescent="0.35">
      <c r="O465" s="1" t="str" cm="1">
        <f t="array" ref="O465">IF($BA465="","",INDEX(tblServicios[Fecha],$BA465))</f>
        <v/>
      </c>
      <c r="P465" t="str" cm="1">
        <f t="array" ref="P465">IF($BA465="","",INDEX(tblServicios[Contrato],$BA465))</f>
        <v/>
      </c>
      <c r="Q465" t="str" cm="1">
        <f t="array" ref="Q465">IF($BA465="","",INDEX(tblServicios[Vehículo],$BA465))</f>
        <v/>
      </c>
      <c r="R465" s="34" t="str" cm="1">
        <f t="array" ref="R465">IF($BA465="","",INDEX(tblServicios[Base imponible (€)],$BA465)-INDEX(tblServicios[Imp. suplemento (€)],$BA465))</f>
        <v/>
      </c>
      <c r="S465" s="34" t="str" cm="1">
        <f t="array" ref="S465">IF($BA465="","",INDEX(tblServicios[Imp. suplemento (€)],$BA465))</f>
        <v/>
      </c>
      <c r="T465" t="str" cm="1">
        <f t="array" ref="T465">IF($BA465="","",INDEX(tblServicios[Tipo suplemento],$BA465))</f>
        <v/>
      </c>
      <c r="U465" s="2" t="str">
        <f t="shared" si="9"/>
        <v/>
      </c>
      <c r="V465" t="str" cm="1">
        <f t="array" ref="V465">IF($BA465="","",IF(INDEX(tblServicios[Conductor],$BA465)=$T$2,"Conductor",IF(INDEX(tblServicios[Personal adicional],$BA465)=$T$2,"Personal adicional","")))</f>
        <v/>
      </c>
      <c r="BA465" s="33" t="str" cm="1">
        <f t="array" ref="BA4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adicional]=$T$2))&gt;0)),ROW(A466)),"")</f>
        <v/>
      </c>
    </row>
    <row r="466" spans="15:53" x14ac:dyDescent="0.35">
      <c r="O466" s="1" t="str" cm="1">
        <f t="array" ref="O466">IF($BA466="","",INDEX(tblServicios[Fecha],$BA466))</f>
        <v/>
      </c>
      <c r="P466" t="str" cm="1">
        <f t="array" ref="P466">IF($BA466="","",INDEX(tblServicios[Contrato],$BA466))</f>
        <v/>
      </c>
      <c r="Q466" t="str" cm="1">
        <f t="array" ref="Q466">IF($BA466="","",INDEX(tblServicios[Vehículo],$BA466))</f>
        <v/>
      </c>
      <c r="R466" s="34" t="str" cm="1">
        <f t="array" ref="R466">IF($BA466="","",INDEX(tblServicios[Base imponible (€)],$BA466)-INDEX(tblServicios[Imp. suplemento (€)],$BA466))</f>
        <v/>
      </c>
      <c r="S466" s="34" t="str" cm="1">
        <f t="array" ref="S466">IF($BA466="","",INDEX(tblServicios[Imp. suplemento (€)],$BA466))</f>
        <v/>
      </c>
      <c r="T466" t="str" cm="1">
        <f t="array" ref="T466">IF($BA466="","",INDEX(tblServicios[Tipo suplemento],$BA466))</f>
        <v/>
      </c>
      <c r="U466" s="2" t="str">
        <f t="shared" si="9"/>
        <v/>
      </c>
      <c r="V466" t="str" cm="1">
        <f t="array" ref="V466">IF($BA466="","",IF(INDEX(tblServicios[Conductor],$BA466)=$T$2,"Conductor",IF(INDEX(tblServicios[Personal adicional],$BA466)=$T$2,"Personal adicional","")))</f>
        <v/>
      </c>
      <c r="BA466" s="33" t="str" cm="1">
        <f t="array" ref="BA4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adicional]=$T$2))&gt;0)),ROW(A467)),"")</f>
        <v/>
      </c>
    </row>
    <row r="467" spans="15:53" x14ac:dyDescent="0.35">
      <c r="O467" s="1" t="str" cm="1">
        <f t="array" ref="O467">IF($BA467="","",INDEX(tblServicios[Fecha],$BA467))</f>
        <v/>
      </c>
      <c r="P467" t="str" cm="1">
        <f t="array" ref="P467">IF($BA467="","",INDEX(tblServicios[Contrato],$BA467))</f>
        <v/>
      </c>
      <c r="Q467" t="str" cm="1">
        <f t="array" ref="Q467">IF($BA467="","",INDEX(tblServicios[Vehículo],$BA467))</f>
        <v/>
      </c>
      <c r="R467" s="34" t="str" cm="1">
        <f t="array" ref="R467">IF($BA467="","",INDEX(tblServicios[Base imponible (€)],$BA467)-INDEX(tblServicios[Imp. suplemento (€)],$BA467))</f>
        <v/>
      </c>
      <c r="S467" s="34" t="str" cm="1">
        <f t="array" ref="S467">IF($BA467="","",INDEX(tblServicios[Imp. suplemento (€)],$BA467))</f>
        <v/>
      </c>
      <c r="T467" t="str" cm="1">
        <f t="array" ref="T467">IF($BA467="","",INDEX(tblServicios[Tipo suplemento],$BA467))</f>
        <v/>
      </c>
      <c r="U467" s="2" t="str">
        <f t="shared" si="9"/>
        <v/>
      </c>
      <c r="V467" t="str" cm="1">
        <f t="array" ref="V467">IF($BA467="","",IF(INDEX(tblServicios[Conductor],$BA467)=$T$2,"Conductor",IF(INDEX(tblServicios[Personal adicional],$BA467)=$T$2,"Personal adicional","")))</f>
        <v/>
      </c>
      <c r="BA467" s="33" t="str" cm="1">
        <f t="array" ref="BA4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adicional]=$T$2))&gt;0)),ROW(A468)),"")</f>
        <v/>
      </c>
    </row>
    <row r="468" spans="15:53" x14ac:dyDescent="0.35">
      <c r="O468" s="1" t="str" cm="1">
        <f t="array" ref="O468">IF($BA468="","",INDEX(tblServicios[Fecha],$BA468))</f>
        <v/>
      </c>
      <c r="P468" t="str" cm="1">
        <f t="array" ref="P468">IF($BA468="","",INDEX(tblServicios[Contrato],$BA468))</f>
        <v/>
      </c>
      <c r="Q468" t="str" cm="1">
        <f t="array" ref="Q468">IF($BA468="","",INDEX(tblServicios[Vehículo],$BA468))</f>
        <v/>
      </c>
      <c r="R468" s="34" t="str" cm="1">
        <f t="array" ref="R468">IF($BA468="","",INDEX(tblServicios[Base imponible (€)],$BA468)-INDEX(tblServicios[Imp. suplemento (€)],$BA468))</f>
        <v/>
      </c>
      <c r="S468" s="34" t="str" cm="1">
        <f t="array" ref="S468">IF($BA468="","",INDEX(tblServicios[Imp. suplemento (€)],$BA468))</f>
        <v/>
      </c>
      <c r="T468" t="str" cm="1">
        <f t="array" ref="T468">IF($BA468="","",INDEX(tblServicios[Tipo suplemento],$BA468))</f>
        <v/>
      </c>
      <c r="U468" s="2" t="str">
        <f t="shared" si="9"/>
        <v/>
      </c>
      <c r="V468" t="str" cm="1">
        <f t="array" ref="V468">IF($BA468="","",IF(INDEX(tblServicios[Conductor],$BA468)=$T$2,"Conductor",IF(INDEX(tblServicios[Personal adicional],$BA468)=$T$2,"Personal adicional","")))</f>
        <v/>
      </c>
      <c r="BA468" s="33" t="str" cm="1">
        <f t="array" ref="BA4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adicional]=$T$2))&gt;0)),ROW(A469)),"")</f>
        <v/>
      </c>
    </row>
    <row r="469" spans="15:53" x14ac:dyDescent="0.35">
      <c r="O469" s="1" t="str" cm="1">
        <f t="array" ref="O469">IF($BA469="","",INDEX(tblServicios[Fecha],$BA469))</f>
        <v/>
      </c>
      <c r="P469" t="str" cm="1">
        <f t="array" ref="P469">IF($BA469="","",INDEX(tblServicios[Contrato],$BA469))</f>
        <v/>
      </c>
      <c r="Q469" t="str" cm="1">
        <f t="array" ref="Q469">IF($BA469="","",INDEX(tblServicios[Vehículo],$BA469))</f>
        <v/>
      </c>
      <c r="R469" s="34" t="str" cm="1">
        <f t="array" ref="R469">IF($BA469="","",INDEX(tblServicios[Base imponible (€)],$BA469)-INDEX(tblServicios[Imp. suplemento (€)],$BA469))</f>
        <v/>
      </c>
      <c r="S469" s="34" t="str" cm="1">
        <f t="array" ref="S469">IF($BA469="","",INDEX(tblServicios[Imp. suplemento (€)],$BA469))</f>
        <v/>
      </c>
      <c r="T469" t="str" cm="1">
        <f t="array" ref="T469">IF($BA469="","",INDEX(tblServicios[Tipo suplemento],$BA469))</f>
        <v/>
      </c>
      <c r="U469" s="2" t="str">
        <f t="shared" si="9"/>
        <v/>
      </c>
      <c r="V469" t="str" cm="1">
        <f t="array" ref="V469">IF($BA469="","",IF(INDEX(tblServicios[Conductor],$BA469)=$T$2,"Conductor",IF(INDEX(tblServicios[Personal adicional],$BA469)=$T$2,"Personal adicional","")))</f>
        <v/>
      </c>
      <c r="BA469" s="33" t="str" cm="1">
        <f t="array" ref="BA4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adicional]=$T$2))&gt;0)),ROW(A470)),"")</f>
        <v/>
      </c>
    </row>
    <row r="470" spans="15:53" x14ac:dyDescent="0.35">
      <c r="O470" s="1" t="str" cm="1">
        <f t="array" ref="O470">IF($BA470="","",INDEX(tblServicios[Fecha],$BA470))</f>
        <v/>
      </c>
      <c r="P470" t="str" cm="1">
        <f t="array" ref="P470">IF($BA470="","",INDEX(tblServicios[Contrato],$BA470))</f>
        <v/>
      </c>
      <c r="Q470" t="str" cm="1">
        <f t="array" ref="Q470">IF($BA470="","",INDEX(tblServicios[Vehículo],$BA470))</f>
        <v/>
      </c>
      <c r="R470" s="34" t="str" cm="1">
        <f t="array" ref="R470">IF($BA470="","",INDEX(tblServicios[Base imponible (€)],$BA470)-INDEX(tblServicios[Imp. suplemento (€)],$BA470))</f>
        <v/>
      </c>
      <c r="S470" s="34" t="str" cm="1">
        <f t="array" ref="S470">IF($BA470="","",INDEX(tblServicios[Imp. suplemento (€)],$BA470))</f>
        <v/>
      </c>
      <c r="T470" t="str" cm="1">
        <f t="array" ref="T470">IF($BA470="","",INDEX(tblServicios[Tipo suplemento],$BA470))</f>
        <v/>
      </c>
      <c r="U470" s="2" t="str">
        <f t="shared" si="9"/>
        <v/>
      </c>
      <c r="V470" t="str" cm="1">
        <f t="array" ref="V470">IF($BA470="","",IF(INDEX(tblServicios[Conductor],$BA470)=$T$2,"Conductor",IF(INDEX(tblServicios[Personal adicional],$BA470)=$T$2,"Personal adicional","")))</f>
        <v/>
      </c>
      <c r="BA470" s="33" t="str" cm="1">
        <f t="array" ref="BA4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adicional]=$T$2))&gt;0)),ROW(A471)),"")</f>
        <v/>
      </c>
    </row>
    <row r="471" spans="15:53" x14ac:dyDescent="0.35">
      <c r="O471" s="1" t="str" cm="1">
        <f t="array" ref="O471">IF($BA471="","",INDEX(tblServicios[Fecha],$BA471))</f>
        <v/>
      </c>
      <c r="P471" t="str" cm="1">
        <f t="array" ref="P471">IF($BA471="","",INDEX(tblServicios[Contrato],$BA471))</f>
        <v/>
      </c>
      <c r="Q471" t="str" cm="1">
        <f t="array" ref="Q471">IF($BA471="","",INDEX(tblServicios[Vehículo],$BA471))</f>
        <v/>
      </c>
      <c r="R471" s="34" t="str" cm="1">
        <f t="array" ref="R471">IF($BA471="","",INDEX(tblServicios[Base imponible (€)],$BA471)-INDEX(tblServicios[Imp. suplemento (€)],$BA471))</f>
        <v/>
      </c>
      <c r="S471" s="34" t="str" cm="1">
        <f t="array" ref="S471">IF($BA471="","",INDEX(tblServicios[Imp. suplemento (€)],$BA471))</f>
        <v/>
      </c>
      <c r="T471" t="str" cm="1">
        <f t="array" ref="T471">IF($BA471="","",INDEX(tblServicios[Tipo suplemento],$BA471))</f>
        <v/>
      </c>
      <c r="U471" s="2" t="str">
        <f t="shared" si="9"/>
        <v/>
      </c>
      <c r="V471" t="str" cm="1">
        <f t="array" ref="V471">IF($BA471="","",IF(INDEX(tblServicios[Conductor],$BA471)=$T$2,"Conductor",IF(INDEX(tblServicios[Personal adicional],$BA471)=$T$2,"Personal adicional","")))</f>
        <v/>
      </c>
      <c r="BA471" s="33" t="str" cm="1">
        <f t="array" ref="BA4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adicional]=$T$2))&gt;0)),ROW(A472)),"")</f>
        <v/>
      </c>
    </row>
    <row r="472" spans="15:53" x14ac:dyDescent="0.35">
      <c r="O472" s="1" t="str" cm="1">
        <f t="array" ref="O472">IF($BA472="","",INDEX(tblServicios[Fecha],$BA472))</f>
        <v/>
      </c>
      <c r="P472" t="str" cm="1">
        <f t="array" ref="P472">IF($BA472="","",INDEX(tblServicios[Contrato],$BA472))</f>
        <v/>
      </c>
      <c r="Q472" t="str" cm="1">
        <f t="array" ref="Q472">IF($BA472="","",INDEX(tblServicios[Vehículo],$BA472))</f>
        <v/>
      </c>
      <c r="R472" s="34" t="str" cm="1">
        <f t="array" ref="R472">IF($BA472="","",INDEX(tblServicios[Base imponible (€)],$BA472)-INDEX(tblServicios[Imp. suplemento (€)],$BA472))</f>
        <v/>
      </c>
      <c r="S472" s="34" t="str" cm="1">
        <f t="array" ref="S472">IF($BA472="","",INDEX(tblServicios[Imp. suplemento (€)],$BA472))</f>
        <v/>
      </c>
      <c r="T472" t="str" cm="1">
        <f t="array" ref="T472">IF($BA472="","",INDEX(tblServicios[Tipo suplemento],$BA472))</f>
        <v/>
      </c>
      <c r="U472" s="2" t="str">
        <f t="shared" si="9"/>
        <v/>
      </c>
      <c r="V472" t="str" cm="1">
        <f t="array" ref="V472">IF($BA472="","",IF(INDEX(tblServicios[Conductor],$BA472)=$T$2,"Conductor",IF(INDEX(tblServicios[Personal adicional],$BA472)=$T$2,"Personal adicional","")))</f>
        <v/>
      </c>
      <c r="BA472" s="33" t="str" cm="1">
        <f t="array" ref="BA4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adicional]=$T$2))&gt;0)),ROW(A473)),"")</f>
        <v/>
      </c>
    </row>
    <row r="473" spans="15:53" x14ac:dyDescent="0.35">
      <c r="O473" s="1" t="str" cm="1">
        <f t="array" ref="O473">IF($BA473="","",INDEX(tblServicios[Fecha],$BA473))</f>
        <v/>
      </c>
      <c r="P473" t="str" cm="1">
        <f t="array" ref="P473">IF($BA473="","",INDEX(tblServicios[Contrato],$BA473))</f>
        <v/>
      </c>
      <c r="Q473" t="str" cm="1">
        <f t="array" ref="Q473">IF($BA473="","",INDEX(tblServicios[Vehículo],$BA473))</f>
        <v/>
      </c>
      <c r="R473" s="34" t="str" cm="1">
        <f t="array" ref="R473">IF($BA473="","",INDEX(tblServicios[Base imponible (€)],$BA473)-INDEX(tblServicios[Imp. suplemento (€)],$BA473))</f>
        <v/>
      </c>
      <c r="S473" s="34" t="str" cm="1">
        <f t="array" ref="S473">IF($BA473="","",INDEX(tblServicios[Imp. suplemento (€)],$BA473))</f>
        <v/>
      </c>
      <c r="T473" t="str" cm="1">
        <f t="array" ref="T473">IF($BA473="","",INDEX(tblServicios[Tipo suplemento],$BA473))</f>
        <v/>
      </c>
      <c r="U473" s="2" t="str">
        <f t="shared" si="9"/>
        <v/>
      </c>
      <c r="V473" t="str" cm="1">
        <f t="array" ref="V473">IF($BA473="","",IF(INDEX(tblServicios[Conductor],$BA473)=$T$2,"Conductor",IF(INDEX(tblServicios[Personal adicional],$BA473)=$T$2,"Personal adicional","")))</f>
        <v/>
      </c>
      <c r="BA473" s="33" t="str" cm="1">
        <f t="array" ref="BA4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adicional]=$T$2))&gt;0)),ROW(A474)),"")</f>
        <v/>
      </c>
    </row>
    <row r="474" spans="15:53" x14ac:dyDescent="0.35">
      <c r="O474" s="1" t="str" cm="1">
        <f t="array" ref="O474">IF($BA474="","",INDEX(tblServicios[Fecha],$BA474))</f>
        <v/>
      </c>
      <c r="P474" t="str" cm="1">
        <f t="array" ref="P474">IF($BA474="","",INDEX(tblServicios[Contrato],$BA474))</f>
        <v/>
      </c>
      <c r="Q474" t="str" cm="1">
        <f t="array" ref="Q474">IF($BA474="","",INDEX(tblServicios[Vehículo],$BA474))</f>
        <v/>
      </c>
      <c r="R474" s="34" t="str" cm="1">
        <f t="array" ref="R474">IF($BA474="","",INDEX(tblServicios[Base imponible (€)],$BA474)-INDEX(tblServicios[Imp. suplemento (€)],$BA474))</f>
        <v/>
      </c>
      <c r="S474" s="34" t="str" cm="1">
        <f t="array" ref="S474">IF($BA474="","",INDEX(tblServicios[Imp. suplemento (€)],$BA474))</f>
        <v/>
      </c>
      <c r="T474" t="str" cm="1">
        <f t="array" ref="T474">IF($BA474="","",INDEX(tblServicios[Tipo suplemento],$BA474))</f>
        <v/>
      </c>
      <c r="U474" s="2" t="str">
        <f t="shared" si="9"/>
        <v/>
      </c>
      <c r="V474" t="str" cm="1">
        <f t="array" ref="V474">IF($BA474="","",IF(INDEX(tblServicios[Conductor],$BA474)=$T$2,"Conductor",IF(INDEX(tblServicios[Personal adicional],$BA474)=$T$2,"Personal adicional","")))</f>
        <v/>
      </c>
      <c r="BA474" s="33" t="str" cm="1">
        <f t="array" ref="BA4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adicional]=$T$2))&gt;0)),ROW(A475)),"")</f>
        <v/>
      </c>
    </row>
    <row r="475" spans="15:53" x14ac:dyDescent="0.35">
      <c r="O475" s="1" t="str" cm="1">
        <f t="array" ref="O475">IF($BA475="","",INDEX(tblServicios[Fecha],$BA475))</f>
        <v/>
      </c>
      <c r="P475" t="str" cm="1">
        <f t="array" ref="P475">IF($BA475="","",INDEX(tblServicios[Contrato],$BA475))</f>
        <v/>
      </c>
      <c r="Q475" t="str" cm="1">
        <f t="array" ref="Q475">IF($BA475="","",INDEX(tblServicios[Vehículo],$BA475))</f>
        <v/>
      </c>
      <c r="R475" s="34" t="str" cm="1">
        <f t="array" ref="R475">IF($BA475="","",INDEX(tblServicios[Base imponible (€)],$BA475)-INDEX(tblServicios[Imp. suplemento (€)],$BA475))</f>
        <v/>
      </c>
      <c r="S475" s="34" t="str" cm="1">
        <f t="array" ref="S475">IF($BA475="","",INDEX(tblServicios[Imp. suplemento (€)],$BA475))</f>
        <v/>
      </c>
      <c r="T475" t="str" cm="1">
        <f t="array" ref="T475">IF($BA475="","",INDEX(tblServicios[Tipo suplemento],$BA475))</f>
        <v/>
      </c>
      <c r="U475" s="2" t="str">
        <f t="shared" si="9"/>
        <v/>
      </c>
      <c r="V475" t="str" cm="1">
        <f t="array" ref="V475">IF($BA475="","",IF(INDEX(tblServicios[Conductor],$BA475)=$T$2,"Conductor",IF(INDEX(tblServicios[Personal adicional],$BA475)=$T$2,"Personal adicional","")))</f>
        <v/>
      </c>
      <c r="BA475" s="33" t="str" cm="1">
        <f t="array" ref="BA4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adicional]=$T$2))&gt;0)),ROW(A476)),"")</f>
        <v/>
      </c>
    </row>
    <row r="476" spans="15:53" x14ac:dyDescent="0.35">
      <c r="O476" s="1" t="str" cm="1">
        <f t="array" ref="O476">IF($BA476="","",INDEX(tblServicios[Fecha],$BA476))</f>
        <v/>
      </c>
      <c r="P476" t="str" cm="1">
        <f t="array" ref="P476">IF($BA476="","",INDEX(tblServicios[Contrato],$BA476))</f>
        <v/>
      </c>
      <c r="Q476" t="str" cm="1">
        <f t="array" ref="Q476">IF($BA476="","",INDEX(tblServicios[Vehículo],$BA476))</f>
        <v/>
      </c>
      <c r="R476" s="34" t="str" cm="1">
        <f t="array" ref="R476">IF($BA476="","",INDEX(tblServicios[Base imponible (€)],$BA476)-INDEX(tblServicios[Imp. suplemento (€)],$BA476))</f>
        <v/>
      </c>
      <c r="S476" s="34" t="str" cm="1">
        <f t="array" ref="S476">IF($BA476="","",INDEX(tblServicios[Imp. suplemento (€)],$BA476))</f>
        <v/>
      </c>
      <c r="T476" t="str" cm="1">
        <f t="array" ref="T476">IF($BA476="","",INDEX(tblServicios[Tipo suplemento],$BA476))</f>
        <v/>
      </c>
      <c r="U476" s="2" t="str">
        <f t="shared" si="9"/>
        <v/>
      </c>
      <c r="V476" t="str" cm="1">
        <f t="array" ref="V476">IF($BA476="","",IF(INDEX(tblServicios[Conductor],$BA476)=$T$2,"Conductor",IF(INDEX(tblServicios[Personal adicional],$BA476)=$T$2,"Personal adicional","")))</f>
        <v/>
      </c>
      <c r="BA476" s="33" t="str" cm="1">
        <f t="array" ref="BA4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adicional]=$T$2))&gt;0)),ROW(A477)),"")</f>
        <v/>
      </c>
    </row>
    <row r="477" spans="15:53" x14ac:dyDescent="0.35">
      <c r="O477" s="1" t="str" cm="1">
        <f t="array" ref="O477">IF($BA477="","",INDEX(tblServicios[Fecha],$BA477))</f>
        <v/>
      </c>
      <c r="P477" t="str" cm="1">
        <f t="array" ref="P477">IF($BA477="","",INDEX(tblServicios[Contrato],$BA477))</f>
        <v/>
      </c>
      <c r="Q477" t="str" cm="1">
        <f t="array" ref="Q477">IF($BA477="","",INDEX(tblServicios[Vehículo],$BA477))</f>
        <v/>
      </c>
      <c r="R477" s="34" t="str" cm="1">
        <f t="array" ref="R477">IF($BA477="","",INDEX(tblServicios[Base imponible (€)],$BA477)-INDEX(tblServicios[Imp. suplemento (€)],$BA477))</f>
        <v/>
      </c>
      <c r="S477" s="34" t="str" cm="1">
        <f t="array" ref="S477">IF($BA477="","",INDEX(tblServicios[Imp. suplemento (€)],$BA477))</f>
        <v/>
      </c>
      <c r="T477" t="str" cm="1">
        <f t="array" ref="T477">IF($BA477="","",INDEX(tblServicios[Tipo suplemento],$BA477))</f>
        <v/>
      </c>
      <c r="U477" s="2" t="str">
        <f t="shared" si="9"/>
        <v/>
      </c>
      <c r="V477" t="str" cm="1">
        <f t="array" ref="V477">IF($BA477="","",IF(INDEX(tblServicios[Conductor],$BA477)=$T$2,"Conductor",IF(INDEX(tblServicios[Personal adicional],$BA477)=$T$2,"Personal adicional","")))</f>
        <v/>
      </c>
      <c r="BA477" s="33" t="str" cm="1">
        <f t="array" ref="BA4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adicional]=$T$2))&gt;0)),ROW(A478)),"")</f>
        <v/>
      </c>
    </row>
    <row r="478" spans="15:53" x14ac:dyDescent="0.35">
      <c r="O478" s="1" t="str" cm="1">
        <f t="array" ref="O478">IF($BA478="","",INDEX(tblServicios[Fecha],$BA478))</f>
        <v/>
      </c>
      <c r="P478" t="str" cm="1">
        <f t="array" ref="P478">IF($BA478="","",INDEX(tblServicios[Contrato],$BA478))</f>
        <v/>
      </c>
      <c r="Q478" t="str" cm="1">
        <f t="array" ref="Q478">IF($BA478="","",INDEX(tblServicios[Vehículo],$BA478))</f>
        <v/>
      </c>
      <c r="R478" s="34" t="str" cm="1">
        <f t="array" ref="R478">IF($BA478="","",INDEX(tblServicios[Base imponible (€)],$BA478)-INDEX(tblServicios[Imp. suplemento (€)],$BA478))</f>
        <v/>
      </c>
      <c r="S478" s="34" t="str" cm="1">
        <f t="array" ref="S478">IF($BA478="","",INDEX(tblServicios[Imp. suplemento (€)],$BA478))</f>
        <v/>
      </c>
      <c r="T478" t="str" cm="1">
        <f t="array" ref="T478">IF($BA478="","",INDEX(tblServicios[Tipo suplemento],$BA478))</f>
        <v/>
      </c>
      <c r="U478" s="2" t="str">
        <f t="shared" si="9"/>
        <v/>
      </c>
      <c r="V478" t="str" cm="1">
        <f t="array" ref="V478">IF($BA478="","",IF(INDEX(tblServicios[Conductor],$BA478)=$T$2,"Conductor",IF(INDEX(tblServicios[Personal adicional],$BA478)=$T$2,"Personal adicional","")))</f>
        <v/>
      </c>
      <c r="BA478" s="33" t="str" cm="1">
        <f t="array" ref="BA4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adicional]=$T$2))&gt;0)),ROW(A479)),"")</f>
        <v/>
      </c>
    </row>
    <row r="479" spans="15:53" x14ac:dyDescent="0.35">
      <c r="O479" s="1" t="str" cm="1">
        <f t="array" ref="O479">IF($BA479="","",INDEX(tblServicios[Fecha],$BA479))</f>
        <v/>
      </c>
      <c r="P479" t="str" cm="1">
        <f t="array" ref="P479">IF($BA479="","",INDEX(tblServicios[Contrato],$BA479))</f>
        <v/>
      </c>
      <c r="Q479" t="str" cm="1">
        <f t="array" ref="Q479">IF($BA479="","",INDEX(tblServicios[Vehículo],$BA479))</f>
        <v/>
      </c>
      <c r="R479" s="34" t="str" cm="1">
        <f t="array" ref="R479">IF($BA479="","",INDEX(tblServicios[Base imponible (€)],$BA479)-INDEX(tblServicios[Imp. suplemento (€)],$BA479))</f>
        <v/>
      </c>
      <c r="S479" s="34" t="str" cm="1">
        <f t="array" ref="S479">IF($BA479="","",INDEX(tblServicios[Imp. suplemento (€)],$BA479))</f>
        <v/>
      </c>
      <c r="T479" t="str" cm="1">
        <f t="array" ref="T479">IF($BA479="","",INDEX(tblServicios[Tipo suplemento],$BA479))</f>
        <v/>
      </c>
      <c r="U479" s="2" t="str">
        <f t="shared" si="9"/>
        <v/>
      </c>
      <c r="V479" t="str" cm="1">
        <f t="array" ref="V479">IF($BA479="","",IF(INDEX(tblServicios[Conductor],$BA479)=$T$2,"Conductor",IF(INDEX(tblServicios[Personal adicional],$BA479)=$T$2,"Personal adicional","")))</f>
        <v/>
      </c>
      <c r="BA479" s="33" t="str" cm="1">
        <f t="array" ref="BA4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adicional]=$T$2))&gt;0)),ROW(A480)),"")</f>
        <v/>
      </c>
    </row>
    <row r="480" spans="15:53" x14ac:dyDescent="0.35">
      <c r="O480" s="1" t="str" cm="1">
        <f t="array" ref="O480">IF($BA480="","",INDEX(tblServicios[Fecha],$BA480))</f>
        <v/>
      </c>
      <c r="P480" t="str" cm="1">
        <f t="array" ref="P480">IF($BA480="","",INDEX(tblServicios[Contrato],$BA480))</f>
        <v/>
      </c>
      <c r="Q480" t="str" cm="1">
        <f t="array" ref="Q480">IF($BA480="","",INDEX(tblServicios[Vehículo],$BA480))</f>
        <v/>
      </c>
      <c r="R480" s="34" t="str" cm="1">
        <f t="array" ref="R480">IF($BA480="","",INDEX(tblServicios[Base imponible (€)],$BA480)-INDEX(tblServicios[Imp. suplemento (€)],$BA480))</f>
        <v/>
      </c>
      <c r="S480" s="34" t="str" cm="1">
        <f t="array" ref="S480">IF($BA480="","",INDEX(tblServicios[Imp. suplemento (€)],$BA480))</f>
        <v/>
      </c>
      <c r="T480" t="str" cm="1">
        <f t="array" ref="T480">IF($BA480="","",INDEX(tblServicios[Tipo suplemento],$BA480))</f>
        <v/>
      </c>
      <c r="U480" s="2" t="str">
        <f t="shared" si="9"/>
        <v/>
      </c>
      <c r="V480" t="str" cm="1">
        <f t="array" ref="V480">IF($BA480="","",IF(INDEX(tblServicios[Conductor],$BA480)=$T$2,"Conductor",IF(INDEX(tblServicios[Personal adicional],$BA480)=$T$2,"Personal adicional","")))</f>
        <v/>
      </c>
      <c r="BA480" s="33" t="str" cm="1">
        <f t="array" ref="BA4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adicional]=$T$2))&gt;0)),ROW(A481)),"")</f>
        <v/>
      </c>
    </row>
    <row r="481" spans="15:53" x14ac:dyDescent="0.35">
      <c r="O481" s="1" t="str" cm="1">
        <f t="array" ref="O481">IF($BA481="","",INDEX(tblServicios[Fecha],$BA481))</f>
        <v/>
      </c>
      <c r="P481" t="str" cm="1">
        <f t="array" ref="P481">IF($BA481="","",INDEX(tblServicios[Contrato],$BA481))</f>
        <v/>
      </c>
      <c r="Q481" t="str" cm="1">
        <f t="array" ref="Q481">IF($BA481="","",INDEX(tblServicios[Vehículo],$BA481))</f>
        <v/>
      </c>
      <c r="R481" s="34" t="str" cm="1">
        <f t="array" ref="R481">IF($BA481="","",INDEX(tblServicios[Base imponible (€)],$BA481)-INDEX(tblServicios[Imp. suplemento (€)],$BA481))</f>
        <v/>
      </c>
      <c r="S481" s="34" t="str" cm="1">
        <f t="array" ref="S481">IF($BA481="","",INDEX(tblServicios[Imp. suplemento (€)],$BA481))</f>
        <v/>
      </c>
      <c r="T481" t="str" cm="1">
        <f t="array" ref="T481">IF($BA481="","",INDEX(tblServicios[Tipo suplemento],$BA481))</f>
        <v/>
      </c>
      <c r="U481" s="2" t="str">
        <f t="shared" si="9"/>
        <v/>
      </c>
      <c r="V481" t="str" cm="1">
        <f t="array" ref="V481">IF($BA481="","",IF(INDEX(tblServicios[Conductor],$BA481)=$T$2,"Conductor",IF(INDEX(tblServicios[Personal adicional],$BA481)=$T$2,"Personal adicional","")))</f>
        <v/>
      </c>
      <c r="BA481" s="33" t="str" cm="1">
        <f t="array" ref="BA4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adicional]=$T$2))&gt;0)),ROW(A482)),"")</f>
        <v/>
      </c>
    </row>
    <row r="482" spans="15:53" x14ac:dyDescent="0.35">
      <c r="O482" s="1" t="str" cm="1">
        <f t="array" ref="O482">IF($BA482="","",INDEX(tblServicios[Fecha],$BA482))</f>
        <v/>
      </c>
      <c r="P482" t="str" cm="1">
        <f t="array" ref="P482">IF($BA482="","",INDEX(tblServicios[Contrato],$BA482))</f>
        <v/>
      </c>
      <c r="Q482" t="str" cm="1">
        <f t="array" ref="Q482">IF($BA482="","",INDEX(tblServicios[Vehículo],$BA482))</f>
        <v/>
      </c>
      <c r="R482" s="34" t="str" cm="1">
        <f t="array" ref="R482">IF($BA482="","",INDEX(tblServicios[Base imponible (€)],$BA482)-INDEX(tblServicios[Imp. suplemento (€)],$BA482))</f>
        <v/>
      </c>
      <c r="S482" s="34" t="str" cm="1">
        <f t="array" ref="S482">IF($BA482="","",INDEX(tblServicios[Imp. suplemento (€)],$BA482))</f>
        <v/>
      </c>
      <c r="T482" t="str" cm="1">
        <f t="array" ref="T482">IF($BA482="","",INDEX(tblServicios[Tipo suplemento],$BA482))</f>
        <v/>
      </c>
      <c r="U482" s="2" t="str">
        <f t="shared" si="9"/>
        <v/>
      </c>
      <c r="V482" t="str" cm="1">
        <f t="array" ref="V482">IF($BA482="","",IF(INDEX(tblServicios[Conductor],$BA482)=$T$2,"Conductor",IF(INDEX(tblServicios[Personal adicional],$BA482)=$T$2,"Personal adicional","")))</f>
        <v/>
      </c>
      <c r="BA482" s="33" t="str" cm="1">
        <f t="array" ref="BA4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adicional]=$T$2))&gt;0)),ROW(A483)),"")</f>
        <v/>
      </c>
    </row>
    <row r="483" spans="15:53" x14ac:dyDescent="0.35">
      <c r="O483" s="1" t="str" cm="1">
        <f t="array" ref="O483">IF($BA483="","",INDEX(tblServicios[Fecha],$BA483))</f>
        <v/>
      </c>
      <c r="P483" t="str" cm="1">
        <f t="array" ref="P483">IF($BA483="","",INDEX(tblServicios[Contrato],$BA483))</f>
        <v/>
      </c>
      <c r="Q483" t="str" cm="1">
        <f t="array" ref="Q483">IF($BA483="","",INDEX(tblServicios[Vehículo],$BA483))</f>
        <v/>
      </c>
      <c r="R483" s="34" t="str" cm="1">
        <f t="array" ref="R483">IF($BA483="","",INDEX(tblServicios[Base imponible (€)],$BA483)-INDEX(tblServicios[Imp. suplemento (€)],$BA483))</f>
        <v/>
      </c>
      <c r="S483" s="34" t="str" cm="1">
        <f t="array" ref="S483">IF($BA483="","",INDEX(tblServicios[Imp. suplemento (€)],$BA483))</f>
        <v/>
      </c>
      <c r="T483" t="str" cm="1">
        <f t="array" ref="T483">IF($BA483="","",INDEX(tblServicios[Tipo suplemento],$BA483))</f>
        <v/>
      </c>
      <c r="U483" s="2" t="str">
        <f t="shared" si="9"/>
        <v/>
      </c>
      <c r="V483" t="str" cm="1">
        <f t="array" ref="V483">IF($BA483="","",IF(INDEX(tblServicios[Conductor],$BA483)=$T$2,"Conductor",IF(INDEX(tblServicios[Personal adicional],$BA483)=$T$2,"Personal adicional","")))</f>
        <v/>
      </c>
      <c r="BA483" s="33" t="str" cm="1">
        <f t="array" ref="BA4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adicional]=$T$2))&gt;0)),ROW(A484)),"")</f>
        <v/>
      </c>
    </row>
    <row r="484" spans="15:53" x14ac:dyDescent="0.35">
      <c r="O484" s="1" t="str" cm="1">
        <f t="array" ref="O484">IF($BA484="","",INDEX(tblServicios[Fecha],$BA484))</f>
        <v/>
      </c>
      <c r="P484" t="str" cm="1">
        <f t="array" ref="P484">IF($BA484="","",INDEX(tblServicios[Contrato],$BA484))</f>
        <v/>
      </c>
      <c r="Q484" t="str" cm="1">
        <f t="array" ref="Q484">IF($BA484="","",INDEX(tblServicios[Vehículo],$BA484))</f>
        <v/>
      </c>
      <c r="R484" s="34" t="str" cm="1">
        <f t="array" ref="R484">IF($BA484="","",INDEX(tblServicios[Base imponible (€)],$BA484)-INDEX(tblServicios[Imp. suplemento (€)],$BA484))</f>
        <v/>
      </c>
      <c r="S484" s="34" t="str" cm="1">
        <f t="array" ref="S484">IF($BA484="","",INDEX(tblServicios[Imp. suplemento (€)],$BA484))</f>
        <v/>
      </c>
      <c r="T484" t="str" cm="1">
        <f t="array" ref="T484">IF($BA484="","",INDEX(tblServicios[Tipo suplemento],$BA484))</f>
        <v/>
      </c>
      <c r="U484" s="2" t="str">
        <f t="shared" si="9"/>
        <v/>
      </c>
      <c r="V484" t="str" cm="1">
        <f t="array" ref="V484">IF($BA484="","",IF(INDEX(tblServicios[Conductor],$BA484)=$T$2,"Conductor",IF(INDEX(tblServicios[Personal adicional],$BA484)=$T$2,"Personal adicional","")))</f>
        <v/>
      </c>
      <c r="BA484" s="33" t="str" cm="1">
        <f t="array" ref="BA4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adicional]=$T$2))&gt;0)),ROW(A485)),"")</f>
        <v/>
      </c>
    </row>
    <row r="485" spans="15:53" x14ac:dyDescent="0.35">
      <c r="O485" s="1" t="str" cm="1">
        <f t="array" ref="O485">IF($BA485="","",INDEX(tblServicios[Fecha],$BA485))</f>
        <v/>
      </c>
      <c r="P485" t="str" cm="1">
        <f t="array" ref="P485">IF($BA485="","",INDEX(tblServicios[Contrato],$BA485))</f>
        <v/>
      </c>
      <c r="Q485" t="str" cm="1">
        <f t="array" ref="Q485">IF($BA485="","",INDEX(tblServicios[Vehículo],$BA485))</f>
        <v/>
      </c>
      <c r="R485" s="34" t="str" cm="1">
        <f t="array" ref="R485">IF($BA485="","",INDEX(tblServicios[Base imponible (€)],$BA485)-INDEX(tblServicios[Imp. suplemento (€)],$BA485))</f>
        <v/>
      </c>
      <c r="S485" s="34" t="str" cm="1">
        <f t="array" ref="S485">IF($BA485="","",INDEX(tblServicios[Imp. suplemento (€)],$BA485))</f>
        <v/>
      </c>
      <c r="T485" t="str" cm="1">
        <f t="array" ref="T485">IF($BA485="","",INDEX(tblServicios[Tipo suplemento],$BA485))</f>
        <v/>
      </c>
      <c r="U485" s="2" t="str">
        <f t="shared" si="9"/>
        <v/>
      </c>
      <c r="V485" t="str" cm="1">
        <f t="array" ref="V485">IF($BA485="","",IF(INDEX(tblServicios[Conductor],$BA485)=$T$2,"Conductor",IF(INDEX(tblServicios[Personal adicional],$BA485)=$T$2,"Personal adicional","")))</f>
        <v/>
      </c>
      <c r="BA485" s="33" t="str" cm="1">
        <f t="array" ref="BA4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adicional]=$T$2))&gt;0)),ROW(A486)),"")</f>
        <v/>
      </c>
    </row>
    <row r="486" spans="15:53" x14ac:dyDescent="0.35">
      <c r="O486" s="1" t="str" cm="1">
        <f t="array" ref="O486">IF($BA486="","",INDEX(tblServicios[Fecha],$BA486))</f>
        <v/>
      </c>
      <c r="P486" t="str" cm="1">
        <f t="array" ref="P486">IF($BA486="","",INDEX(tblServicios[Contrato],$BA486))</f>
        <v/>
      </c>
      <c r="Q486" t="str" cm="1">
        <f t="array" ref="Q486">IF($BA486="","",INDEX(tblServicios[Vehículo],$BA486))</f>
        <v/>
      </c>
      <c r="R486" s="34" t="str" cm="1">
        <f t="array" ref="R486">IF($BA486="","",INDEX(tblServicios[Base imponible (€)],$BA486)-INDEX(tblServicios[Imp. suplemento (€)],$BA486))</f>
        <v/>
      </c>
      <c r="S486" s="34" t="str" cm="1">
        <f t="array" ref="S486">IF($BA486="","",INDEX(tblServicios[Imp. suplemento (€)],$BA486))</f>
        <v/>
      </c>
      <c r="T486" t="str" cm="1">
        <f t="array" ref="T486">IF($BA486="","",INDEX(tblServicios[Tipo suplemento],$BA486))</f>
        <v/>
      </c>
      <c r="U486" s="2" t="str">
        <f t="shared" si="9"/>
        <v/>
      </c>
      <c r="V486" t="str" cm="1">
        <f t="array" ref="V486">IF($BA486="","",IF(INDEX(tblServicios[Conductor],$BA486)=$T$2,"Conductor",IF(INDEX(tblServicios[Personal adicional],$BA486)=$T$2,"Personal adicional","")))</f>
        <v/>
      </c>
      <c r="BA486" s="33" t="str" cm="1">
        <f t="array" ref="BA4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adicional]=$T$2))&gt;0)),ROW(A487)),"")</f>
        <v/>
      </c>
    </row>
    <row r="487" spans="15:53" x14ac:dyDescent="0.35">
      <c r="O487" s="1" t="str" cm="1">
        <f t="array" ref="O487">IF($BA487="","",INDEX(tblServicios[Fecha],$BA487))</f>
        <v/>
      </c>
      <c r="P487" t="str" cm="1">
        <f t="array" ref="P487">IF($BA487="","",INDEX(tblServicios[Contrato],$BA487))</f>
        <v/>
      </c>
      <c r="Q487" t="str" cm="1">
        <f t="array" ref="Q487">IF($BA487="","",INDEX(tblServicios[Vehículo],$BA487))</f>
        <v/>
      </c>
      <c r="R487" s="34" t="str" cm="1">
        <f t="array" ref="R487">IF($BA487="","",INDEX(tblServicios[Base imponible (€)],$BA487)-INDEX(tblServicios[Imp. suplemento (€)],$BA487))</f>
        <v/>
      </c>
      <c r="S487" s="34" t="str" cm="1">
        <f t="array" ref="S487">IF($BA487="","",INDEX(tblServicios[Imp. suplemento (€)],$BA487))</f>
        <v/>
      </c>
      <c r="T487" t="str" cm="1">
        <f t="array" ref="T487">IF($BA487="","",INDEX(tblServicios[Tipo suplemento],$BA487))</f>
        <v/>
      </c>
      <c r="U487" s="2" t="str">
        <f t="shared" si="9"/>
        <v/>
      </c>
      <c r="V487" t="str" cm="1">
        <f t="array" ref="V487">IF($BA487="","",IF(INDEX(tblServicios[Conductor],$BA487)=$T$2,"Conductor",IF(INDEX(tblServicios[Personal adicional],$BA487)=$T$2,"Personal adicional","")))</f>
        <v/>
      </c>
      <c r="BA487" s="33" t="str" cm="1">
        <f t="array" ref="BA4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adicional]=$T$2))&gt;0)),ROW(A488)),"")</f>
        <v/>
      </c>
    </row>
    <row r="488" spans="15:53" x14ac:dyDescent="0.35">
      <c r="O488" s="1" t="str" cm="1">
        <f t="array" ref="O488">IF($BA488="","",INDEX(tblServicios[Fecha],$BA488))</f>
        <v/>
      </c>
      <c r="P488" t="str" cm="1">
        <f t="array" ref="P488">IF($BA488="","",INDEX(tblServicios[Contrato],$BA488))</f>
        <v/>
      </c>
      <c r="Q488" t="str" cm="1">
        <f t="array" ref="Q488">IF($BA488="","",INDEX(tblServicios[Vehículo],$BA488))</f>
        <v/>
      </c>
      <c r="R488" s="34" t="str" cm="1">
        <f t="array" ref="R488">IF($BA488="","",INDEX(tblServicios[Base imponible (€)],$BA488)-INDEX(tblServicios[Imp. suplemento (€)],$BA488))</f>
        <v/>
      </c>
      <c r="S488" s="34" t="str" cm="1">
        <f t="array" ref="S488">IF($BA488="","",INDEX(tblServicios[Imp. suplemento (€)],$BA488))</f>
        <v/>
      </c>
      <c r="T488" t="str" cm="1">
        <f t="array" ref="T488">IF($BA488="","",INDEX(tblServicios[Tipo suplemento],$BA488))</f>
        <v/>
      </c>
      <c r="U488" s="2" t="str">
        <f t="shared" si="9"/>
        <v/>
      </c>
      <c r="V488" t="str" cm="1">
        <f t="array" ref="V488">IF($BA488="","",IF(INDEX(tblServicios[Conductor],$BA488)=$T$2,"Conductor",IF(INDEX(tblServicios[Personal adicional],$BA488)=$T$2,"Personal adicional","")))</f>
        <v/>
      </c>
      <c r="BA488" s="33" t="str" cm="1">
        <f t="array" ref="BA4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adicional]=$T$2))&gt;0)),ROW(A489)),"")</f>
        <v/>
      </c>
    </row>
    <row r="489" spans="15:53" x14ac:dyDescent="0.35">
      <c r="O489" s="1" t="str" cm="1">
        <f t="array" ref="O489">IF($BA489="","",INDEX(tblServicios[Fecha],$BA489))</f>
        <v/>
      </c>
      <c r="P489" t="str" cm="1">
        <f t="array" ref="P489">IF($BA489="","",INDEX(tblServicios[Contrato],$BA489))</f>
        <v/>
      </c>
      <c r="Q489" t="str" cm="1">
        <f t="array" ref="Q489">IF($BA489="","",INDEX(tblServicios[Vehículo],$BA489))</f>
        <v/>
      </c>
      <c r="R489" s="34" t="str" cm="1">
        <f t="array" ref="R489">IF($BA489="","",INDEX(tblServicios[Base imponible (€)],$BA489)-INDEX(tblServicios[Imp. suplemento (€)],$BA489))</f>
        <v/>
      </c>
      <c r="S489" s="34" t="str" cm="1">
        <f t="array" ref="S489">IF($BA489="","",INDEX(tblServicios[Imp. suplemento (€)],$BA489))</f>
        <v/>
      </c>
      <c r="T489" t="str" cm="1">
        <f t="array" ref="T489">IF($BA489="","",INDEX(tblServicios[Tipo suplemento],$BA489))</f>
        <v/>
      </c>
      <c r="U489" s="2" t="str">
        <f t="shared" si="9"/>
        <v/>
      </c>
      <c r="V489" t="str" cm="1">
        <f t="array" ref="V489">IF($BA489="","",IF(INDEX(tblServicios[Conductor],$BA489)=$T$2,"Conductor",IF(INDEX(tblServicios[Personal adicional],$BA489)=$T$2,"Personal adicional","")))</f>
        <v/>
      </c>
      <c r="BA489" s="33" t="str" cm="1">
        <f t="array" ref="BA4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adicional]=$T$2))&gt;0)),ROW(A490)),"")</f>
        <v/>
      </c>
    </row>
    <row r="490" spans="15:53" x14ac:dyDescent="0.35">
      <c r="O490" s="1" t="str" cm="1">
        <f t="array" ref="O490">IF($BA490="","",INDEX(tblServicios[Fecha],$BA490))</f>
        <v/>
      </c>
      <c r="P490" t="str" cm="1">
        <f t="array" ref="P490">IF($BA490="","",INDEX(tblServicios[Contrato],$BA490))</f>
        <v/>
      </c>
      <c r="Q490" t="str" cm="1">
        <f t="array" ref="Q490">IF($BA490="","",INDEX(tblServicios[Vehículo],$BA490))</f>
        <v/>
      </c>
      <c r="R490" s="34" t="str" cm="1">
        <f t="array" ref="R490">IF($BA490="","",INDEX(tblServicios[Base imponible (€)],$BA490)-INDEX(tblServicios[Imp. suplemento (€)],$BA490))</f>
        <v/>
      </c>
      <c r="S490" s="34" t="str" cm="1">
        <f t="array" ref="S490">IF($BA490="","",INDEX(tblServicios[Imp. suplemento (€)],$BA490))</f>
        <v/>
      </c>
      <c r="T490" t="str" cm="1">
        <f t="array" ref="T490">IF($BA490="","",INDEX(tblServicios[Tipo suplemento],$BA490))</f>
        <v/>
      </c>
      <c r="U490" s="2" t="str">
        <f t="shared" si="9"/>
        <v/>
      </c>
      <c r="V490" t="str" cm="1">
        <f t="array" ref="V490">IF($BA490="","",IF(INDEX(tblServicios[Conductor],$BA490)=$T$2,"Conductor",IF(INDEX(tblServicios[Personal adicional],$BA490)=$T$2,"Personal adicional","")))</f>
        <v/>
      </c>
      <c r="BA490" s="33" t="str" cm="1">
        <f t="array" ref="BA4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adicional]=$T$2))&gt;0)),ROW(A491)),"")</f>
        <v/>
      </c>
    </row>
    <row r="491" spans="15:53" x14ac:dyDescent="0.35">
      <c r="O491" s="1" t="str" cm="1">
        <f t="array" ref="O491">IF($BA491="","",INDEX(tblServicios[Fecha],$BA491))</f>
        <v/>
      </c>
      <c r="P491" t="str" cm="1">
        <f t="array" ref="P491">IF($BA491="","",INDEX(tblServicios[Contrato],$BA491))</f>
        <v/>
      </c>
      <c r="Q491" t="str" cm="1">
        <f t="array" ref="Q491">IF($BA491="","",INDEX(tblServicios[Vehículo],$BA491))</f>
        <v/>
      </c>
      <c r="R491" s="34" t="str" cm="1">
        <f t="array" ref="R491">IF($BA491="","",INDEX(tblServicios[Base imponible (€)],$BA491)-INDEX(tblServicios[Imp. suplemento (€)],$BA491))</f>
        <v/>
      </c>
      <c r="S491" s="34" t="str" cm="1">
        <f t="array" ref="S491">IF($BA491="","",INDEX(tblServicios[Imp. suplemento (€)],$BA491))</f>
        <v/>
      </c>
      <c r="T491" t="str" cm="1">
        <f t="array" ref="T491">IF($BA491="","",INDEX(tblServicios[Tipo suplemento],$BA491))</f>
        <v/>
      </c>
      <c r="U491" s="2" t="str">
        <f t="shared" si="9"/>
        <v/>
      </c>
      <c r="V491" t="str" cm="1">
        <f t="array" ref="V491">IF($BA491="","",IF(INDEX(tblServicios[Conductor],$BA491)=$T$2,"Conductor",IF(INDEX(tblServicios[Personal adicional],$BA491)=$T$2,"Personal adicional","")))</f>
        <v/>
      </c>
      <c r="BA491" s="33" t="str" cm="1">
        <f t="array" ref="BA4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adicional]=$T$2))&gt;0)),ROW(A492)),"")</f>
        <v/>
      </c>
    </row>
    <row r="492" spans="15:53" x14ac:dyDescent="0.35">
      <c r="O492" s="1" t="str" cm="1">
        <f t="array" ref="O492">IF($BA492="","",INDEX(tblServicios[Fecha],$BA492))</f>
        <v/>
      </c>
      <c r="P492" t="str" cm="1">
        <f t="array" ref="P492">IF($BA492="","",INDEX(tblServicios[Contrato],$BA492))</f>
        <v/>
      </c>
      <c r="Q492" t="str" cm="1">
        <f t="array" ref="Q492">IF($BA492="","",INDEX(tblServicios[Vehículo],$BA492))</f>
        <v/>
      </c>
      <c r="R492" s="34" t="str" cm="1">
        <f t="array" ref="R492">IF($BA492="","",INDEX(tblServicios[Base imponible (€)],$BA492)-INDEX(tblServicios[Imp. suplemento (€)],$BA492))</f>
        <v/>
      </c>
      <c r="S492" s="34" t="str" cm="1">
        <f t="array" ref="S492">IF($BA492="","",INDEX(tblServicios[Imp. suplemento (€)],$BA492))</f>
        <v/>
      </c>
      <c r="T492" t="str" cm="1">
        <f t="array" ref="T492">IF($BA492="","",INDEX(tblServicios[Tipo suplemento],$BA492))</f>
        <v/>
      </c>
      <c r="U492" s="2" t="str">
        <f t="shared" si="9"/>
        <v/>
      </c>
      <c r="V492" t="str" cm="1">
        <f t="array" ref="V492">IF($BA492="","",IF(INDEX(tblServicios[Conductor],$BA492)=$T$2,"Conductor",IF(INDEX(tblServicios[Personal adicional],$BA492)=$T$2,"Personal adicional","")))</f>
        <v/>
      </c>
      <c r="BA492" s="33" t="str" cm="1">
        <f t="array" ref="BA4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adicional]=$T$2))&gt;0)),ROW(A493)),"")</f>
        <v/>
      </c>
    </row>
    <row r="493" spans="15:53" x14ac:dyDescent="0.35">
      <c r="O493" s="1" t="str" cm="1">
        <f t="array" ref="O493">IF($BA493="","",INDEX(tblServicios[Fecha],$BA493))</f>
        <v/>
      </c>
      <c r="P493" t="str" cm="1">
        <f t="array" ref="P493">IF($BA493="","",INDEX(tblServicios[Contrato],$BA493))</f>
        <v/>
      </c>
      <c r="Q493" t="str" cm="1">
        <f t="array" ref="Q493">IF($BA493="","",INDEX(tblServicios[Vehículo],$BA493))</f>
        <v/>
      </c>
      <c r="R493" s="34" t="str" cm="1">
        <f t="array" ref="R493">IF($BA493="","",INDEX(tblServicios[Base imponible (€)],$BA493)-INDEX(tblServicios[Imp. suplemento (€)],$BA493))</f>
        <v/>
      </c>
      <c r="S493" s="34" t="str" cm="1">
        <f t="array" ref="S493">IF($BA493="","",INDEX(tblServicios[Imp. suplemento (€)],$BA493))</f>
        <v/>
      </c>
      <c r="T493" t="str" cm="1">
        <f t="array" ref="T493">IF($BA493="","",INDEX(tblServicios[Tipo suplemento],$BA493))</f>
        <v/>
      </c>
      <c r="U493" s="2" t="str">
        <f t="shared" si="9"/>
        <v/>
      </c>
      <c r="V493" t="str" cm="1">
        <f t="array" ref="V493">IF($BA493="","",IF(INDEX(tblServicios[Conductor],$BA493)=$T$2,"Conductor",IF(INDEX(tblServicios[Personal adicional],$BA493)=$T$2,"Personal adicional","")))</f>
        <v/>
      </c>
      <c r="BA493" s="33" t="str" cm="1">
        <f t="array" ref="BA4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adicional]=$T$2))&gt;0)),ROW(A495)),"")</f>
        <v/>
      </c>
    </row>
    <row r="494" spans="15:53" x14ac:dyDescent="0.35">
      <c r="O494" s="1" t="str" cm="1">
        <f t="array" ref="O494">IF($BA494="","",INDEX(tblServicios[Fecha],$BA494))</f>
        <v/>
      </c>
      <c r="P494" t="str" cm="1">
        <f t="array" ref="P494">IF($BA494="","",INDEX(tblServicios[Contrato],$BA494))</f>
        <v/>
      </c>
      <c r="Q494" t="str" cm="1">
        <f t="array" ref="Q494">IF($BA494="","",INDEX(tblServicios[Vehículo],$BA494))</f>
        <v/>
      </c>
      <c r="R494" s="34" t="str" cm="1">
        <f t="array" ref="R494">IF($BA494="","",INDEX(tblServicios[Base imponible (€)],$BA494)-INDEX(tblServicios[Imp. suplemento (€)],$BA494))</f>
        <v/>
      </c>
      <c r="S494" s="34" t="str" cm="1">
        <f t="array" ref="S494">IF($BA494="","",INDEX(tblServicios[Imp. suplemento (€)],$BA494))</f>
        <v/>
      </c>
      <c r="T494" t="str" cm="1">
        <f t="array" ref="T494">IF($BA494="","",INDEX(tblServicios[Tipo suplemento],$BA494))</f>
        <v/>
      </c>
      <c r="U494" s="2" t="str">
        <f t="shared" si="9"/>
        <v/>
      </c>
      <c r="V494" t="str" cm="1">
        <f t="array" ref="V494">IF($BA494="","",IF(INDEX(tblServicios[Conductor],$BA494)=$T$2,"Conductor",IF(INDEX(tblServicios[Personal adicional],$BA494)=$T$2,"Personal adicional","")))</f>
        <v/>
      </c>
      <c r="BA494" s="33" t="str" cm="1">
        <f t="array" ref="BA4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adicional]=$T$2))&gt;0)),ROW(A496)),"")</f>
        <v/>
      </c>
    </row>
    <row r="495" spans="15:53" x14ac:dyDescent="0.35">
      <c r="O495" s="1" t="str" cm="1">
        <f t="array" ref="O495">IF($BA495="","",INDEX(tblServicios[Fecha],$BA495))</f>
        <v/>
      </c>
      <c r="P495" t="str" cm="1">
        <f t="array" ref="P495">IF($BA495="","",INDEX(tblServicios[Contrato],$BA495))</f>
        <v/>
      </c>
      <c r="Q495" t="str" cm="1">
        <f t="array" ref="Q495">IF($BA495="","",INDEX(tblServicios[Vehículo],$BA495))</f>
        <v/>
      </c>
      <c r="R495" s="34" t="str" cm="1">
        <f t="array" ref="R495">IF($BA495="","",INDEX(tblServicios[Base imponible (€)],$BA495)-INDEX(tblServicios[Imp. suplemento (€)],$BA495))</f>
        <v/>
      </c>
      <c r="S495" s="34" t="str" cm="1">
        <f t="array" ref="S495">IF($BA495="","",INDEX(tblServicios[Imp. suplemento (€)],$BA495))</f>
        <v/>
      </c>
      <c r="T495" t="str" cm="1">
        <f t="array" ref="T495">IF($BA495="","",INDEX(tblServicios[Tipo suplemento],$BA495))</f>
        <v/>
      </c>
      <c r="U495" s="2" t="str">
        <f t="shared" si="9"/>
        <v/>
      </c>
      <c r="V495" t="str" cm="1">
        <f t="array" ref="V495">IF($BA495="","",IF(INDEX(tblServicios[Conductor],$BA495)=$T$2,"Conductor",IF(INDEX(tblServicios[Personal adicional],$BA495)=$T$2,"Personal adicional","")))</f>
        <v/>
      </c>
      <c r="BA495" s="33" t="str" cm="1">
        <f t="array" ref="BA4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adicional]=$T$2))&gt;0)),ROW(A497)),"")</f>
        <v/>
      </c>
    </row>
    <row r="496" spans="15:53" x14ac:dyDescent="0.35">
      <c r="O496" s="1" t="str" cm="1">
        <f t="array" ref="O496">IF($BA496="","",INDEX(tblServicios[Fecha],$BA496))</f>
        <v/>
      </c>
      <c r="P496" t="str" cm="1">
        <f t="array" ref="P496">IF($BA496="","",INDEX(tblServicios[Contrato],$BA496))</f>
        <v/>
      </c>
      <c r="Q496" t="str" cm="1">
        <f t="array" ref="Q496">IF($BA496="","",INDEX(tblServicios[Vehículo],$BA496))</f>
        <v/>
      </c>
      <c r="R496" s="34" t="str" cm="1">
        <f t="array" ref="R496">IF($BA496="","",INDEX(tblServicios[Base imponible (€)],$BA496)-INDEX(tblServicios[Imp. suplemento (€)],$BA496))</f>
        <v/>
      </c>
      <c r="S496" s="34" t="str" cm="1">
        <f t="array" ref="S496">IF($BA496="","",INDEX(tblServicios[Imp. suplemento (€)],$BA496))</f>
        <v/>
      </c>
      <c r="T496" t="str" cm="1">
        <f t="array" ref="T496">IF($BA496="","",INDEX(tblServicios[Tipo suplemento],$BA496))</f>
        <v/>
      </c>
      <c r="U496" s="2" t="str">
        <f t="shared" si="9"/>
        <v/>
      </c>
      <c r="V496" t="str" cm="1">
        <f t="array" ref="V496">IF($BA496="","",IF(INDEX(tblServicios[Conductor],$BA496)=$T$2,"Conductor",IF(INDEX(tblServicios[Personal adicional],$BA496)=$T$2,"Personal adicional","")))</f>
        <v/>
      </c>
      <c r="BA496" s="33" t="str" cm="1">
        <f t="array" ref="BA4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adicional]=$T$2))&gt;0)),ROW(A498)),"")</f>
        <v/>
      </c>
    </row>
    <row r="497" spans="15:53" x14ac:dyDescent="0.35">
      <c r="O497" s="1" t="str" cm="1">
        <f t="array" ref="O497">IF($BA497="","",INDEX(tblServicios[Fecha],$BA497))</f>
        <v/>
      </c>
      <c r="P497" t="str" cm="1">
        <f t="array" ref="P497">IF($BA497="","",INDEX(tblServicios[Contrato],$BA497))</f>
        <v/>
      </c>
      <c r="Q497" t="str" cm="1">
        <f t="array" ref="Q497">IF($BA497="","",INDEX(tblServicios[Vehículo],$BA497))</f>
        <v/>
      </c>
      <c r="R497" s="34" t="str" cm="1">
        <f t="array" ref="R497">IF($BA497="","",INDEX(tblServicios[Base imponible (€)],$BA497)-INDEX(tblServicios[Imp. suplemento (€)],$BA497))</f>
        <v/>
      </c>
      <c r="S497" s="34" t="str" cm="1">
        <f t="array" ref="S497">IF($BA497="","",INDEX(tblServicios[Imp. suplemento (€)],$BA497))</f>
        <v/>
      </c>
      <c r="T497" t="str" cm="1">
        <f t="array" ref="T497">IF($BA497="","",INDEX(tblServicios[Tipo suplemento],$BA497))</f>
        <v/>
      </c>
      <c r="U497" s="2" t="str">
        <f t="shared" si="9"/>
        <v/>
      </c>
      <c r="V497" t="str" cm="1">
        <f t="array" ref="V497">IF($BA497="","",IF(INDEX(tblServicios[Conductor],$BA497)=$T$2,"Conductor",IF(INDEX(tblServicios[Personal adicional],$BA497)=$T$2,"Personal adicional","")))</f>
        <v/>
      </c>
      <c r="BA497" s="33" t="str" cm="1">
        <f t="array" ref="BA4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adicional]=$T$2))&gt;0)),ROW(A499)),"")</f>
        <v/>
      </c>
    </row>
    <row r="498" spans="15:53" x14ac:dyDescent="0.35">
      <c r="O498" s="1" t="str" cm="1">
        <f t="array" ref="O498">IF($BA498="","",INDEX(tblServicios[Fecha],$BA498))</f>
        <v/>
      </c>
      <c r="P498" t="str" cm="1">
        <f t="array" ref="P498">IF($BA498="","",INDEX(tblServicios[Contrato],$BA498))</f>
        <v/>
      </c>
      <c r="Q498" t="str" cm="1">
        <f t="array" ref="Q498">IF($BA498="","",INDEX(tblServicios[Vehículo],$BA498))</f>
        <v/>
      </c>
      <c r="R498" s="34" t="str" cm="1">
        <f t="array" ref="R498">IF($BA498="","",INDEX(tblServicios[Base imponible (€)],$BA498)-INDEX(tblServicios[Imp. suplemento (€)],$BA498))</f>
        <v/>
      </c>
      <c r="S498" s="34" t="str" cm="1">
        <f t="array" ref="S498">IF($BA498="","",INDEX(tblServicios[Imp. suplemento (€)],$BA498))</f>
        <v/>
      </c>
      <c r="T498" t="str" cm="1">
        <f t="array" ref="T498">IF($BA498="","",INDEX(tblServicios[Tipo suplemento],$BA498))</f>
        <v/>
      </c>
      <c r="U498" s="2" t="str">
        <f t="shared" si="9"/>
        <v/>
      </c>
      <c r="V498" t="str" cm="1">
        <f t="array" ref="V498">IF($BA498="","",IF(INDEX(tblServicios[Conductor],$BA498)=$T$2,"Conductor",IF(INDEX(tblServicios[Personal adicional],$BA498)=$T$2,"Personal adicional","")))</f>
        <v/>
      </c>
      <c r="BA498" s="33" t="str" cm="1">
        <f t="array" ref="BA4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adicional]=$T$2))&gt;0)),ROW(A500)),"")</f>
        <v/>
      </c>
    </row>
    <row r="499" spans="15:53" x14ac:dyDescent="0.35">
      <c r="O499" s="1" t="str" cm="1">
        <f t="array" ref="O499">IF($BA499="","",INDEX(tblServicios[Fecha],$BA499))</f>
        <v/>
      </c>
      <c r="P499" t="str" cm="1">
        <f t="array" ref="P499">IF($BA499="","",INDEX(tblServicios[Contrato],$BA499))</f>
        <v/>
      </c>
      <c r="Q499" t="str" cm="1">
        <f t="array" ref="Q499">IF($BA499="","",INDEX(tblServicios[Vehículo],$BA499))</f>
        <v/>
      </c>
      <c r="R499" s="34" t="str" cm="1">
        <f t="array" ref="R499">IF($BA499="","",INDEX(tblServicios[Base imponible (€)],$BA499)-INDEX(tblServicios[Imp. suplemento (€)],$BA499))</f>
        <v/>
      </c>
      <c r="S499" s="34" t="str" cm="1">
        <f t="array" ref="S499">IF($BA499="","",INDEX(tblServicios[Imp. suplemento (€)],$BA499))</f>
        <v/>
      </c>
      <c r="T499" t="str" cm="1">
        <f t="array" ref="T499">IF($BA499="","",INDEX(tblServicios[Tipo suplemento],$BA499))</f>
        <v/>
      </c>
      <c r="U499" s="2" t="str">
        <f t="shared" si="9"/>
        <v/>
      </c>
      <c r="V499" t="str" cm="1">
        <f t="array" ref="V499">IF($BA499="","",IF(INDEX(tblServicios[Conductor],$BA499)=$T$2,"Conductor",IF(INDEX(tblServicios[Personal adicional],$BA499)=$T$2,"Personal adicional","")))</f>
        <v/>
      </c>
      <c r="BA499" s="33" t="str" cm="1">
        <f t="array" ref="BA4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adicional]=$T$2))&gt;0)),ROW(A501)),"")</f>
        <v/>
      </c>
    </row>
    <row r="500" spans="15:53" x14ac:dyDescent="0.35">
      <c r="O500" s="1" t="str" cm="1">
        <f t="array" ref="O500">IF($BA500="","",INDEX(tblServicios[Fecha],$BA500))</f>
        <v/>
      </c>
      <c r="P500" t="str" cm="1">
        <f t="array" ref="P500">IF($BA500="","",INDEX(tblServicios[Contrato],$BA500))</f>
        <v/>
      </c>
      <c r="Q500" t="str" cm="1">
        <f t="array" ref="Q500">IF($BA500="","",INDEX(tblServicios[Vehículo],$BA500))</f>
        <v/>
      </c>
      <c r="R500" s="34" t="str" cm="1">
        <f t="array" ref="R500">IF($BA500="","",INDEX(tblServicios[Base imponible (€)],$BA500)-INDEX(tblServicios[Imp. suplemento (€)],$BA500))</f>
        <v/>
      </c>
      <c r="S500" s="34" t="str" cm="1">
        <f t="array" ref="S500">IF($BA500="","",INDEX(tblServicios[Imp. suplemento (€)],$BA500))</f>
        <v/>
      </c>
      <c r="T500" t="str" cm="1">
        <f t="array" ref="T500">IF($BA500="","",INDEX(tblServicios[Tipo suplemento],$BA500))</f>
        <v/>
      </c>
      <c r="U500" s="2" t="str">
        <f t="shared" si="9"/>
        <v/>
      </c>
      <c r="V500" t="str" cm="1">
        <f t="array" ref="V500">IF($BA500="","",IF(INDEX(tblServicios[Conductor],$BA500)=$T$2,"Conductor",IF(INDEX(tblServicios[Personal adicional],$BA500)=$T$2,"Personal adicional","")))</f>
        <v/>
      </c>
      <c r="BA500" s="33" t="str" cm="1">
        <f t="array" ref="BA5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adicional]=$T$2))&gt;0)),ROW(A502)),"")</f>
        <v/>
      </c>
    </row>
    <row r="501" spans="15:53" x14ac:dyDescent="0.35">
      <c r="O501" s="1" t="str" cm="1">
        <f t="array" ref="O501">IF($BA501="","",INDEX(tblServicios[Fecha],$BA501))</f>
        <v/>
      </c>
      <c r="P501" t="str" cm="1">
        <f t="array" ref="P501">IF($BA501="","",INDEX(tblServicios[Contrato],$BA501))</f>
        <v/>
      </c>
      <c r="Q501" t="str" cm="1">
        <f t="array" ref="Q501">IF($BA501="","",INDEX(tblServicios[Vehículo],$BA501))</f>
        <v/>
      </c>
      <c r="R501" s="34" t="str" cm="1">
        <f t="array" ref="R501">IF($BA501="","",INDEX(tblServicios[Base imponible (€)],$BA501)-INDEX(tblServicios[Imp. suplemento (€)],$BA501))</f>
        <v/>
      </c>
      <c r="S501" s="34" t="str" cm="1">
        <f t="array" ref="S501">IF($BA501="","",INDEX(tblServicios[Imp. suplemento (€)],$BA501))</f>
        <v/>
      </c>
      <c r="T501" t="str" cm="1">
        <f t="array" ref="T501">IF($BA501="","",INDEX(tblServicios[Tipo suplemento],$BA501))</f>
        <v/>
      </c>
      <c r="U501" s="2" t="str">
        <f t="shared" si="9"/>
        <v/>
      </c>
      <c r="V501" t="str" cm="1">
        <f t="array" ref="V501">IF($BA501="","",IF(INDEX(tblServicios[Conductor],$BA501)=$T$2,"Conductor",IF(INDEX(tblServicios[Personal adicional],$BA501)=$T$2,"Personal adicional","")))</f>
        <v/>
      </c>
      <c r="BA501" s="33" t="str" cm="1">
        <f t="array" ref="BA5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adicional]=$T$2))&gt;0)),ROW(A503)),"")</f>
        <v/>
      </c>
    </row>
    <row r="502" spans="15:53" x14ac:dyDescent="0.35">
      <c r="O502" s="1" t="str" cm="1">
        <f t="array" ref="O502">IF($BA502="","",INDEX(tblServicios[Fecha],$BA502))</f>
        <v/>
      </c>
      <c r="P502" t="str" cm="1">
        <f t="array" ref="P502">IF($BA502="","",INDEX(tblServicios[Contrato],$BA502))</f>
        <v/>
      </c>
      <c r="Q502" t="str" cm="1">
        <f t="array" ref="Q502">IF($BA502="","",INDEX(tblServicios[Vehículo],$BA502))</f>
        <v/>
      </c>
      <c r="R502" s="34" t="str" cm="1">
        <f t="array" ref="R502">IF($BA502="","",INDEX(tblServicios[Base imponible (€)],$BA502)-INDEX(tblServicios[Imp. suplemento (€)],$BA502))</f>
        <v/>
      </c>
      <c r="S502" s="34" t="str" cm="1">
        <f t="array" ref="S502">IF($BA502="","",INDEX(tblServicios[Imp. suplemento (€)],$BA502))</f>
        <v/>
      </c>
      <c r="T502" t="str" cm="1">
        <f t="array" ref="T502">IF($BA502="","",INDEX(tblServicios[Tipo suplemento],$BA502))</f>
        <v/>
      </c>
      <c r="U502" s="2" t="str">
        <f t="shared" si="9"/>
        <v/>
      </c>
      <c r="V502" t="str" cm="1">
        <f t="array" ref="V502">IF($BA502="","",IF(INDEX(tblServicios[Conductor],$BA502)=$T$2,"Conductor",IF(INDEX(tblServicios[Personal adicional],$BA502)=$T$2,"Personal adicional","")))</f>
        <v/>
      </c>
      <c r="BA502" s="33" t="str" cm="1">
        <f t="array" ref="BA5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adicional]=$T$2))&gt;0)),ROW(A504)),"")</f>
        <v/>
      </c>
    </row>
    <row r="503" spans="15:53" x14ac:dyDescent="0.35">
      <c r="O503" s="1" t="str" cm="1">
        <f t="array" ref="O503">IF($BA503="","",INDEX(tblServicios[Fecha],$BA503))</f>
        <v/>
      </c>
      <c r="P503" t="str" cm="1">
        <f t="array" ref="P503">IF($BA503="","",INDEX(tblServicios[Contrato],$BA503))</f>
        <v/>
      </c>
      <c r="Q503" t="str" cm="1">
        <f t="array" ref="Q503">IF($BA503="","",INDEX(tblServicios[Vehículo],$BA503))</f>
        <v/>
      </c>
      <c r="R503" s="34" t="str" cm="1">
        <f t="array" ref="R503">IF($BA503="","",INDEX(tblServicios[Base imponible (€)],$BA503)-INDEX(tblServicios[Imp. suplemento (€)],$BA503))</f>
        <v/>
      </c>
      <c r="S503" s="34" t="str" cm="1">
        <f t="array" ref="S503">IF($BA503="","",INDEX(tblServicios[Imp. suplemento (€)],$BA503))</f>
        <v/>
      </c>
      <c r="T503" t="str" cm="1">
        <f t="array" ref="T503">IF($BA503="","",INDEX(tblServicios[Tipo suplemento],$BA503))</f>
        <v/>
      </c>
      <c r="U503" s="2" t="str">
        <f t="shared" si="9"/>
        <v/>
      </c>
      <c r="V503" t="str" cm="1">
        <f t="array" ref="V503">IF($BA503="","",IF(INDEX(tblServicios[Conductor],$BA503)=$T$2,"Conductor",IF(INDEX(tblServicios[Personal adicional],$BA503)=$T$2,"Personal adicional","")))</f>
        <v/>
      </c>
      <c r="BA503" s="33" t="str" cm="1">
        <f t="array" ref="BA5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adicional]=$T$2))&gt;0)),ROW(A505)),"")</f>
        <v/>
      </c>
    </row>
    <row r="504" spans="15:53" x14ac:dyDescent="0.35">
      <c r="O504" s="1" t="str" cm="1">
        <f t="array" ref="O504">IF($BA504="","",INDEX(tblServicios[Fecha],$BA504))</f>
        <v/>
      </c>
      <c r="P504" t="str" cm="1">
        <f t="array" ref="P504">IF($BA504="","",INDEX(tblServicios[Contrato],$BA504))</f>
        <v/>
      </c>
      <c r="Q504" t="str" cm="1">
        <f t="array" ref="Q504">IF($BA504="","",INDEX(tblServicios[Vehículo],$BA504))</f>
        <v/>
      </c>
      <c r="R504" s="34" t="str" cm="1">
        <f t="array" ref="R504">IF($BA504="","",INDEX(tblServicios[Base imponible (€)],$BA504)-INDEX(tblServicios[Imp. suplemento (€)],$BA504))</f>
        <v/>
      </c>
      <c r="S504" s="34" t="str" cm="1">
        <f t="array" ref="S504">IF($BA504="","",INDEX(tblServicios[Imp. suplemento (€)],$BA504))</f>
        <v/>
      </c>
      <c r="T504" t="str" cm="1">
        <f t="array" ref="T504">IF($BA504="","",INDEX(tblServicios[Tipo suplemento],$BA504))</f>
        <v/>
      </c>
      <c r="U504" s="2" t="str">
        <f t="shared" si="9"/>
        <v/>
      </c>
      <c r="V504" t="str" cm="1">
        <f t="array" ref="V504">IF($BA504="","",IF(INDEX(tblServicios[Conductor],$BA504)=$T$2,"Conductor",IF(INDEX(tblServicios[Personal adicional],$BA504)=$T$2,"Personal adicional","")))</f>
        <v/>
      </c>
      <c r="BA504" s="33" t="str" cm="1">
        <f t="array" ref="BA5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adicional]=$T$2))&gt;0)),ROW(A506)),"")</f>
        <v/>
      </c>
    </row>
    <row r="505" spans="15:53" x14ac:dyDescent="0.35">
      <c r="O505" s="1" t="str" cm="1">
        <f t="array" ref="O505">IF($BA505="","",INDEX(tblServicios[Fecha],$BA505))</f>
        <v/>
      </c>
      <c r="P505" t="str" cm="1">
        <f t="array" ref="P505">IF($BA505="","",INDEX(tblServicios[Contrato],$BA505))</f>
        <v/>
      </c>
      <c r="Q505" t="str" cm="1">
        <f t="array" ref="Q505">IF($BA505="","",INDEX(tblServicios[Vehículo],$BA505))</f>
        <v/>
      </c>
      <c r="R505" s="34" t="str" cm="1">
        <f t="array" ref="R505">IF($BA505="","",INDEX(tblServicios[Base imponible (€)],$BA505)-INDEX(tblServicios[Imp. suplemento (€)],$BA505))</f>
        <v/>
      </c>
      <c r="S505" s="34" t="str" cm="1">
        <f t="array" ref="S505">IF($BA505="","",INDEX(tblServicios[Imp. suplemento (€)],$BA505))</f>
        <v/>
      </c>
      <c r="T505" t="str" cm="1">
        <f t="array" ref="T505">IF($BA505="","",INDEX(tblServicios[Tipo suplemento],$BA505))</f>
        <v/>
      </c>
      <c r="U505" s="2" t="str">
        <f t="shared" si="9"/>
        <v/>
      </c>
      <c r="V505" t="str" cm="1">
        <f t="array" ref="V505">IF($BA505="","",IF(INDEX(tblServicios[Conductor],$BA505)=$T$2,"Conductor",IF(INDEX(tblServicios[Personal adicional],$BA505)=$T$2,"Personal adicional","")))</f>
        <v/>
      </c>
      <c r="BA505" s="33" t="str" cm="1">
        <f t="array" ref="BA5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adicional]=$T$2))&gt;0)),ROW(A507)),"")</f>
        <v/>
      </c>
    </row>
    <row r="506" spans="15:53" x14ac:dyDescent="0.35">
      <c r="O506" s="1" t="str" cm="1">
        <f t="array" ref="O506">IF($BA506="","",INDEX(tblServicios[Fecha],$BA506))</f>
        <v/>
      </c>
      <c r="P506" t="str" cm="1">
        <f t="array" ref="P506">IF($BA506="","",INDEX(tblServicios[Contrato],$BA506))</f>
        <v/>
      </c>
      <c r="Q506" t="str" cm="1">
        <f t="array" ref="Q506">IF($BA506="","",INDEX(tblServicios[Vehículo],$BA506))</f>
        <v/>
      </c>
      <c r="R506" s="34" t="str" cm="1">
        <f t="array" ref="R506">IF($BA506="","",INDEX(tblServicios[Base imponible (€)],$BA506)-INDEX(tblServicios[Imp. suplemento (€)],$BA506))</f>
        <v/>
      </c>
      <c r="S506" s="34" t="str" cm="1">
        <f t="array" ref="S506">IF($BA506="","",INDEX(tblServicios[Imp. suplemento (€)],$BA506))</f>
        <v/>
      </c>
      <c r="T506" t="str" cm="1">
        <f t="array" ref="T506">IF($BA506="","",INDEX(tblServicios[Tipo suplemento],$BA506))</f>
        <v/>
      </c>
      <c r="U506" s="2" t="str">
        <f t="shared" si="9"/>
        <v/>
      </c>
      <c r="V506" t="str" cm="1">
        <f t="array" ref="V506">IF($BA506="","",IF(INDEX(tblServicios[Conductor],$BA506)=$T$2,"Conductor",IF(INDEX(tblServicios[Personal adicional],$BA506)=$T$2,"Personal adicional","")))</f>
        <v/>
      </c>
      <c r="BA506" s="33" t="str" cm="1">
        <f t="array" ref="BA5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adicional]=$T$2))&gt;0)),ROW(A508)),"")</f>
        <v/>
      </c>
    </row>
    <row r="507" spans="15:53" x14ac:dyDescent="0.35">
      <c r="O507" s="1" t="str" cm="1">
        <f t="array" ref="O507">IF($BA507="","",INDEX(tblServicios[Fecha],$BA507))</f>
        <v/>
      </c>
      <c r="P507" t="str" cm="1">
        <f t="array" ref="P507">IF($BA507="","",INDEX(tblServicios[Contrato],$BA507))</f>
        <v/>
      </c>
      <c r="Q507" t="str" cm="1">
        <f t="array" ref="Q507">IF($BA507="","",INDEX(tblServicios[Vehículo],$BA507))</f>
        <v/>
      </c>
      <c r="R507" s="34" t="str" cm="1">
        <f t="array" ref="R507">IF($BA507="","",INDEX(tblServicios[Base imponible (€)],$BA507)-INDEX(tblServicios[Imp. suplemento (€)],$BA507))</f>
        <v/>
      </c>
      <c r="S507" s="34" t="str" cm="1">
        <f t="array" ref="S507">IF($BA507="","",INDEX(tblServicios[Imp. suplemento (€)],$BA507))</f>
        <v/>
      </c>
      <c r="T507" t="str" cm="1">
        <f t="array" ref="T507">IF($BA507="","",INDEX(tblServicios[Tipo suplemento],$BA507))</f>
        <v/>
      </c>
      <c r="U507" s="2" t="str">
        <f t="shared" si="9"/>
        <v/>
      </c>
      <c r="V507" t="str" cm="1">
        <f t="array" ref="V507">IF($BA507="","",IF(INDEX(tblServicios[Conductor],$BA507)=$T$2,"Conductor",IF(INDEX(tblServicios[Personal adicional],$BA507)=$T$2,"Personal adicional","")))</f>
        <v/>
      </c>
      <c r="BA507" s="33" t="str" cm="1">
        <f t="array" ref="BA5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adicional]=$T$2))&gt;0)),ROW(A509)),"")</f>
        <v/>
      </c>
    </row>
    <row r="508" spans="15:53" x14ac:dyDescent="0.35">
      <c r="O508" s="1" t="str" cm="1">
        <f t="array" ref="O508">IF($BA508="","",INDEX(tblServicios[Fecha],$BA508))</f>
        <v/>
      </c>
      <c r="P508" t="str" cm="1">
        <f t="array" ref="P508">IF($BA508="","",INDEX(tblServicios[Contrato],$BA508))</f>
        <v/>
      </c>
      <c r="Q508" t="str" cm="1">
        <f t="array" ref="Q508">IF($BA508="","",INDEX(tblServicios[Vehículo],$BA508))</f>
        <v/>
      </c>
      <c r="R508" s="34" t="str" cm="1">
        <f t="array" ref="R508">IF($BA508="","",INDEX(tblServicios[Base imponible (€)],$BA508)-INDEX(tblServicios[Imp. suplemento (€)],$BA508))</f>
        <v/>
      </c>
      <c r="S508" s="34" t="str" cm="1">
        <f t="array" ref="S508">IF($BA508="","",INDEX(tblServicios[Imp. suplemento (€)],$BA508))</f>
        <v/>
      </c>
      <c r="T508" t="str" cm="1">
        <f t="array" ref="T508">IF($BA508="","",INDEX(tblServicios[Tipo suplemento],$BA508))</f>
        <v/>
      </c>
      <c r="U508" s="2" t="str">
        <f t="shared" si="9"/>
        <v/>
      </c>
      <c r="V508" t="str" cm="1">
        <f t="array" ref="V508">IF($BA508="","",IF(INDEX(tblServicios[Conductor],$BA508)=$T$2,"Conductor",IF(INDEX(tblServicios[Personal adicional],$BA508)=$T$2,"Personal adicional","")))</f>
        <v/>
      </c>
      <c r="BA508" s="33" t="str" cm="1">
        <f t="array" ref="BA5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adicional]=$T$2))&gt;0)),ROW(A510)),"")</f>
        <v/>
      </c>
    </row>
    <row r="509" spans="15:53" x14ac:dyDescent="0.35">
      <c r="O509" s="1" t="str" cm="1">
        <f t="array" ref="O509">IF($BA509="","",INDEX(tblServicios[Fecha],$BA509))</f>
        <v/>
      </c>
      <c r="P509" t="str" cm="1">
        <f t="array" ref="P509">IF($BA509="","",INDEX(tblServicios[Contrato],$BA509))</f>
        <v/>
      </c>
      <c r="Q509" t="str" cm="1">
        <f t="array" ref="Q509">IF($BA509="","",INDEX(tblServicios[Vehículo],$BA509))</f>
        <v/>
      </c>
      <c r="R509" s="34" t="str" cm="1">
        <f t="array" ref="R509">IF($BA509="","",INDEX(tblServicios[Base imponible (€)],$BA509)-INDEX(tblServicios[Imp. suplemento (€)],$BA509))</f>
        <v/>
      </c>
      <c r="S509" s="34" t="str" cm="1">
        <f t="array" ref="S509">IF($BA509="","",INDEX(tblServicios[Imp. suplemento (€)],$BA509))</f>
        <v/>
      </c>
      <c r="T509" t="str" cm="1">
        <f t="array" ref="T509">IF($BA509="","",INDEX(tblServicios[Tipo suplemento],$BA509))</f>
        <v/>
      </c>
      <c r="U509" s="2" t="str">
        <f t="shared" si="9"/>
        <v/>
      </c>
      <c r="V509" t="str" cm="1">
        <f t="array" ref="V509">IF($BA509="","",IF(INDEX(tblServicios[Conductor],$BA509)=$T$2,"Conductor",IF(INDEX(tblServicios[Personal adicional],$BA509)=$T$2,"Personal adicional","")))</f>
        <v/>
      </c>
      <c r="BA509" s="33" t="str" cm="1">
        <f t="array" ref="BA5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adicional]=$T$2))&gt;0)),ROW(A511)),"")</f>
        <v/>
      </c>
    </row>
    <row r="510" spans="15:53" x14ac:dyDescent="0.35">
      <c r="O510" s="1" t="str" cm="1">
        <f t="array" ref="O510">IF($BA510="","",INDEX(tblServicios[Fecha],$BA510))</f>
        <v/>
      </c>
      <c r="P510" t="str" cm="1">
        <f t="array" ref="P510">IF($BA510="","",INDEX(tblServicios[Contrato],$BA510))</f>
        <v/>
      </c>
      <c r="Q510" t="str" cm="1">
        <f t="array" ref="Q510">IF($BA510="","",INDEX(tblServicios[Vehículo],$BA510))</f>
        <v/>
      </c>
      <c r="R510" s="34" t="str" cm="1">
        <f t="array" ref="R510">IF($BA510="","",INDEX(tblServicios[Base imponible (€)],$BA510)-INDEX(tblServicios[Imp. suplemento (€)],$BA510))</f>
        <v/>
      </c>
      <c r="S510" s="34" t="str" cm="1">
        <f t="array" ref="S510">IF($BA510="","",INDEX(tblServicios[Imp. suplemento (€)],$BA510))</f>
        <v/>
      </c>
      <c r="T510" t="str" cm="1">
        <f t="array" ref="T510">IF($BA510="","",INDEX(tblServicios[Tipo suplemento],$BA510))</f>
        <v/>
      </c>
      <c r="U510" s="2" t="str">
        <f t="shared" si="9"/>
        <v/>
      </c>
      <c r="V510" t="str" cm="1">
        <f t="array" ref="V510">IF($BA510="","",IF(INDEX(tblServicios[Conductor],$BA510)=$T$2,"Conductor",IF(INDEX(tblServicios[Personal adicional],$BA510)=$T$2,"Personal adicional","")))</f>
        <v/>
      </c>
      <c r="BA510" s="33" t="str" cm="1">
        <f t="array" ref="BA5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adicional]=$T$2))&gt;0)),ROW(A512)),"")</f>
        <v/>
      </c>
    </row>
    <row r="511" spans="15:53" x14ac:dyDescent="0.35">
      <c r="O511" s="1" t="str" cm="1">
        <f t="array" ref="O511">IF($BA511="","",INDEX(tblServicios[Fecha],$BA511))</f>
        <v/>
      </c>
      <c r="P511" t="str" cm="1">
        <f t="array" ref="P511">IF($BA511="","",INDEX(tblServicios[Contrato],$BA511))</f>
        <v/>
      </c>
      <c r="Q511" t="str" cm="1">
        <f t="array" ref="Q511">IF($BA511="","",INDEX(tblServicios[Vehículo],$BA511))</f>
        <v/>
      </c>
      <c r="R511" s="34" t="str" cm="1">
        <f t="array" ref="R511">IF($BA511="","",INDEX(tblServicios[Base imponible (€)],$BA511)-INDEX(tblServicios[Imp. suplemento (€)],$BA511))</f>
        <v/>
      </c>
      <c r="S511" s="34" t="str" cm="1">
        <f t="array" ref="S511">IF($BA511="","",INDEX(tblServicios[Imp. suplemento (€)],$BA511))</f>
        <v/>
      </c>
      <c r="T511" t="str" cm="1">
        <f t="array" ref="T511">IF($BA511="","",INDEX(tblServicios[Tipo suplemento],$BA511))</f>
        <v/>
      </c>
      <c r="U511" s="2" t="str">
        <f t="shared" si="9"/>
        <v/>
      </c>
      <c r="V511" t="str" cm="1">
        <f t="array" ref="V511">IF($BA511="","",IF(INDEX(tblServicios[Conductor],$BA511)=$T$2,"Conductor",IF(INDEX(tblServicios[Personal adicional],$BA511)=$T$2,"Personal adicional","")))</f>
        <v/>
      </c>
      <c r="BA511" s="33" t="str" cm="1">
        <f t="array" ref="BA5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adicional]=$T$2))&gt;0)),ROW(A513)),"")</f>
        <v/>
      </c>
    </row>
    <row r="512" spans="15:53" x14ac:dyDescent="0.35">
      <c r="O512" s="1" t="str" cm="1">
        <f t="array" ref="O512">IF($BA512="","",INDEX(tblServicios[Fecha],$BA512))</f>
        <v/>
      </c>
      <c r="P512" t="str" cm="1">
        <f t="array" ref="P512">IF($BA512="","",INDEX(tblServicios[Contrato],$BA512))</f>
        <v/>
      </c>
      <c r="Q512" t="str" cm="1">
        <f t="array" ref="Q512">IF($BA512="","",INDEX(tblServicios[Vehículo],$BA512))</f>
        <v/>
      </c>
      <c r="R512" s="34" t="str" cm="1">
        <f t="array" ref="R512">IF($BA512="","",INDEX(tblServicios[Base imponible (€)],$BA512)-INDEX(tblServicios[Imp. suplemento (€)],$BA512))</f>
        <v/>
      </c>
      <c r="S512" s="34" t="str" cm="1">
        <f t="array" ref="S512">IF($BA512="","",INDEX(tblServicios[Imp. suplemento (€)],$BA512))</f>
        <v/>
      </c>
      <c r="T512" t="str" cm="1">
        <f t="array" ref="T512">IF($BA512="","",INDEX(tblServicios[Tipo suplemento],$BA512))</f>
        <v/>
      </c>
      <c r="U512" s="2" t="str">
        <f t="shared" si="9"/>
        <v/>
      </c>
      <c r="V512" t="str" cm="1">
        <f t="array" ref="V512">IF($BA512="","",IF(INDEX(tblServicios[Conductor],$BA512)=$T$2,"Conductor",IF(INDEX(tblServicios[Personal adicional],$BA512)=$T$2,"Personal adicional","")))</f>
        <v/>
      </c>
      <c r="BA512" s="33" t="str" cm="1">
        <f t="array" ref="BA5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adicional]=$T$2))&gt;0)),ROW(A514)),"")</f>
        <v/>
      </c>
    </row>
    <row r="513" spans="15:53" x14ac:dyDescent="0.35">
      <c r="O513" s="1" t="str" cm="1">
        <f t="array" ref="O513">IF($BA513="","",INDEX(tblServicios[Fecha],$BA513))</f>
        <v/>
      </c>
      <c r="P513" t="str" cm="1">
        <f t="array" ref="P513">IF($BA513="","",INDEX(tblServicios[Contrato],$BA513))</f>
        <v/>
      </c>
      <c r="Q513" t="str" cm="1">
        <f t="array" ref="Q513">IF($BA513="","",INDEX(tblServicios[Vehículo],$BA513))</f>
        <v/>
      </c>
      <c r="R513" s="34" t="str" cm="1">
        <f t="array" ref="R513">IF($BA513="","",INDEX(tblServicios[Base imponible (€)],$BA513)-INDEX(tblServicios[Imp. suplemento (€)],$BA513))</f>
        <v/>
      </c>
      <c r="S513" s="34" t="str" cm="1">
        <f t="array" ref="S513">IF($BA513="","",INDEX(tblServicios[Imp. suplemento (€)],$BA513))</f>
        <v/>
      </c>
      <c r="T513" t="str" cm="1">
        <f t="array" ref="T513">IF($BA513="","",INDEX(tblServicios[Tipo suplemento],$BA513))</f>
        <v/>
      </c>
      <c r="U513" s="2" t="str">
        <f t="shared" si="9"/>
        <v/>
      </c>
      <c r="V513" t="str" cm="1">
        <f t="array" ref="V513">IF($BA513="","",IF(INDEX(tblServicios[Conductor],$BA513)=$T$2,"Conductor",IF(INDEX(tblServicios[Personal adicional],$BA513)=$T$2,"Personal adicional","")))</f>
        <v/>
      </c>
      <c r="BA513" s="33" t="str" cm="1">
        <f t="array" ref="BA5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adicional]=$T$2))&gt;0)),ROW(A515)),"")</f>
        <v/>
      </c>
    </row>
    <row r="514" spans="15:53" x14ac:dyDescent="0.35">
      <c r="O514" s="1" t="str" cm="1">
        <f t="array" ref="O514">IF($BA514="","",INDEX(tblServicios[Fecha],$BA514))</f>
        <v/>
      </c>
      <c r="P514" t="str" cm="1">
        <f t="array" ref="P514">IF($BA514="","",INDEX(tblServicios[Contrato],$BA514))</f>
        <v/>
      </c>
      <c r="Q514" t="str" cm="1">
        <f t="array" ref="Q514">IF($BA514="","",INDEX(tblServicios[Vehículo],$BA514))</f>
        <v/>
      </c>
      <c r="R514" s="34" t="str" cm="1">
        <f t="array" ref="R514">IF($BA514="","",INDEX(tblServicios[Base imponible (€)],$BA514)-INDEX(tblServicios[Imp. suplemento (€)],$BA514))</f>
        <v/>
      </c>
      <c r="S514" s="34" t="str" cm="1">
        <f t="array" ref="S514">IF($BA514="","",INDEX(tblServicios[Imp. suplemento (€)],$BA514))</f>
        <v/>
      </c>
      <c r="T514" t="str" cm="1">
        <f t="array" ref="T514">IF($BA514="","",INDEX(tblServicios[Tipo suplemento],$BA514))</f>
        <v/>
      </c>
      <c r="U514" s="2" t="str">
        <f t="shared" si="9"/>
        <v/>
      </c>
      <c r="V514" t="str" cm="1">
        <f t="array" ref="V514">IF($BA514="","",IF(INDEX(tblServicios[Conductor],$BA514)=$T$2,"Conductor",IF(INDEX(tblServicios[Personal adicional],$BA514)=$T$2,"Personal adicional","")))</f>
        <v/>
      </c>
      <c r="BA514" s="33" t="str" cm="1">
        <f t="array" ref="BA5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adicional]=$T$2))&gt;0)),ROW(A516)),"")</f>
        <v/>
      </c>
    </row>
    <row r="515" spans="15:53" x14ac:dyDescent="0.35">
      <c r="O515" s="1" t="str" cm="1">
        <f t="array" ref="O515">IF($BA515="","",INDEX(tblServicios[Fecha],$BA515))</f>
        <v/>
      </c>
      <c r="P515" t="str" cm="1">
        <f t="array" ref="P515">IF($BA515="","",INDEX(tblServicios[Contrato],$BA515))</f>
        <v/>
      </c>
      <c r="Q515" t="str" cm="1">
        <f t="array" ref="Q515">IF($BA515="","",INDEX(tblServicios[Vehículo],$BA515))</f>
        <v/>
      </c>
      <c r="R515" s="34" t="str" cm="1">
        <f t="array" ref="R515">IF($BA515="","",INDEX(tblServicios[Base imponible (€)],$BA515)-INDEX(tblServicios[Imp. suplemento (€)],$BA515))</f>
        <v/>
      </c>
      <c r="S515" s="34" t="str" cm="1">
        <f t="array" ref="S515">IF($BA515="","",INDEX(tblServicios[Imp. suplemento (€)],$BA515))</f>
        <v/>
      </c>
      <c r="T515" t="str" cm="1">
        <f t="array" ref="T515">IF($BA515="","",INDEX(tblServicios[Tipo suplemento],$BA515))</f>
        <v/>
      </c>
      <c r="U515" s="2" t="str">
        <f t="shared" si="9"/>
        <v/>
      </c>
      <c r="V515" t="str" cm="1">
        <f t="array" ref="V515">IF($BA515="","",IF(INDEX(tblServicios[Conductor],$BA515)=$T$2,"Conductor",IF(INDEX(tblServicios[Personal adicional],$BA515)=$T$2,"Personal adicional","")))</f>
        <v/>
      </c>
      <c r="BA515" s="33" t="str" cm="1">
        <f t="array" ref="BA5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adicional]=$T$2))&gt;0)),ROW(A517)),"")</f>
        <v/>
      </c>
    </row>
    <row r="516" spans="15:53" x14ac:dyDescent="0.35">
      <c r="O516" s="1" t="str" cm="1">
        <f t="array" ref="O516">IF($BA516="","",INDEX(tblServicios[Fecha],$BA516))</f>
        <v/>
      </c>
      <c r="P516" t="str" cm="1">
        <f t="array" ref="P516">IF($BA516="","",INDEX(tblServicios[Contrato],$BA516))</f>
        <v/>
      </c>
      <c r="Q516" t="str" cm="1">
        <f t="array" ref="Q516">IF($BA516="","",INDEX(tblServicios[Vehículo],$BA516))</f>
        <v/>
      </c>
      <c r="R516" s="34" t="str" cm="1">
        <f t="array" ref="R516">IF($BA516="","",INDEX(tblServicios[Base imponible (€)],$BA516)-INDEX(tblServicios[Imp. suplemento (€)],$BA516))</f>
        <v/>
      </c>
      <c r="S516" s="34" t="str" cm="1">
        <f t="array" ref="S516">IF($BA516="","",INDEX(tblServicios[Imp. suplemento (€)],$BA516))</f>
        <v/>
      </c>
      <c r="T516" t="str" cm="1">
        <f t="array" ref="T516">IF($BA516="","",INDEX(tblServicios[Tipo suplemento],$BA516))</f>
        <v/>
      </c>
      <c r="U516" s="2" t="str">
        <f t="shared" si="9"/>
        <v/>
      </c>
      <c r="V516" t="str" cm="1">
        <f t="array" ref="V516">IF($BA516="","",IF(INDEX(tblServicios[Conductor],$BA516)=$T$2,"Conductor",IF(INDEX(tblServicios[Personal adicional],$BA516)=$T$2,"Personal adicional","")))</f>
        <v/>
      </c>
      <c r="BA516" s="33" t="str" cm="1">
        <f t="array" ref="BA5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adicional]=$T$2))&gt;0)),ROW(A518)),"")</f>
        <v/>
      </c>
    </row>
    <row r="517" spans="15:53" x14ac:dyDescent="0.35">
      <c r="O517" s="1" t="str" cm="1">
        <f t="array" ref="O517">IF($BA517="","",INDEX(tblServicios[Fecha],$BA517))</f>
        <v/>
      </c>
      <c r="P517" t="str" cm="1">
        <f t="array" ref="P517">IF($BA517="","",INDEX(tblServicios[Contrato],$BA517))</f>
        <v/>
      </c>
      <c r="Q517" t="str" cm="1">
        <f t="array" ref="Q517">IF($BA517="","",INDEX(tblServicios[Vehículo],$BA517))</f>
        <v/>
      </c>
      <c r="R517" s="34" t="str" cm="1">
        <f t="array" ref="R517">IF($BA517="","",INDEX(tblServicios[Base imponible (€)],$BA517)-INDEX(tblServicios[Imp. suplemento (€)],$BA517))</f>
        <v/>
      </c>
      <c r="S517" s="34" t="str" cm="1">
        <f t="array" ref="S517">IF($BA517="","",INDEX(tblServicios[Imp. suplemento (€)],$BA517))</f>
        <v/>
      </c>
      <c r="T517" t="str" cm="1">
        <f t="array" ref="T517">IF($BA517="","",INDEX(tblServicios[Tipo suplemento],$BA517))</f>
        <v/>
      </c>
      <c r="U517" s="2" t="str">
        <f t="shared" si="9"/>
        <v/>
      </c>
      <c r="V517" t="str" cm="1">
        <f t="array" ref="V517">IF($BA517="","",IF(INDEX(tblServicios[Conductor],$BA517)=$T$2,"Conductor",IF(INDEX(tblServicios[Personal adicional],$BA517)=$T$2,"Personal adicional","")))</f>
        <v/>
      </c>
      <c r="BA517" s="33" t="str" cm="1">
        <f t="array" ref="BA5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adicional]=$T$2))&gt;0)),ROW(A519)),"")</f>
        <v/>
      </c>
    </row>
    <row r="518" spans="15:53" x14ac:dyDescent="0.35">
      <c r="O518" s="1" t="str" cm="1">
        <f t="array" ref="O518">IF($BA518="","",INDEX(tblServicios[Fecha],$BA518))</f>
        <v/>
      </c>
      <c r="P518" t="str" cm="1">
        <f t="array" ref="P518">IF($BA518="","",INDEX(tblServicios[Contrato],$BA518))</f>
        <v/>
      </c>
      <c r="Q518" t="str" cm="1">
        <f t="array" ref="Q518">IF($BA518="","",INDEX(tblServicios[Vehículo],$BA518))</f>
        <v/>
      </c>
      <c r="R518" s="34" t="str" cm="1">
        <f t="array" ref="R518">IF($BA518="","",INDEX(tblServicios[Base imponible (€)],$BA518)-INDEX(tblServicios[Imp. suplemento (€)],$BA518))</f>
        <v/>
      </c>
      <c r="S518" s="34" t="str" cm="1">
        <f t="array" ref="S518">IF($BA518="","",INDEX(tblServicios[Imp. suplemento (€)],$BA518))</f>
        <v/>
      </c>
      <c r="T518" t="str" cm="1">
        <f t="array" ref="T518">IF($BA518="","",INDEX(tblServicios[Tipo suplemento],$BA518))</f>
        <v/>
      </c>
      <c r="U518" s="2" t="str">
        <f t="shared" si="9"/>
        <v/>
      </c>
      <c r="V518" t="str" cm="1">
        <f t="array" ref="V518">IF($BA518="","",IF(INDEX(tblServicios[Conductor],$BA518)=$T$2,"Conductor",IF(INDEX(tblServicios[Personal adicional],$BA518)=$T$2,"Personal adicional","")))</f>
        <v/>
      </c>
      <c r="BA518" s="33" t="str" cm="1">
        <f t="array" ref="BA5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adicional]=$T$2))&gt;0)),ROW(A520)),"")</f>
        <v/>
      </c>
    </row>
    <row r="519" spans="15:53" x14ac:dyDescent="0.35">
      <c r="O519" s="1" t="str" cm="1">
        <f t="array" ref="O519">IF($BA519="","",INDEX(tblServicios[Fecha],$BA519))</f>
        <v/>
      </c>
      <c r="P519" t="str" cm="1">
        <f t="array" ref="P519">IF($BA519="","",INDEX(tblServicios[Contrato],$BA519))</f>
        <v/>
      </c>
      <c r="Q519" t="str" cm="1">
        <f t="array" ref="Q519">IF($BA519="","",INDEX(tblServicios[Vehículo],$BA519))</f>
        <v/>
      </c>
      <c r="R519" s="34" t="str" cm="1">
        <f t="array" ref="R519">IF($BA519="","",INDEX(tblServicios[Base imponible (€)],$BA519)-INDEX(tblServicios[Imp. suplemento (€)],$BA519))</f>
        <v/>
      </c>
      <c r="S519" s="34" t="str" cm="1">
        <f t="array" ref="S519">IF($BA519="","",INDEX(tblServicios[Imp. suplemento (€)],$BA519))</f>
        <v/>
      </c>
      <c r="T519" t="str" cm="1">
        <f t="array" ref="T519">IF($BA519="","",INDEX(tblServicios[Tipo suplemento],$BA519))</f>
        <v/>
      </c>
      <c r="U519" s="2" t="str">
        <f t="shared" ref="U519:U582" si="10">IF($BA519="","",R519+S519)</f>
        <v/>
      </c>
      <c r="V519" t="str" cm="1">
        <f t="array" ref="V519">IF($BA519="","",IF(INDEX(tblServicios[Conductor],$BA519)=$T$2,"Conductor",IF(INDEX(tblServicios[Personal adicional],$BA519)=$T$2,"Personal adicional","")))</f>
        <v/>
      </c>
      <c r="BA519" s="33" t="str" cm="1">
        <f t="array" ref="BA5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adicional]=$T$2))&gt;0)),ROW(A521)),"")</f>
        <v/>
      </c>
    </row>
    <row r="520" spans="15:53" x14ac:dyDescent="0.35">
      <c r="O520" s="1" t="str" cm="1">
        <f t="array" ref="O520">IF($BA520="","",INDEX(tblServicios[Fecha],$BA520))</f>
        <v/>
      </c>
      <c r="P520" t="str" cm="1">
        <f t="array" ref="P520">IF($BA520="","",INDEX(tblServicios[Contrato],$BA520))</f>
        <v/>
      </c>
      <c r="Q520" t="str" cm="1">
        <f t="array" ref="Q520">IF($BA520="","",INDEX(tblServicios[Vehículo],$BA520))</f>
        <v/>
      </c>
      <c r="R520" s="34" t="str" cm="1">
        <f t="array" ref="R520">IF($BA520="","",INDEX(tblServicios[Base imponible (€)],$BA520)-INDEX(tblServicios[Imp. suplemento (€)],$BA520))</f>
        <v/>
      </c>
      <c r="S520" s="34" t="str" cm="1">
        <f t="array" ref="S520">IF($BA520="","",INDEX(tblServicios[Imp. suplemento (€)],$BA520))</f>
        <v/>
      </c>
      <c r="T520" t="str" cm="1">
        <f t="array" ref="T520">IF($BA520="","",INDEX(tblServicios[Tipo suplemento],$BA520))</f>
        <v/>
      </c>
      <c r="U520" s="2" t="str">
        <f t="shared" si="10"/>
        <v/>
      </c>
      <c r="V520" t="str" cm="1">
        <f t="array" ref="V520">IF($BA520="","",IF(INDEX(tblServicios[Conductor],$BA520)=$T$2,"Conductor",IF(INDEX(tblServicios[Personal adicional],$BA520)=$T$2,"Personal adicional","")))</f>
        <v/>
      </c>
      <c r="BA520" s="33" t="str" cm="1">
        <f t="array" ref="BA5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adicional]=$T$2))&gt;0)),ROW(A522)),"")</f>
        <v/>
      </c>
    </row>
    <row r="521" spans="15:53" x14ac:dyDescent="0.35">
      <c r="O521" s="1" t="str" cm="1">
        <f t="array" ref="O521">IF($BA521="","",INDEX(tblServicios[Fecha],$BA521))</f>
        <v/>
      </c>
      <c r="P521" t="str" cm="1">
        <f t="array" ref="P521">IF($BA521="","",INDEX(tblServicios[Contrato],$BA521))</f>
        <v/>
      </c>
      <c r="Q521" t="str" cm="1">
        <f t="array" ref="Q521">IF($BA521="","",INDEX(tblServicios[Vehículo],$BA521))</f>
        <v/>
      </c>
      <c r="R521" s="34" t="str" cm="1">
        <f t="array" ref="R521">IF($BA521="","",INDEX(tblServicios[Base imponible (€)],$BA521)-INDEX(tblServicios[Imp. suplemento (€)],$BA521))</f>
        <v/>
      </c>
      <c r="S521" s="34" t="str" cm="1">
        <f t="array" ref="S521">IF($BA521="","",INDEX(tblServicios[Imp. suplemento (€)],$BA521))</f>
        <v/>
      </c>
      <c r="T521" t="str" cm="1">
        <f t="array" ref="T521">IF($BA521="","",INDEX(tblServicios[Tipo suplemento],$BA521))</f>
        <v/>
      </c>
      <c r="U521" s="2" t="str">
        <f t="shared" si="10"/>
        <v/>
      </c>
      <c r="V521" t="str" cm="1">
        <f t="array" ref="V521">IF($BA521="","",IF(INDEX(tblServicios[Conductor],$BA521)=$T$2,"Conductor",IF(INDEX(tblServicios[Personal adicional],$BA521)=$T$2,"Personal adicional","")))</f>
        <v/>
      </c>
      <c r="BA521" s="33" t="str" cm="1">
        <f t="array" ref="BA5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adicional]=$T$2))&gt;0)),ROW(A523)),"")</f>
        <v/>
      </c>
    </row>
    <row r="522" spans="15:53" x14ac:dyDescent="0.35">
      <c r="O522" s="1" t="str" cm="1">
        <f t="array" ref="O522">IF($BA522="","",INDEX(tblServicios[Fecha],$BA522))</f>
        <v/>
      </c>
      <c r="P522" t="str" cm="1">
        <f t="array" ref="P522">IF($BA522="","",INDEX(tblServicios[Contrato],$BA522))</f>
        <v/>
      </c>
      <c r="Q522" t="str" cm="1">
        <f t="array" ref="Q522">IF($BA522="","",INDEX(tblServicios[Vehículo],$BA522))</f>
        <v/>
      </c>
      <c r="R522" s="34" t="str" cm="1">
        <f t="array" ref="R522">IF($BA522="","",INDEX(tblServicios[Base imponible (€)],$BA522)-INDEX(tblServicios[Imp. suplemento (€)],$BA522))</f>
        <v/>
      </c>
      <c r="S522" s="34" t="str" cm="1">
        <f t="array" ref="S522">IF($BA522="","",INDEX(tblServicios[Imp. suplemento (€)],$BA522))</f>
        <v/>
      </c>
      <c r="T522" t="str" cm="1">
        <f t="array" ref="T522">IF($BA522="","",INDEX(tblServicios[Tipo suplemento],$BA522))</f>
        <v/>
      </c>
      <c r="U522" s="2" t="str">
        <f t="shared" si="10"/>
        <v/>
      </c>
      <c r="V522" t="str" cm="1">
        <f t="array" ref="V522">IF($BA522="","",IF(INDEX(tblServicios[Conductor],$BA522)=$T$2,"Conductor",IF(INDEX(tblServicios[Personal adicional],$BA522)=$T$2,"Personal adicional","")))</f>
        <v/>
      </c>
      <c r="BA522" s="33" t="str" cm="1">
        <f t="array" ref="BA5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adicional]=$T$2))&gt;0)),ROW(A524)),"")</f>
        <v/>
      </c>
    </row>
    <row r="523" spans="15:53" x14ac:dyDescent="0.35">
      <c r="O523" s="1" t="str" cm="1">
        <f t="array" ref="O523">IF($BA523="","",INDEX(tblServicios[Fecha],$BA523))</f>
        <v/>
      </c>
      <c r="P523" t="str" cm="1">
        <f t="array" ref="P523">IF($BA523="","",INDEX(tblServicios[Contrato],$BA523))</f>
        <v/>
      </c>
      <c r="Q523" t="str" cm="1">
        <f t="array" ref="Q523">IF($BA523="","",INDEX(tblServicios[Vehículo],$BA523))</f>
        <v/>
      </c>
      <c r="R523" s="34" t="str" cm="1">
        <f t="array" ref="R523">IF($BA523="","",INDEX(tblServicios[Base imponible (€)],$BA523)-INDEX(tblServicios[Imp. suplemento (€)],$BA523))</f>
        <v/>
      </c>
      <c r="S523" s="34" t="str" cm="1">
        <f t="array" ref="S523">IF($BA523="","",INDEX(tblServicios[Imp. suplemento (€)],$BA523))</f>
        <v/>
      </c>
      <c r="T523" t="str" cm="1">
        <f t="array" ref="T523">IF($BA523="","",INDEX(tblServicios[Tipo suplemento],$BA523))</f>
        <v/>
      </c>
      <c r="U523" s="2" t="str">
        <f t="shared" si="10"/>
        <v/>
      </c>
      <c r="V523" t="str" cm="1">
        <f t="array" ref="V523">IF($BA523="","",IF(INDEX(tblServicios[Conductor],$BA523)=$T$2,"Conductor",IF(INDEX(tblServicios[Personal adicional],$BA523)=$T$2,"Personal adicional","")))</f>
        <v/>
      </c>
      <c r="BA523" s="33" t="str" cm="1">
        <f t="array" ref="BA5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adicional]=$T$2))&gt;0)),ROW(A525)),"")</f>
        <v/>
      </c>
    </row>
    <row r="524" spans="15:53" x14ac:dyDescent="0.35">
      <c r="O524" s="1" t="str" cm="1">
        <f t="array" ref="O524">IF($BA524="","",INDEX(tblServicios[Fecha],$BA524))</f>
        <v/>
      </c>
      <c r="P524" t="str" cm="1">
        <f t="array" ref="P524">IF($BA524="","",INDEX(tblServicios[Contrato],$BA524))</f>
        <v/>
      </c>
      <c r="Q524" t="str" cm="1">
        <f t="array" ref="Q524">IF($BA524="","",INDEX(tblServicios[Vehículo],$BA524))</f>
        <v/>
      </c>
      <c r="R524" s="34" t="str" cm="1">
        <f t="array" ref="R524">IF($BA524="","",INDEX(tblServicios[Base imponible (€)],$BA524)-INDEX(tblServicios[Imp. suplemento (€)],$BA524))</f>
        <v/>
      </c>
      <c r="S524" s="34" t="str" cm="1">
        <f t="array" ref="S524">IF($BA524="","",INDEX(tblServicios[Imp. suplemento (€)],$BA524))</f>
        <v/>
      </c>
      <c r="T524" t="str" cm="1">
        <f t="array" ref="T524">IF($BA524="","",INDEX(tblServicios[Tipo suplemento],$BA524))</f>
        <v/>
      </c>
      <c r="U524" s="2" t="str">
        <f t="shared" si="10"/>
        <v/>
      </c>
      <c r="V524" t="str" cm="1">
        <f t="array" ref="V524">IF($BA524="","",IF(INDEX(tblServicios[Conductor],$BA524)=$T$2,"Conductor",IF(INDEX(tblServicios[Personal adicional],$BA524)=$T$2,"Personal adicional","")))</f>
        <v/>
      </c>
      <c r="BA524" s="33" t="str" cm="1">
        <f t="array" ref="BA5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adicional]=$T$2))&gt;0)),ROW(A526)),"")</f>
        <v/>
      </c>
    </row>
    <row r="525" spans="15:53" x14ac:dyDescent="0.35">
      <c r="O525" s="1" t="str" cm="1">
        <f t="array" ref="O525">IF($BA525="","",INDEX(tblServicios[Fecha],$BA525))</f>
        <v/>
      </c>
      <c r="P525" t="str" cm="1">
        <f t="array" ref="P525">IF($BA525="","",INDEX(tblServicios[Contrato],$BA525))</f>
        <v/>
      </c>
      <c r="Q525" t="str" cm="1">
        <f t="array" ref="Q525">IF($BA525="","",INDEX(tblServicios[Vehículo],$BA525))</f>
        <v/>
      </c>
      <c r="R525" s="34" t="str" cm="1">
        <f t="array" ref="R525">IF($BA525="","",INDEX(tblServicios[Base imponible (€)],$BA525)-INDEX(tblServicios[Imp. suplemento (€)],$BA525))</f>
        <v/>
      </c>
      <c r="S525" s="34" t="str" cm="1">
        <f t="array" ref="S525">IF($BA525="","",INDEX(tblServicios[Imp. suplemento (€)],$BA525))</f>
        <v/>
      </c>
      <c r="T525" t="str" cm="1">
        <f t="array" ref="T525">IF($BA525="","",INDEX(tblServicios[Tipo suplemento],$BA525))</f>
        <v/>
      </c>
      <c r="U525" s="2" t="str">
        <f t="shared" si="10"/>
        <v/>
      </c>
      <c r="V525" t="str" cm="1">
        <f t="array" ref="V525">IF($BA525="","",IF(INDEX(tblServicios[Conductor],$BA525)=$T$2,"Conductor",IF(INDEX(tblServicios[Personal adicional],$BA525)=$T$2,"Personal adicional","")))</f>
        <v/>
      </c>
      <c r="BA525" s="33" t="str" cm="1">
        <f t="array" ref="BA5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adicional]=$T$2))&gt;0)),ROW(A527)),"")</f>
        <v/>
      </c>
    </row>
    <row r="526" spans="15:53" x14ac:dyDescent="0.35">
      <c r="O526" s="1" t="str" cm="1">
        <f t="array" ref="O526">IF($BA526="","",INDEX(tblServicios[Fecha],$BA526))</f>
        <v/>
      </c>
      <c r="P526" t="str" cm="1">
        <f t="array" ref="P526">IF($BA526="","",INDEX(tblServicios[Contrato],$BA526))</f>
        <v/>
      </c>
      <c r="Q526" t="str" cm="1">
        <f t="array" ref="Q526">IF($BA526="","",INDEX(tblServicios[Vehículo],$BA526))</f>
        <v/>
      </c>
      <c r="R526" s="34" t="str" cm="1">
        <f t="array" ref="R526">IF($BA526="","",INDEX(tblServicios[Base imponible (€)],$BA526)-INDEX(tblServicios[Imp. suplemento (€)],$BA526))</f>
        <v/>
      </c>
      <c r="S526" s="34" t="str" cm="1">
        <f t="array" ref="S526">IF($BA526="","",INDEX(tblServicios[Imp. suplemento (€)],$BA526))</f>
        <v/>
      </c>
      <c r="T526" t="str" cm="1">
        <f t="array" ref="T526">IF($BA526="","",INDEX(tblServicios[Tipo suplemento],$BA526))</f>
        <v/>
      </c>
      <c r="U526" s="2" t="str">
        <f t="shared" si="10"/>
        <v/>
      </c>
      <c r="V526" t="str" cm="1">
        <f t="array" ref="V526">IF($BA526="","",IF(INDEX(tblServicios[Conductor],$BA526)=$T$2,"Conductor",IF(INDEX(tblServicios[Personal adicional],$BA526)=$T$2,"Personal adicional","")))</f>
        <v/>
      </c>
      <c r="BA526" s="33" t="str" cm="1">
        <f t="array" ref="BA5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adicional]=$T$2))&gt;0)),ROW(A528)),"")</f>
        <v/>
      </c>
    </row>
    <row r="527" spans="15:53" x14ac:dyDescent="0.35">
      <c r="O527" s="1" t="str" cm="1">
        <f t="array" ref="O527">IF($BA527="","",INDEX(tblServicios[Fecha],$BA527))</f>
        <v/>
      </c>
      <c r="P527" t="str" cm="1">
        <f t="array" ref="P527">IF($BA527="","",INDEX(tblServicios[Contrato],$BA527))</f>
        <v/>
      </c>
      <c r="Q527" t="str" cm="1">
        <f t="array" ref="Q527">IF($BA527="","",INDEX(tblServicios[Vehículo],$BA527))</f>
        <v/>
      </c>
      <c r="R527" s="34" t="str" cm="1">
        <f t="array" ref="R527">IF($BA527="","",INDEX(tblServicios[Base imponible (€)],$BA527)-INDEX(tblServicios[Imp. suplemento (€)],$BA527))</f>
        <v/>
      </c>
      <c r="S527" s="34" t="str" cm="1">
        <f t="array" ref="S527">IF($BA527="","",INDEX(tblServicios[Imp. suplemento (€)],$BA527))</f>
        <v/>
      </c>
      <c r="T527" t="str" cm="1">
        <f t="array" ref="T527">IF($BA527="","",INDEX(tblServicios[Tipo suplemento],$BA527))</f>
        <v/>
      </c>
      <c r="U527" s="2" t="str">
        <f t="shared" si="10"/>
        <v/>
      </c>
      <c r="V527" t="str" cm="1">
        <f t="array" ref="V527">IF($BA527="","",IF(INDEX(tblServicios[Conductor],$BA527)=$T$2,"Conductor",IF(INDEX(tblServicios[Personal adicional],$BA527)=$T$2,"Personal adicional","")))</f>
        <v/>
      </c>
      <c r="BA527" s="33" t="str" cm="1">
        <f t="array" ref="BA5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adicional]=$T$2))&gt;0)),ROW(A529)),"")</f>
        <v/>
      </c>
    </row>
    <row r="528" spans="15:53" x14ac:dyDescent="0.35">
      <c r="O528" s="1" t="str" cm="1">
        <f t="array" ref="O528">IF($BA528="","",INDEX(tblServicios[Fecha],$BA528))</f>
        <v/>
      </c>
      <c r="P528" t="str" cm="1">
        <f t="array" ref="P528">IF($BA528="","",INDEX(tblServicios[Contrato],$BA528))</f>
        <v/>
      </c>
      <c r="Q528" t="str" cm="1">
        <f t="array" ref="Q528">IF($BA528="","",INDEX(tblServicios[Vehículo],$BA528))</f>
        <v/>
      </c>
      <c r="R528" s="34" t="str" cm="1">
        <f t="array" ref="R528">IF($BA528="","",INDEX(tblServicios[Base imponible (€)],$BA528)-INDEX(tblServicios[Imp. suplemento (€)],$BA528))</f>
        <v/>
      </c>
      <c r="S528" s="34" t="str" cm="1">
        <f t="array" ref="S528">IF($BA528="","",INDEX(tblServicios[Imp. suplemento (€)],$BA528))</f>
        <v/>
      </c>
      <c r="T528" t="str" cm="1">
        <f t="array" ref="T528">IF($BA528="","",INDEX(tblServicios[Tipo suplemento],$BA528))</f>
        <v/>
      </c>
      <c r="U528" s="2" t="str">
        <f t="shared" si="10"/>
        <v/>
      </c>
      <c r="V528" t="str" cm="1">
        <f t="array" ref="V528">IF($BA528="","",IF(INDEX(tblServicios[Conductor],$BA528)=$T$2,"Conductor",IF(INDEX(tblServicios[Personal adicional],$BA528)=$T$2,"Personal adicional","")))</f>
        <v/>
      </c>
      <c r="BA528" s="33" t="str" cm="1">
        <f t="array" ref="BA5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adicional]=$T$2))&gt;0)),ROW(A530)),"")</f>
        <v/>
      </c>
    </row>
    <row r="529" spans="15:53" x14ac:dyDescent="0.35">
      <c r="O529" s="1" t="str" cm="1">
        <f t="array" ref="O529">IF($BA529="","",INDEX(tblServicios[Fecha],$BA529))</f>
        <v/>
      </c>
      <c r="P529" t="str" cm="1">
        <f t="array" ref="P529">IF($BA529="","",INDEX(tblServicios[Contrato],$BA529))</f>
        <v/>
      </c>
      <c r="Q529" t="str" cm="1">
        <f t="array" ref="Q529">IF($BA529="","",INDEX(tblServicios[Vehículo],$BA529))</f>
        <v/>
      </c>
      <c r="R529" s="34" t="str" cm="1">
        <f t="array" ref="R529">IF($BA529="","",INDEX(tblServicios[Base imponible (€)],$BA529)-INDEX(tblServicios[Imp. suplemento (€)],$BA529))</f>
        <v/>
      </c>
      <c r="S529" s="34" t="str" cm="1">
        <f t="array" ref="S529">IF($BA529="","",INDEX(tblServicios[Imp. suplemento (€)],$BA529))</f>
        <v/>
      </c>
      <c r="T529" t="str" cm="1">
        <f t="array" ref="T529">IF($BA529="","",INDEX(tblServicios[Tipo suplemento],$BA529))</f>
        <v/>
      </c>
      <c r="U529" s="2" t="str">
        <f t="shared" si="10"/>
        <v/>
      </c>
      <c r="V529" t="str" cm="1">
        <f t="array" ref="V529">IF($BA529="","",IF(INDEX(tblServicios[Conductor],$BA529)=$T$2,"Conductor",IF(INDEX(tblServicios[Personal adicional],$BA529)=$T$2,"Personal adicional","")))</f>
        <v/>
      </c>
      <c r="BA529" s="33" t="str" cm="1">
        <f t="array" ref="BA5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adicional]=$T$2))&gt;0)),ROW(A531)),"")</f>
        <v/>
      </c>
    </row>
    <row r="530" spans="15:53" x14ac:dyDescent="0.35">
      <c r="O530" s="1" t="str" cm="1">
        <f t="array" ref="O530">IF($BA530="","",INDEX(tblServicios[Fecha],$BA530))</f>
        <v/>
      </c>
      <c r="P530" t="str" cm="1">
        <f t="array" ref="P530">IF($BA530="","",INDEX(tblServicios[Contrato],$BA530))</f>
        <v/>
      </c>
      <c r="Q530" t="str" cm="1">
        <f t="array" ref="Q530">IF($BA530="","",INDEX(tblServicios[Vehículo],$BA530))</f>
        <v/>
      </c>
      <c r="R530" s="34" t="str" cm="1">
        <f t="array" ref="R530">IF($BA530="","",INDEX(tblServicios[Base imponible (€)],$BA530)-INDEX(tblServicios[Imp. suplemento (€)],$BA530))</f>
        <v/>
      </c>
      <c r="S530" s="34" t="str" cm="1">
        <f t="array" ref="S530">IF($BA530="","",INDEX(tblServicios[Imp. suplemento (€)],$BA530))</f>
        <v/>
      </c>
      <c r="T530" t="str" cm="1">
        <f t="array" ref="T530">IF($BA530="","",INDEX(tblServicios[Tipo suplemento],$BA530))</f>
        <v/>
      </c>
      <c r="U530" s="2" t="str">
        <f t="shared" si="10"/>
        <v/>
      </c>
      <c r="V530" t="str" cm="1">
        <f t="array" ref="V530">IF($BA530="","",IF(INDEX(tblServicios[Conductor],$BA530)=$T$2,"Conductor",IF(INDEX(tblServicios[Personal adicional],$BA530)=$T$2,"Personal adicional","")))</f>
        <v/>
      </c>
      <c r="BA530" s="33" t="str" cm="1">
        <f t="array" ref="BA5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adicional]=$T$2))&gt;0)),ROW(A532)),"")</f>
        <v/>
      </c>
    </row>
    <row r="531" spans="15:53" x14ac:dyDescent="0.35">
      <c r="O531" s="1" t="str" cm="1">
        <f t="array" ref="O531">IF($BA531="","",INDEX(tblServicios[Fecha],$BA531))</f>
        <v/>
      </c>
      <c r="P531" t="str" cm="1">
        <f t="array" ref="P531">IF($BA531="","",INDEX(tblServicios[Contrato],$BA531))</f>
        <v/>
      </c>
      <c r="Q531" t="str" cm="1">
        <f t="array" ref="Q531">IF($BA531="","",INDEX(tblServicios[Vehículo],$BA531))</f>
        <v/>
      </c>
      <c r="R531" s="34" t="str" cm="1">
        <f t="array" ref="R531">IF($BA531="","",INDEX(tblServicios[Base imponible (€)],$BA531)-INDEX(tblServicios[Imp. suplemento (€)],$BA531))</f>
        <v/>
      </c>
      <c r="S531" s="34" t="str" cm="1">
        <f t="array" ref="S531">IF($BA531="","",INDEX(tblServicios[Imp. suplemento (€)],$BA531))</f>
        <v/>
      </c>
      <c r="T531" t="str" cm="1">
        <f t="array" ref="T531">IF($BA531="","",INDEX(tblServicios[Tipo suplemento],$BA531))</f>
        <v/>
      </c>
      <c r="U531" s="2" t="str">
        <f t="shared" si="10"/>
        <v/>
      </c>
      <c r="V531" t="str" cm="1">
        <f t="array" ref="V531">IF($BA531="","",IF(INDEX(tblServicios[Conductor],$BA531)=$T$2,"Conductor",IF(INDEX(tblServicios[Personal adicional],$BA531)=$T$2,"Personal adicional","")))</f>
        <v/>
      </c>
      <c r="BA531" s="33" t="str" cm="1">
        <f t="array" ref="BA5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adicional]=$T$2))&gt;0)),ROW(A533)),"")</f>
        <v/>
      </c>
    </row>
    <row r="532" spans="15:53" x14ac:dyDescent="0.35">
      <c r="O532" s="1" t="str" cm="1">
        <f t="array" ref="O532">IF($BA532="","",INDEX(tblServicios[Fecha],$BA532))</f>
        <v/>
      </c>
      <c r="P532" t="str" cm="1">
        <f t="array" ref="P532">IF($BA532="","",INDEX(tblServicios[Contrato],$BA532))</f>
        <v/>
      </c>
      <c r="Q532" t="str" cm="1">
        <f t="array" ref="Q532">IF($BA532="","",INDEX(tblServicios[Vehículo],$BA532))</f>
        <v/>
      </c>
      <c r="R532" s="34" t="str" cm="1">
        <f t="array" ref="R532">IF($BA532="","",INDEX(tblServicios[Base imponible (€)],$BA532)-INDEX(tblServicios[Imp. suplemento (€)],$BA532))</f>
        <v/>
      </c>
      <c r="S532" s="34" t="str" cm="1">
        <f t="array" ref="S532">IF($BA532="","",INDEX(tblServicios[Imp. suplemento (€)],$BA532))</f>
        <v/>
      </c>
      <c r="T532" t="str" cm="1">
        <f t="array" ref="T532">IF($BA532="","",INDEX(tblServicios[Tipo suplemento],$BA532))</f>
        <v/>
      </c>
      <c r="U532" s="2" t="str">
        <f t="shared" si="10"/>
        <v/>
      </c>
      <c r="V532" t="str" cm="1">
        <f t="array" ref="V532">IF($BA532="","",IF(INDEX(tblServicios[Conductor],$BA532)=$T$2,"Conductor",IF(INDEX(tblServicios[Personal adicional],$BA532)=$T$2,"Personal adicional","")))</f>
        <v/>
      </c>
      <c r="BA532" s="33" t="str" cm="1">
        <f t="array" ref="BA5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adicional]=$T$2))&gt;0)),ROW(A534)),"")</f>
        <v/>
      </c>
    </row>
    <row r="533" spans="15:53" x14ac:dyDescent="0.35">
      <c r="O533" s="1" t="str" cm="1">
        <f t="array" ref="O533">IF($BA533="","",INDEX(tblServicios[Fecha],$BA533))</f>
        <v/>
      </c>
      <c r="P533" t="str" cm="1">
        <f t="array" ref="P533">IF($BA533="","",INDEX(tblServicios[Contrato],$BA533))</f>
        <v/>
      </c>
      <c r="Q533" t="str" cm="1">
        <f t="array" ref="Q533">IF($BA533="","",INDEX(tblServicios[Vehículo],$BA533))</f>
        <v/>
      </c>
      <c r="R533" s="34" t="str" cm="1">
        <f t="array" ref="R533">IF($BA533="","",INDEX(tblServicios[Base imponible (€)],$BA533)-INDEX(tblServicios[Imp. suplemento (€)],$BA533))</f>
        <v/>
      </c>
      <c r="S533" s="34" t="str" cm="1">
        <f t="array" ref="S533">IF($BA533="","",INDEX(tblServicios[Imp. suplemento (€)],$BA533))</f>
        <v/>
      </c>
      <c r="T533" t="str" cm="1">
        <f t="array" ref="T533">IF($BA533="","",INDEX(tblServicios[Tipo suplemento],$BA533))</f>
        <v/>
      </c>
      <c r="U533" s="2" t="str">
        <f t="shared" si="10"/>
        <v/>
      </c>
      <c r="V533" t="str" cm="1">
        <f t="array" ref="V533">IF($BA533="","",IF(INDEX(tblServicios[Conductor],$BA533)=$T$2,"Conductor",IF(INDEX(tblServicios[Personal adicional],$BA533)=$T$2,"Personal adicional","")))</f>
        <v/>
      </c>
      <c r="BA533" s="33" t="str" cm="1">
        <f t="array" ref="BA5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adicional]=$T$2))&gt;0)),ROW(A535)),"")</f>
        <v/>
      </c>
    </row>
    <row r="534" spans="15:53" x14ac:dyDescent="0.35">
      <c r="O534" s="1" t="str" cm="1">
        <f t="array" ref="O534">IF($BA534="","",INDEX(tblServicios[Fecha],$BA534))</f>
        <v/>
      </c>
      <c r="P534" t="str" cm="1">
        <f t="array" ref="P534">IF($BA534="","",INDEX(tblServicios[Contrato],$BA534))</f>
        <v/>
      </c>
      <c r="Q534" t="str" cm="1">
        <f t="array" ref="Q534">IF($BA534="","",INDEX(tblServicios[Vehículo],$BA534))</f>
        <v/>
      </c>
      <c r="R534" s="34" t="str" cm="1">
        <f t="array" ref="R534">IF($BA534="","",INDEX(tblServicios[Base imponible (€)],$BA534)-INDEX(tblServicios[Imp. suplemento (€)],$BA534))</f>
        <v/>
      </c>
      <c r="S534" s="34" t="str" cm="1">
        <f t="array" ref="S534">IF($BA534="","",INDEX(tblServicios[Imp. suplemento (€)],$BA534))</f>
        <v/>
      </c>
      <c r="T534" t="str" cm="1">
        <f t="array" ref="T534">IF($BA534="","",INDEX(tblServicios[Tipo suplemento],$BA534))</f>
        <v/>
      </c>
      <c r="U534" s="2" t="str">
        <f t="shared" si="10"/>
        <v/>
      </c>
      <c r="V534" t="str" cm="1">
        <f t="array" ref="V534">IF($BA534="","",IF(INDEX(tblServicios[Conductor],$BA534)=$T$2,"Conductor",IF(INDEX(tblServicios[Personal adicional],$BA534)=$T$2,"Personal adicional","")))</f>
        <v/>
      </c>
      <c r="BA534" s="33" t="str" cm="1">
        <f t="array" ref="BA5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adicional]=$T$2))&gt;0)),ROW(A536)),"")</f>
        <v/>
      </c>
    </row>
    <row r="535" spans="15:53" x14ac:dyDescent="0.35">
      <c r="O535" s="1" t="str" cm="1">
        <f t="array" ref="O535">IF($BA535="","",INDEX(tblServicios[Fecha],$BA535))</f>
        <v/>
      </c>
      <c r="P535" t="str" cm="1">
        <f t="array" ref="P535">IF($BA535="","",INDEX(tblServicios[Contrato],$BA535))</f>
        <v/>
      </c>
      <c r="Q535" t="str" cm="1">
        <f t="array" ref="Q535">IF($BA535="","",INDEX(tblServicios[Vehículo],$BA535))</f>
        <v/>
      </c>
      <c r="R535" s="34" t="str" cm="1">
        <f t="array" ref="R535">IF($BA535="","",INDEX(tblServicios[Base imponible (€)],$BA535)-INDEX(tblServicios[Imp. suplemento (€)],$BA535))</f>
        <v/>
      </c>
      <c r="S535" s="34" t="str" cm="1">
        <f t="array" ref="S535">IF($BA535="","",INDEX(tblServicios[Imp. suplemento (€)],$BA535))</f>
        <v/>
      </c>
      <c r="T535" t="str" cm="1">
        <f t="array" ref="T535">IF($BA535="","",INDEX(tblServicios[Tipo suplemento],$BA535))</f>
        <v/>
      </c>
      <c r="U535" s="2" t="str">
        <f t="shared" si="10"/>
        <v/>
      </c>
      <c r="V535" t="str" cm="1">
        <f t="array" ref="V535">IF($BA535="","",IF(INDEX(tblServicios[Conductor],$BA535)=$T$2,"Conductor",IF(INDEX(tblServicios[Personal adicional],$BA535)=$T$2,"Personal adicional","")))</f>
        <v/>
      </c>
      <c r="BA535" s="33" t="str" cm="1">
        <f t="array" ref="BA5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adicional]=$T$2))&gt;0)),ROW(A537)),"")</f>
        <v/>
      </c>
    </row>
    <row r="536" spans="15:53" x14ac:dyDescent="0.35">
      <c r="O536" s="1" t="str" cm="1">
        <f t="array" ref="O536">IF($BA536="","",INDEX(tblServicios[Fecha],$BA536))</f>
        <v/>
      </c>
      <c r="P536" t="str" cm="1">
        <f t="array" ref="P536">IF($BA536="","",INDEX(tblServicios[Contrato],$BA536))</f>
        <v/>
      </c>
      <c r="Q536" t="str" cm="1">
        <f t="array" ref="Q536">IF($BA536="","",INDEX(tblServicios[Vehículo],$BA536))</f>
        <v/>
      </c>
      <c r="R536" s="34" t="str" cm="1">
        <f t="array" ref="R536">IF($BA536="","",INDEX(tblServicios[Base imponible (€)],$BA536)-INDEX(tblServicios[Imp. suplemento (€)],$BA536))</f>
        <v/>
      </c>
      <c r="S536" s="34" t="str" cm="1">
        <f t="array" ref="S536">IF($BA536="","",INDEX(tblServicios[Imp. suplemento (€)],$BA536))</f>
        <v/>
      </c>
      <c r="T536" t="str" cm="1">
        <f t="array" ref="T536">IF($BA536="","",INDEX(tblServicios[Tipo suplemento],$BA536))</f>
        <v/>
      </c>
      <c r="U536" s="2" t="str">
        <f t="shared" si="10"/>
        <v/>
      </c>
      <c r="V536" t="str" cm="1">
        <f t="array" ref="V536">IF($BA536="","",IF(INDEX(tblServicios[Conductor],$BA536)=$T$2,"Conductor",IF(INDEX(tblServicios[Personal adicional],$BA536)=$T$2,"Personal adicional","")))</f>
        <v/>
      </c>
      <c r="BA536" s="33" t="str" cm="1">
        <f t="array" ref="BA5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adicional]=$T$2))&gt;0)),ROW(A538)),"")</f>
        <v/>
      </c>
    </row>
    <row r="537" spans="15:53" x14ac:dyDescent="0.35">
      <c r="O537" s="1" t="str" cm="1">
        <f t="array" ref="O537">IF($BA537="","",INDEX(tblServicios[Fecha],$BA537))</f>
        <v/>
      </c>
      <c r="P537" t="str" cm="1">
        <f t="array" ref="P537">IF($BA537="","",INDEX(tblServicios[Contrato],$BA537))</f>
        <v/>
      </c>
      <c r="Q537" t="str" cm="1">
        <f t="array" ref="Q537">IF($BA537="","",INDEX(tblServicios[Vehículo],$BA537))</f>
        <v/>
      </c>
      <c r="R537" s="34" t="str" cm="1">
        <f t="array" ref="R537">IF($BA537="","",INDEX(tblServicios[Base imponible (€)],$BA537)-INDEX(tblServicios[Imp. suplemento (€)],$BA537))</f>
        <v/>
      </c>
      <c r="S537" s="34" t="str" cm="1">
        <f t="array" ref="S537">IF($BA537="","",INDEX(tblServicios[Imp. suplemento (€)],$BA537))</f>
        <v/>
      </c>
      <c r="T537" t="str" cm="1">
        <f t="array" ref="T537">IF($BA537="","",INDEX(tblServicios[Tipo suplemento],$BA537))</f>
        <v/>
      </c>
      <c r="U537" s="2" t="str">
        <f t="shared" si="10"/>
        <v/>
      </c>
      <c r="V537" t="str" cm="1">
        <f t="array" ref="V537">IF($BA537="","",IF(INDEX(tblServicios[Conductor],$BA537)=$T$2,"Conductor",IF(INDEX(tblServicios[Personal adicional],$BA537)=$T$2,"Personal adicional","")))</f>
        <v/>
      </c>
      <c r="BA537" s="33" t="str" cm="1">
        <f t="array" ref="BA5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adicional]=$T$2))&gt;0)),ROW(A539)),"")</f>
        <v/>
      </c>
    </row>
    <row r="538" spans="15:53" x14ac:dyDescent="0.35">
      <c r="O538" s="1" t="str" cm="1">
        <f t="array" ref="O538">IF($BA538="","",INDEX(tblServicios[Fecha],$BA538))</f>
        <v/>
      </c>
      <c r="P538" t="str" cm="1">
        <f t="array" ref="P538">IF($BA538="","",INDEX(tblServicios[Contrato],$BA538))</f>
        <v/>
      </c>
      <c r="Q538" t="str" cm="1">
        <f t="array" ref="Q538">IF($BA538="","",INDEX(tblServicios[Vehículo],$BA538))</f>
        <v/>
      </c>
      <c r="R538" s="34" t="str" cm="1">
        <f t="array" ref="R538">IF($BA538="","",INDEX(tblServicios[Base imponible (€)],$BA538)-INDEX(tblServicios[Imp. suplemento (€)],$BA538))</f>
        <v/>
      </c>
      <c r="S538" s="34" t="str" cm="1">
        <f t="array" ref="S538">IF($BA538="","",INDEX(tblServicios[Imp. suplemento (€)],$BA538))</f>
        <v/>
      </c>
      <c r="T538" t="str" cm="1">
        <f t="array" ref="T538">IF($BA538="","",INDEX(tblServicios[Tipo suplemento],$BA538))</f>
        <v/>
      </c>
      <c r="U538" s="2" t="str">
        <f t="shared" si="10"/>
        <v/>
      </c>
      <c r="V538" t="str" cm="1">
        <f t="array" ref="V538">IF($BA538="","",IF(INDEX(tblServicios[Conductor],$BA538)=$T$2,"Conductor",IF(INDEX(tblServicios[Personal adicional],$BA538)=$T$2,"Personal adicional","")))</f>
        <v/>
      </c>
      <c r="BA538" s="33" t="str" cm="1">
        <f t="array" ref="BA5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adicional]=$T$2))&gt;0)),ROW(A540)),"")</f>
        <v/>
      </c>
    </row>
    <row r="539" spans="15:53" x14ac:dyDescent="0.35">
      <c r="O539" s="1" t="str" cm="1">
        <f t="array" ref="O539">IF($BA539="","",INDEX(tblServicios[Fecha],$BA539))</f>
        <v/>
      </c>
      <c r="P539" t="str" cm="1">
        <f t="array" ref="P539">IF($BA539="","",INDEX(tblServicios[Contrato],$BA539))</f>
        <v/>
      </c>
      <c r="Q539" t="str" cm="1">
        <f t="array" ref="Q539">IF($BA539="","",INDEX(tblServicios[Vehículo],$BA539))</f>
        <v/>
      </c>
      <c r="R539" s="34" t="str" cm="1">
        <f t="array" ref="R539">IF($BA539="","",INDEX(tblServicios[Base imponible (€)],$BA539)-INDEX(tblServicios[Imp. suplemento (€)],$BA539))</f>
        <v/>
      </c>
      <c r="S539" s="34" t="str" cm="1">
        <f t="array" ref="S539">IF($BA539="","",INDEX(tblServicios[Imp. suplemento (€)],$BA539))</f>
        <v/>
      </c>
      <c r="T539" t="str" cm="1">
        <f t="array" ref="T539">IF($BA539="","",INDEX(tblServicios[Tipo suplemento],$BA539))</f>
        <v/>
      </c>
      <c r="U539" s="2" t="str">
        <f t="shared" si="10"/>
        <v/>
      </c>
      <c r="V539" t="str" cm="1">
        <f t="array" ref="V539">IF($BA539="","",IF(INDEX(tblServicios[Conductor],$BA539)=$T$2,"Conductor",IF(INDEX(tblServicios[Personal adicional],$BA539)=$T$2,"Personal adicional","")))</f>
        <v/>
      </c>
      <c r="BA539" s="33" t="str" cm="1">
        <f t="array" ref="BA5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adicional]=$T$2))&gt;0)),ROW(A541)),"")</f>
        <v/>
      </c>
    </row>
    <row r="540" spans="15:53" x14ac:dyDescent="0.35">
      <c r="O540" s="1" t="str" cm="1">
        <f t="array" ref="O540">IF($BA540="","",INDEX(tblServicios[Fecha],$BA540))</f>
        <v/>
      </c>
      <c r="P540" t="str" cm="1">
        <f t="array" ref="P540">IF($BA540="","",INDEX(tblServicios[Contrato],$BA540))</f>
        <v/>
      </c>
      <c r="Q540" t="str" cm="1">
        <f t="array" ref="Q540">IF($BA540="","",INDEX(tblServicios[Vehículo],$BA540))</f>
        <v/>
      </c>
      <c r="R540" s="34" t="str" cm="1">
        <f t="array" ref="R540">IF($BA540="","",INDEX(tblServicios[Base imponible (€)],$BA540)-INDEX(tblServicios[Imp. suplemento (€)],$BA540))</f>
        <v/>
      </c>
      <c r="S540" s="34" t="str" cm="1">
        <f t="array" ref="S540">IF($BA540="","",INDEX(tblServicios[Imp. suplemento (€)],$BA540))</f>
        <v/>
      </c>
      <c r="T540" t="str" cm="1">
        <f t="array" ref="T540">IF($BA540="","",INDEX(tblServicios[Tipo suplemento],$BA540))</f>
        <v/>
      </c>
      <c r="U540" s="2" t="str">
        <f t="shared" si="10"/>
        <v/>
      </c>
      <c r="V540" t="str" cm="1">
        <f t="array" ref="V540">IF($BA540="","",IF(INDEX(tblServicios[Conductor],$BA540)=$T$2,"Conductor",IF(INDEX(tblServicios[Personal adicional],$BA540)=$T$2,"Personal adicional","")))</f>
        <v/>
      </c>
      <c r="BA540" s="33" t="str" cm="1">
        <f t="array" ref="BA5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adicional]=$T$2))&gt;0)),ROW(A542)),"")</f>
        <v/>
      </c>
    </row>
    <row r="541" spans="15:53" x14ac:dyDescent="0.35">
      <c r="O541" s="1" t="str" cm="1">
        <f t="array" ref="O541">IF($BA541="","",INDEX(tblServicios[Fecha],$BA541))</f>
        <v/>
      </c>
      <c r="P541" t="str" cm="1">
        <f t="array" ref="P541">IF($BA541="","",INDEX(tblServicios[Contrato],$BA541))</f>
        <v/>
      </c>
      <c r="Q541" t="str" cm="1">
        <f t="array" ref="Q541">IF($BA541="","",INDEX(tblServicios[Vehículo],$BA541))</f>
        <v/>
      </c>
      <c r="R541" s="34" t="str" cm="1">
        <f t="array" ref="R541">IF($BA541="","",INDEX(tblServicios[Base imponible (€)],$BA541)-INDEX(tblServicios[Imp. suplemento (€)],$BA541))</f>
        <v/>
      </c>
      <c r="S541" s="34" t="str" cm="1">
        <f t="array" ref="S541">IF($BA541="","",INDEX(tblServicios[Imp. suplemento (€)],$BA541))</f>
        <v/>
      </c>
      <c r="T541" t="str" cm="1">
        <f t="array" ref="T541">IF($BA541="","",INDEX(tblServicios[Tipo suplemento],$BA541))</f>
        <v/>
      </c>
      <c r="U541" s="2" t="str">
        <f t="shared" si="10"/>
        <v/>
      </c>
      <c r="V541" t="str" cm="1">
        <f t="array" ref="V541">IF($BA541="","",IF(INDEX(tblServicios[Conductor],$BA541)=$T$2,"Conductor",IF(INDEX(tblServicios[Personal adicional],$BA541)=$T$2,"Personal adicional","")))</f>
        <v/>
      </c>
      <c r="BA541" s="33" t="str" cm="1">
        <f t="array" ref="BA5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adicional]=$T$2))&gt;0)),ROW(A543)),"")</f>
        <v/>
      </c>
    </row>
    <row r="542" spans="15:53" x14ac:dyDescent="0.35">
      <c r="O542" s="1" t="str" cm="1">
        <f t="array" ref="O542">IF($BA542="","",INDEX(tblServicios[Fecha],$BA542))</f>
        <v/>
      </c>
      <c r="P542" t="str" cm="1">
        <f t="array" ref="P542">IF($BA542="","",INDEX(tblServicios[Contrato],$BA542))</f>
        <v/>
      </c>
      <c r="Q542" t="str" cm="1">
        <f t="array" ref="Q542">IF($BA542="","",INDEX(tblServicios[Vehículo],$BA542))</f>
        <v/>
      </c>
      <c r="R542" s="34" t="str" cm="1">
        <f t="array" ref="R542">IF($BA542="","",INDEX(tblServicios[Base imponible (€)],$BA542)-INDEX(tblServicios[Imp. suplemento (€)],$BA542))</f>
        <v/>
      </c>
      <c r="S542" s="34" t="str" cm="1">
        <f t="array" ref="S542">IF($BA542="","",INDEX(tblServicios[Imp. suplemento (€)],$BA542))</f>
        <v/>
      </c>
      <c r="T542" t="str" cm="1">
        <f t="array" ref="T542">IF($BA542="","",INDEX(tblServicios[Tipo suplemento],$BA542))</f>
        <v/>
      </c>
      <c r="U542" s="2" t="str">
        <f t="shared" si="10"/>
        <v/>
      </c>
      <c r="V542" t="str" cm="1">
        <f t="array" ref="V542">IF($BA542="","",IF(INDEX(tblServicios[Conductor],$BA542)=$T$2,"Conductor",IF(INDEX(tblServicios[Personal adicional],$BA542)=$T$2,"Personal adicional","")))</f>
        <v/>
      </c>
      <c r="BA542" s="33" t="str" cm="1">
        <f t="array" ref="BA5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adicional]=$T$2))&gt;0)),ROW(A544)),"")</f>
        <v/>
      </c>
    </row>
    <row r="543" spans="15:53" x14ac:dyDescent="0.35">
      <c r="O543" s="1" t="str" cm="1">
        <f t="array" ref="O543">IF($BA543="","",INDEX(tblServicios[Fecha],$BA543))</f>
        <v/>
      </c>
      <c r="P543" t="str" cm="1">
        <f t="array" ref="P543">IF($BA543="","",INDEX(tblServicios[Contrato],$BA543))</f>
        <v/>
      </c>
      <c r="Q543" t="str" cm="1">
        <f t="array" ref="Q543">IF($BA543="","",INDEX(tblServicios[Vehículo],$BA543))</f>
        <v/>
      </c>
      <c r="R543" s="34" t="str" cm="1">
        <f t="array" ref="R543">IF($BA543="","",INDEX(tblServicios[Base imponible (€)],$BA543)-INDEX(tblServicios[Imp. suplemento (€)],$BA543))</f>
        <v/>
      </c>
      <c r="S543" s="34" t="str" cm="1">
        <f t="array" ref="S543">IF($BA543="","",INDEX(tblServicios[Imp. suplemento (€)],$BA543))</f>
        <v/>
      </c>
      <c r="T543" t="str" cm="1">
        <f t="array" ref="T543">IF($BA543="","",INDEX(tblServicios[Tipo suplemento],$BA543))</f>
        <v/>
      </c>
      <c r="U543" s="2" t="str">
        <f t="shared" si="10"/>
        <v/>
      </c>
      <c r="V543" t="str" cm="1">
        <f t="array" ref="V543">IF($BA543="","",IF(INDEX(tblServicios[Conductor],$BA543)=$T$2,"Conductor",IF(INDEX(tblServicios[Personal adicional],$BA543)=$T$2,"Personal adicional","")))</f>
        <v/>
      </c>
      <c r="BA543" s="33" t="str" cm="1">
        <f t="array" ref="BA5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adicional]=$T$2))&gt;0)),ROW(A545)),"")</f>
        <v/>
      </c>
    </row>
    <row r="544" spans="15:53" x14ac:dyDescent="0.35">
      <c r="O544" s="1" t="str" cm="1">
        <f t="array" ref="O544">IF($BA544="","",INDEX(tblServicios[Fecha],$BA544))</f>
        <v/>
      </c>
      <c r="P544" t="str" cm="1">
        <f t="array" ref="P544">IF($BA544="","",INDEX(tblServicios[Contrato],$BA544))</f>
        <v/>
      </c>
      <c r="Q544" t="str" cm="1">
        <f t="array" ref="Q544">IF($BA544="","",INDEX(tblServicios[Vehículo],$BA544))</f>
        <v/>
      </c>
      <c r="R544" s="34" t="str" cm="1">
        <f t="array" ref="R544">IF($BA544="","",INDEX(tblServicios[Base imponible (€)],$BA544)-INDEX(tblServicios[Imp. suplemento (€)],$BA544))</f>
        <v/>
      </c>
      <c r="S544" s="34" t="str" cm="1">
        <f t="array" ref="S544">IF($BA544="","",INDEX(tblServicios[Imp. suplemento (€)],$BA544))</f>
        <v/>
      </c>
      <c r="T544" t="str" cm="1">
        <f t="array" ref="T544">IF($BA544="","",INDEX(tblServicios[Tipo suplemento],$BA544))</f>
        <v/>
      </c>
      <c r="U544" s="2" t="str">
        <f t="shared" si="10"/>
        <v/>
      </c>
      <c r="V544" t="str" cm="1">
        <f t="array" ref="V544">IF($BA544="","",IF(INDEX(tblServicios[Conductor],$BA544)=$T$2,"Conductor",IF(INDEX(tblServicios[Personal adicional],$BA544)=$T$2,"Personal adicional","")))</f>
        <v/>
      </c>
      <c r="BA544" s="33" t="str" cm="1">
        <f t="array" ref="BA5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adicional]=$T$2))&gt;0)),ROW(A546)),"")</f>
        <v/>
      </c>
    </row>
    <row r="545" spans="15:53" x14ac:dyDescent="0.35">
      <c r="O545" s="1" t="str" cm="1">
        <f t="array" ref="O545">IF($BA545="","",INDEX(tblServicios[Fecha],$BA545))</f>
        <v/>
      </c>
      <c r="P545" t="str" cm="1">
        <f t="array" ref="P545">IF($BA545="","",INDEX(tblServicios[Contrato],$BA545))</f>
        <v/>
      </c>
      <c r="Q545" t="str" cm="1">
        <f t="array" ref="Q545">IF($BA545="","",INDEX(tblServicios[Vehículo],$BA545))</f>
        <v/>
      </c>
      <c r="R545" s="34" t="str" cm="1">
        <f t="array" ref="R545">IF($BA545="","",INDEX(tblServicios[Base imponible (€)],$BA545)-INDEX(tblServicios[Imp. suplemento (€)],$BA545))</f>
        <v/>
      </c>
      <c r="S545" s="34" t="str" cm="1">
        <f t="array" ref="S545">IF($BA545="","",INDEX(tblServicios[Imp. suplemento (€)],$BA545))</f>
        <v/>
      </c>
      <c r="T545" t="str" cm="1">
        <f t="array" ref="T545">IF($BA545="","",INDEX(tblServicios[Tipo suplemento],$BA545))</f>
        <v/>
      </c>
      <c r="U545" s="2" t="str">
        <f t="shared" si="10"/>
        <v/>
      </c>
      <c r="V545" t="str" cm="1">
        <f t="array" ref="V545">IF($BA545="","",IF(INDEX(tblServicios[Conductor],$BA545)=$T$2,"Conductor",IF(INDEX(tblServicios[Personal adicional],$BA545)=$T$2,"Personal adicional","")))</f>
        <v/>
      </c>
      <c r="BA545" s="33" t="str" cm="1">
        <f t="array" ref="BA5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adicional]=$T$2))&gt;0)),ROW(A547)),"")</f>
        <v/>
      </c>
    </row>
    <row r="546" spans="15:53" x14ac:dyDescent="0.35">
      <c r="O546" s="1" t="str" cm="1">
        <f t="array" ref="O546">IF($BA546="","",INDEX(tblServicios[Fecha],$BA546))</f>
        <v/>
      </c>
      <c r="P546" t="str" cm="1">
        <f t="array" ref="P546">IF($BA546="","",INDEX(tblServicios[Contrato],$BA546))</f>
        <v/>
      </c>
      <c r="Q546" t="str" cm="1">
        <f t="array" ref="Q546">IF($BA546="","",INDEX(tblServicios[Vehículo],$BA546))</f>
        <v/>
      </c>
      <c r="R546" s="34" t="str" cm="1">
        <f t="array" ref="R546">IF($BA546="","",INDEX(tblServicios[Base imponible (€)],$BA546)-INDEX(tblServicios[Imp. suplemento (€)],$BA546))</f>
        <v/>
      </c>
      <c r="S546" s="34" t="str" cm="1">
        <f t="array" ref="S546">IF($BA546="","",INDEX(tblServicios[Imp. suplemento (€)],$BA546))</f>
        <v/>
      </c>
      <c r="T546" t="str" cm="1">
        <f t="array" ref="T546">IF($BA546="","",INDEX(tblServicios[Tipo suplemento],$BA546))</f>
        <v/>
      </c>
      <c r="U546" s="2" t="str">
        <f t="shared" si="10"/>
        <v/>
      </c>
      <c r="V546" t="str" cm="1">
        <f t="array" ref="V546">IF($BA546="","",IF(INDEX(tblServicios[Conductor],$BA546)=$T$2,"Conductor",IF(INDEX(tblServicios[Personal adicional],$BA546)=$T$2,"Personal adicional","")))</f>
        <v/>
      </c>
      <c r="BA546" s="33" t="str" cm="1">
        <f t="array" ref="BA5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adicional]=$T$2))&gt;0)),ROW(A548)),"")</f>
        <v/>
      </c>
    </row>
    <row r="547" spans="15:53" x14ac:dyDescent="0.35">
      <c r="O547" s="1" t="str" cm="1">
        <f t="array" ref="O547">IF($BA547="","",INDEX(tblServicios[Fecha],$BA547))</f>
        <v/>
      </c>
      <c r="P547" t="str" cm="1">
        <f t="array" ref="P547">IF($BA547="","",INDEX(tblServicios[Contrato],$BA547))</f>
        <v/>
      </c>
      <c r="Q547" t="str" cm="1">
        <f t="array" ref="Q547">IF($BA547="","",INDEX(tblServicios[Vehículo],$BA547))</f>
        <v/>
      </c>
      <c r="R547" s="34" t="str" cm="1">
        <f t="array" ref="R547">IF($BA547="","",INDEX(tblServicios[Base imponible (€)],$BA547)-INDEX(tblServicios[Imp. suplemento (€)],$BA547))</f>
        <v/>
      </c>
      <c r="S547" s="34" t="str" cm="1">
        <f t="array" ref="S547">IF($BA547="","",INDEX(tblServicios[Imp. suplemento (€)],$BA547))</f>
        <v/>
      </c>
      <c r="T547" t="str" cm="1">
        <f t="array" ref="T547">IF($BA547="","",INDEX(tblServicios[Tipo suplemento],$BA547))</f>
        <v/>
      </c>
      <c r="U547" s="2" t="str">
        <f t="shared" si="10"/>
        <v/>
      </c>
      <c r="V547" t="str" cm="1">
        <f t="array" ref="V547">IF($BA547="","",IF(INDEX(tblServicios[Conductor],$BA547)=$T$2,"Conductor",IF(INDEX(tblServicios[Personal adicional],$BA547)=$T$2,"Personal adicional","")))</f>
        <v/>
      </c>
      <c r="BA547" s="33" t="str" cm="1">
        <f t="array" ref="BA5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adicional]=$T$2))&gt;0)),ROW(A549)),"")</f>
        <v/>
      </c>
    </row>
    <row r="548" spans="15:53" x14ac:dyDescent="0.35">
      <c r="O548" s="1" t="str" cm="1">
        <f t="array" ref="O548">IF($BA548="","",INDEX(tblServicios[Fecha],$BA548))</f>
        <v/>
      </c>
      <c r="P548" t="str" cm="1">
        <f t="array" ref="P548">IF($BA548="","",INDEX(tblServicios[Contrato],$BA548))</f>
        <v/>
      </c>
      <c r="Q548" t="str" cm="1">
        <f t="array" ref="Q548">IF($BA548="","",INDEX(tblServicios[Vehículo],$BA548))</f>
        <v/>
      </c>
      <c r="R548" s="34" t="str" cm="1">
        <f t="array" ref="R548">IF($BA548="","",INDEX(tblServicios[Base imponible (€)],$BA548)-INDEX(tblServicios[Imp. suplemento (€)],$BA548))</f>
        <v/>
      </c>
      <c r="S548" s="34" t="str" cm="1">
        <f t="array" ref="S548">IF($BA548="","",INDEX(tblServicios[Imp. suplemento (€)],$BA548))</f>
        <v/>
      </c>
      <c r="T548" t="str" cm="1">
        <f t="array" ref="T548">IF($BA548="","",INDEX(tblServicios[Tipo suplemento],$BA548))</f>
        <v/>
      </c>
      <c r="U548" s="2" t="str">
        <f t="shared" si="10"/>
        <v/>
      </c>
      <c r="V548" t="str" cm="1">
        <f t="array" ref="V548">IF($BA548="","",IF(INDEX(tblServicios[Conductor],$BA548)=$T$2,"Conductor",IF(INDEX(tblServicios[Personal adicional],$BA548)=$T$2,"Personal adicional","")))</f>
        <v/>
      </c>
      <c r="BA548" s="33" t="str" cm="1">
        <f t="array" ref="BA5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adicional]=$T$2))&gt;0)),ROW(A550)),"")</f>
        <v/>
      </c>
    </row>
    <row r="549" spans="15:53" x14ac:dyDescent="0.35">
      <c r="O549" s="1" t="str" cm="1">
        <f t="array" ref="O549">IF($BA549="","",INDEX(tblServicios[Fecha],$BA549))</f>
        <v/>
      </c>
      <c r="P549" t="str" cm="1">
        <f t="array" ref="P549">IF($BA549="","",INDEX(tblServicios[Contrato],$BA549))</f>
        <v/>
      </c>
      <c r="Q549" t="str" cm="1">
        <f t="array" ref="Q549">IF($BA549="","",INDEX(tblServicios[Vehículo],$BA549))</f>
        <v/>
      </c>
      <c r="R549" s="34" t="str" cm="1">
        <f t="array" ref="R549">IF($BA549="","",INDEX(tblServicios[Base imponible (€)],$BA549)-INDEX(tblServicios[Imp. suplemento (€)],$BA549))</f>
        <v/>
      </c>
      <c r="S549" s="34" t="str" cm="1">
        <f t="array" ref="S549">IF($BA549="","",INDEX(tblServicios[Imp. suplemento (€)],$BA549))</f>
        <v/>
      </c>
      <c r="T549" t="str" cm="1">
        <f t="array" ref="T549">IF($BA549="","",INDEX(tblServicios[Tipo suplemento],$BA549))</f>
        <v/>
      </c>
      <c r="U549" s="2" t="str">
        <f t="shared" si="10"/>
        <v/>
      </c>
      <c r="V549" t="str" cm="1">
        <f t="array" ref="V549">IF($BA549="","",IF(INDEX(tblServicios[Conductor],$BA549)=$T$2,"Conductor",IF(INDEX(tblServicios[Personal adicional],$BA549)=$T$2,"Personal adicional","")))</f>
        <v/>
      </c>
      <c r="BA549" s="33" t="str" cm="1">
        <f t="array" ref="BA5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adicional]=$T$2))&gt;0)),ROW(A551)),"")</f>
        <v/>
      </c>
    </row>
    <row r="550" spans="15:53" x14ac:dyDescent="0.35">
      <c r="O550" s="1" t="str" cm="1">
        <f t="array" ref="O550">IF($BA550="","",INDEX(tblServicios[Fecha],$BA550))</f>
        <v/>
      </c>
      <c r="P550" t="str" cm="1">
        <f t="array" ref="P550">IF($BA550="","",INDEX(tblServicios[Contrato],$BA550))</f>
        <v/>
      </c>
      <c r="Q550" t="str" cm="1">
        <f t="array" ref="Q550">IF($BA550="","",INDEX(tblServicios[Vehículo],$BA550))</f>
        <v/>
      </c>
      <c r="R550" s="34" t="str" cm="1">
        <f t="array" ref="R550">IF($BA550="","",INDEX(tblServicios[Base imponible (€)],$BA550)-INDEX(tblServicios[Imp. suplemento (€)],$BA550))</f>
        <v/>
      </c>
      <c r="S550" s="34" t="str" cm="1">
        <f t="array" ref="S550">IF($BA550="","",INDEX(tblServicios[Imp. suplemento (€)],$BA550))</f>
        <v/>
      </c>
      <c r="T550" t="str" cm="1">
        <f t="array" ref="T550">IF($BA550="","",INDEX(tblServicios[Tipo suplemento],$BA550))</f>
        <v/>
      </c>
      <c r="U550" s="2" t="str">
        <f t="shared" si="10"/>
        <v/>
      </c>
      <c r="V550" t="str" cm="1">
        <f t="array" ref="V550">IF($BA550="","",IF(INDEX(tblServicios[Conductor],$BA550)=$T$2,"Conductor",IF(INDEX(tblServicios[Personal adicional],$BA550)=$T$2,"Personal adicional","")))</f>
        <v/>
      </c>
      <c r="BA550" s="33" t="str" cm="1">
        <f t="array" ref="BA5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adicional]=$T$2))&gt;0)),ROW(A552)),"")</f>
        <v/>
      </c>
    </row>
    <row r="551" spans="15:53" x14ac:dyDescent="0.35">
      <c r="O551" s="1" t="str" cm="1">
        <f t="array" ref="O551">IF($BA551="","",INDEX(tblServicios[Fecha],$BA551))</f>
        <v/>
      </c>
      <c r="P551" t="str" cm="1">
        <f t="array" ref="P551">IF($BA551="","",INDEX(tblServicios[Contrato],$BA551))</f>
        <v/>
      </c>
      <c r="Q551" t="str" cm="1">
        <f t="array" ref="Q551">IF($BA551="","",INDEX(tblServicios[Vehículo],$BA551))</f>
        <v/>
      </c>
      <c r="R551" s="34" t="str" cm="1">
        <f t="array" ref="R551">IF($BA551="","",INDEX(tblServicios[Base imponible (€)],$BA551)-INDEX(tblServicios[Imp. suplemento (€)],$BA551))</f>
        <v/>
      </c>
      <c r="S551" s="34" t="str" cm="1">
        <f t="array" ref="S551">IF($BA551="","",INDEX(tblServicios[Imp. suplemento (€)],$BA551))</f>
        <v/>
      </c>
      <c r="T551" t="str" cm="1">
        <f t="array" ref="T551">IF($BA551="","",INDEX(tblServicios[Tipo suplemento],$BA551))</f>
        <v/>
      </c>
      <c r="U551" s="2" t="str">
        <f t="shared" si="10"/>
        <v/>
      </c>
      <c r="V551" t="str" cm="1">
        <f t="array" ref="V551">IF($BA551="","",IF(INDEX(tblServicios[Conductor],$BA551)=$T$2,"Conductor",IF(INDEX(tblServicios[Personal adicional],$BA551)=$T$2,"Personal adicional","")))</f>
        <v/>
      </c>
      <c r="BA551" s="33" t="str" cm="1">
        <f t="array" ref="BA5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adicional]=$T$2))&gt;0)),ROW(A553)),"")</f>
        <v/>
      </c>
    </row>
    <row r="552" spans="15:53" x14ac:dyDescent="0.35">
      <c r="O552" s="1" t="str" cm="1">
        <f t="array" ref="O552">IF($BA552="","",INDEX(tblServicios[Fecha],$BA552))</f>
        <v/>
      </c>
      <c r="P552" t="str" cm="1">
        <f t="array" ref="P552">IF($BA552="","",INDEX(tblServicios[Contrato],$BA552))</f>
        <v/>
      </c>
      <c r="Q552" t="str" cm="1">
        <f t="array" ref="Q552">IF($BA552="","",INDEX(tblServicios[Vehículo],$BA552))</f>
        <v/>
      </c>
      <c r="R552" s="34" t="str" cm="1">
        <f t="array" ref="R552">IF($BA552="","",INDEX(tblServicios[Base imponible (€)],$BA552)-INDEX(tblServicios[Imp. suplemento (€)],$BA552))</f>
        <v/>
      </c>
      <c r="S552" s="34" t="str" cm="1">
        <f t="array" ref="S552">IF($BA552="","",INDEX(tblServicios[Imp. suplemento (€)],$BA552))</f>
        <v/>
      </c>
      <c r="T552" t="str" cm="1">
        <f t="array" ref="T552">IF($BA552="","",INDEX(tblServicios[Tipo suplemento],$BA552))</f>
        <v/>
      </c>
      <c r="U552" s="2" t="str">
        <f t="shared" si="10"/>
        <v/>
      </c>
      <c r="V552" t="str" cm="1">
        <f t="array" ref="V552">IF($BA552="","",IF(INDEX(tblServicios[Conductor],$BA552)=$T$2,"Conductor",IF(INDEX(tblServicios[Personal adicional],$BA552)=$T$2,"Personal adicional","")))</f>
        <v/>
      </c>
      <c r="BA552" s="33" t="str" cm="1">
        <f t="array" ref="BA5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adicional]=$T$2))&gt;0)),ROW(A554)),"")</f>
        <v/>
      </c>
    </row>
    <row r="553" spans="15:53" x14ac:dyDescent="0.35">
      <c r="O553" s="1" t="str" cm="1">
        <f t="array" ref="O553">IF($BA553="","",INDEX(tblServicios[Fecha],$BA553))</f>
        <v/>
      </c>
      <c r="P553" t="str" cm="1">
        <f t="array" ref="P553">IF($BA553="","",INDEX(tblServicios[Contrato],$BA553))</f>
        <v/>
      </c>
      <c r="Q553" t="str" cm="1">
        <f t="array" ref="Q553">IF($BA553="","",INDEX(tblServicios[Vehículo],$BA553))</f>
        <v/>
      </c>
      <c r="R553" s="34" t="str" cm="1">
        <f t="array" ref="R553">IF($BA553="","",INDEX(tblServicios[Base imponible (€)],$BA553)-INDEX(tblServicios[Imp. suplemento (€)],$BA553))</f>
        <v/>
      </c>
      <c r="S553" s="34" t="str" cm="1">
        <f t="array" ref="S553">IF($BA553="","",INDEX(tblServicios[Imp. suplemento (€)],$BA553))</f>
        <v/>
      </c>
      <c r="T553" t="str" cm="1">
        <f t="array" ref="T553">IF($BA553="","",INDEX(tblServicios[Tipo suplemento],$BA553))</f>
        <v/>
      </c>
      <c r="U553" s="2" t="str">
        <f t="shared" si="10"/>
        <v/>
      </c>
      <c r="V553" t="str" cm="1">
        <f t="array" ref="V553">IF($BA553="","",IF(INDEX(tblServicios[Conductor],$BA553)=$T$2,"Conductor",IF(INDEX(tblServicios[Personal adicional],$BA553)=$T$2,"Personal adicional","")))</f>
        <v/>
      </c>
      <c r="BA553" s="33" t="str" cm="1">
        <f t="array" ref="BA5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adicional]=$T$2))&gt;0)),ROW(A555)),"")</f>
        <v/>
      </c>
    </row>
    <row r="554" spans="15:53" x14ac:dyDescent="0.35">
      <c r="O554" s="1" t="str" cm="1">
        <f t="array" ref="O554">IF($BA554="","",INDEX(tblServicios[Fecha],$BA554))</f>
        <v/>
      </c>
      <c r="P554" t="str" cm="1">
        <f t="array" ref="P554">IF($BA554="","",INDEX(tblServicios[Contrato],$BA554))</f>
        <v/>
      </c>
      <c r="Q554" t="str" cm="1">
        <f t="array" ref="Q554">IF($BA554="","",INDEX(tblServicios[Vehículo],$BA554))</f>
        <v/>
      </c>
      <c r="R554" s="34" t="str" cm="1">
        <f t="array" ref="R554">IF($BA554="","",INDEX(tblServicios[Base imponible (€)],$BA554)-INDEX(tblServicios[Imp. suplemento (€)],$BA554))</f>
        <v/>
      </c>
      <c r="S554" s="34" t="str" cm="1">
        <f t="array" ref="S554">IF($BA554="","",INDEX(tblServicios[Imp. suplemento (€)],$BA554))</f>
        <v/>
      </c>
      <c r="T554" t="str" cm="1">
        <f t="array" ref="T554">IF($BA554="","",INDEX(tblServicios[Tipo suplemento],$BA554))</f>
        <v/>
      </c>
      <c r="U554" s="2" t="str">
        <f t="shared" si="10"/>
        <v/>
      </c>
      <c r="V554" t="str" cm="1">
        <f t="array" ref="V554">IF($BA554="","",IF(INDEX(tblServicios[Conductor],$BA554)=$T$2,"Conductor",IF(INDEX(tblServicios[Personal adicional],$BA554)=$T$2,"Personal adicional","")))</f>
        <v/>
      </c>
      <c r="BA554" s="33" t="str" cm="1">
        <f t="array" ref="BA5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adicional]=$T$2))&gt;0)),ROW(A556)),"")</f>
        <v/>
      </c>
    </row>
    <row r="555" spans="15:53" x14ac:dyDescent="0.35">
      <c r="O555" s="1" t="str" cm="1">
        <f t="array" ref="O555">IF($BA555="","",INDEX(tblServicios[Fecha],$BA555))</f>
        <v/>
      </c>
      <c r="P555" t="str" cm="1">
        <f t="array" ref="P555">IF($BA555="","",INDEX(tblServicios[Contrato],$BA555))</f>
        <v/>
      </c>
      <c r="Q555" t="str" cm="1">
        <f t="array" ref="Q555">IF($BA555="","",INDEX(tblServicios[Vehículo],$BA555))</f>
        <v/>
      </c>
      <c r="R555" s="34" t="str" cm="1">
        <f t="array" ref="R555">IF($BA555="","",INDEX(tblServicios[Base imponible (€)],$BA555)-INDEX(tblServicios[Imp. suplemento (€)],$BA555))</f>
        <v/>
      </c>
      <c r="S555" s="34" t="str" cm="1">
        <f t="array" ref="S555">IF($BA555="","",INDEX(tblServicios[Imp. suplemento (€)],$BA555))</f>
        <v/>
      </c>
      <c r="T555" t="str" cm="1">
        <f t="array" ref="T555">IF($BA555="","",INDEX(tblServicios[Tipo suplemento],$BA555))</f>
        <v/>
      </c>
      <c r="U555" s="2" t="str">
        <f t="shared" si="10"/>
        <v/>
      </c>
      <c r="V555" t="str" cm="1">
        <f t="array" ref="V555">IF($BA555="","",IF(INDEX(tblServicios[Conductor],$BA555)=$T$2,"Conductor",IF(INDEX(tblServicios[Personal adicional],$BA555)=$T$2,"Personal adicional","")))</f>
        <v/>
      </c>
      <c r="BA555" s="33" t="str" cm="1">
        <f t="array" ref="BA5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adicional]=$T$2))&gt;0)),ROW(A557)),"")</f>
        <v/>
      </c>
    </row>
    <row r="556" spans="15:53" x14ac:dyDescent="0.35">
      <c r="O556" s="1" t="str" cm="1">
        <f t="array" ref="O556">IF($BA556="","",INDEX(tblServicios[Fecha],$BA556))</f>
        <v/>
      </c>
      <c r="P556" t="str" cm="1">
        <f t="array" ref="P556">IF($BA556="","",INDEX(tblServicios[Contrato],$BA556))</f>
        <v/>
      </c>
      <c r="Q556" t="str" cm="1">
        <f t="array" ref="Q556">IF($BA556="","",INDEX(tblServicios[Vehículo],$BA556))</f>
        <v/>
      </c>
      <c r="R556" s="34" t="str" cm="1">
        <f t="array" ref="R556">IF($BA556="","",INDEX(tblServicios[Base imponible (€)],$BA556)-INDEX(tblServicios[Imp. suplemento (€)],$BA556))</f>
        <v/>
      </c>
      <c r="S556" s="34" t="str" cm="1">
        <f t="array" ref="S556">IF($BA556="","",INDEX(tblServicios[Imp. suplemento (€)],$BA556))</f>
        <v/>
      </c>
      <c r="T556" t="str" cm="1">
        <f t="array" ref="T556">IF($BA556="","",INDEX(tblServicios[Tipo suplemento],$BA556))</f>
        <v/>
      </c>
      <c r="U556" s="2" t="str">
        <f t="shared" si="10"/>
        <v/>
      </c>
      <c r="V556" t="str" cm="1">
        <f t="array" ref="V556">IF($BA556="","",IF(INDEX(tblServicios[Conductor],$BA556)=$T$2,"Conductor",IF(INDEX(tblServicios[Personal adicional],$BA556)=$T$2,"Personal adicional","")))</f>
        <v/>
      </c>
      <c r="BA556" s="33" t="str" cm="1">
        <f t="array" ref="BA5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adicional]=$T$2))&gt;0)),ROW(A558)),"")</f>
        <v/>
      </c>
    </row>
    <row r="557" spans="15:53" x14ac:dyDescent="0.35">
      <c r="O557" s="1" t="str" cm="1">
        <f t="array" ref="O557">IF($BA557="","",INDEX(tblServicios[Fecha],$BA557))</f>
        <v/>
      </c>
      <c r="P557" t="str" cm="1">
        <f t="array" ref="P557">IF($BA557="","",INDEX(tblServicios[Contrato],$BA557))</f>
        <v/>
      </c>
      <c r="Q557" t="str" cm="1">
        <f t="array" ref="Q557">IF($BA557="","",INDEX(tblServicios[Vehículo],$BA557))</f>
        <v/>
      </c>
      <c r="R557" s="34" t="str" cm="1">
        <f t="array" ref="R557">IF($BA557="","",INDEX(tblServicios[Base imponible (€)],$BA557)-INDEX(tblServicios[Imp. suplemento (€)],$BA557))</f>
        <v/>
      </c>
      <c r="S557" s="34" t="str" cm="1">
        <f t="array" ref="S557">IF($BA557="","",INDEX(tblServicios[Imp. suplemento (€)],$BA557))</f>
        <v/>
      </c>
      <c r="T557" t="str" cm="1">
        <f t="array" ref="T557">IF($BA557="","",INDEX(tblServicios[Tipo suplemento],$BA557))</f>
        <v/>
      </c>
      <c r="U557" s="2" t="str">
        <f t="shared" si="10"/>
        <v/>
      </c>
      <c r="V557" t="str" cm="1">
        <f t="array" ref="V557">IF($BA557="","",IF(INDEX(tblServicios[Conductor],$BA557)=$T$2,"Conductor",IF(INDEX(tblServicios[Personal adicional],$BA557)=$T$2,"Personal adicional","")))</f>
        <v/>
      </c>
      <c r="BA557" s="33" t="str" cm="1">
        <f t="array" ref="BA5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adicional]=$T$2))&gt;0)),ROW(A559)),"")</f>
        <v/>
      </c>
    </row>
    <row r="558" spans="15:53" x14ac:dyDescent="0.35">
      <c r="O558" s="1" t="str" cm="1">
        <f t="array" ref="O558">IF($BA558="","",INDEX(tblServicios[Fecha],$BA558))</f>
        <v/>
      </c>
      <c r="P558" t="str" cm="1">
        <f t="array" ref="P558">IF($BA558="","",INDEX(tblServicios[Contrato],$BA558))</f>
        <v/>
      </c>
      <c r="Q558" t="str" cm="1">
        <f t="array" ref="Q558">IF($BA558="","",INDEX(tblServicios[Vehículo],$BA558))</f>
        <v/>
      </c>
      <c r="R558" s="34" t="str" cm="1">
        <f t="array" ref="R558">IF($BA558="","",INDEX(tblServicios[Base imponible (€)],$BA558)-INDEX(tblServicios[Imp. suplemento (€)],$BA558))</f>
        <v/>
      </c>
      <c r="S558" s="34" t="str" cm="1">
        <f t="array" ref="S558">IF($BA558="","",INDEX(tblServicios[Imp. suplemento (€)],$BA558))</f>
        <v/>
      </c>
      <c r="T558" t="str" cm="1">
        <f t="array" ref="T558">IF($BA558="","",INDEX(tblServicios[Tipo suplemento],$BA558))</f>
        <v/>
      </c>
      <c r="U558" s="2" t="str">
        <f t="shared" si="10"/>
        <v/>
      </c>
      <c r="V558" t="str" cm="1">
        <f t="array" ref="V558">IF($BA558="","",IF(INDEX(tblServicios[Conductor],$BA558)=$T$2,"Conductor",IF(INDEX(tblServicios[Personal adicional],$BA558)=$T$2,"Personal adicional","")))</f>
        <v/>
      </c>
      <c r="BA558" s="33" t="str" cm="1">
        <f t="array" ref="BA5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adicional]=$T$2))&gt;0)),ROW(A560)),"")</f>
        <v/>
      </c>
    </row>
    <row r="559" spans="15:53" x14ac:dyDescent="0.35">
      <c r="O559" s="1" t="str" cm="1">
        <f t="array" ref="O559">IF($BA559="","",INDEX(tblServicios[Fecha],$BA559))</f>
        <v/>
      </c>
      <c r="P559" t="str" cm="1">
        <f t="array" ref="P559">IF($BA559="","",INDEX(tblServicios[Contrato],$BA559))</f>
        <v/>
      </c>
      <c r="Q559" t="str" cm="1">
        <f t="array" ref="Q559">IF($BA559="","",INDEX(tblServicios[Vehículo],$BA559))</f>
        <v/>
      </c>
      <c r="R559" s="34" t="str" cm="1">
        <f t="array" ref="R559">IF($BA559="","",INDEX(tblServicios[Base imponible (€)],$BA559)-INDEX(tblServicios[Imp. suplemento (€)],$BA559))</f>
        <v/>
      </c>
      <c r="S559" s="34" t="str" cm="1">
        <f t="array" ref="S559">IF($BA559="","",INDEX(tblServicios[Imp. suplemento (€)],$BA559))</f>
        <v/>
      </c>
      <c r="T559" t="str" cm="1">
        <f t="array" ref="T559">IF($BA559="","",INDEX(tblServicios[Tipo suplemento],$BA559))</f>
        <v/>
      </c>
      <c r="U559" s="2" t="str">
        <f t="shared" si="10"/>
        <v/>
      </c>
      <c r="V559" t="str" cm="1">
        <f t="array" ref="V559">IF($BA559="","",IF(INDEX(tblServicios[Conductor],$BA559)=$T$2,"Conductor",IF(INDEX(tblServicios[Personal adicional],$BA559)=$T$2,"Personal adicional","")))</f>
        <v/>
      </c>
      <c r="BA559" s="33" t="str" cm="1">
        <f t="array" ref="BA5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adicional]=$T$2))&gt;0)),ROW(A561)),"")</f>
        <v/>
      </c>
    </row>
    <row r="560" spans="15:53" x14ac:dyDescent="0.35">
      <c r="O560" s="1" t="str" cm="1">
        <f t="array" ref="O560">IF($BA560="","",INDEX(tblServicios[Fecha],$BA560))</f>
        <v/>
      </c>
      <c r="P560" t="str" cm="1">
        <f t="array" ref="P560">IF($BA560="","",INDEX(tblServicios[Contrato],$BA560))</f>
        <v/>
      </c>
      <c r="Q560" t="str" cm="1">
        <f t="array" ref="Q560">IF($BA560="","",INDEX(tblServicios[Vehículo],$BA560))</f>
        <v/>
      </c>
      <c r="R560" s="34" t="str" cm="1">
        <f t="array" ref="R560">IF($BA560="","",INDEX(tblServicios[Base imponible (€)],$BA560)-INDEX(tblServicios[Imp. suplemento (€)],$BA560))</f>
        <v/>
      </c>
      <c r="S560" s="34" t="str" cm="1">
        <f t="array" ref="S560">IF($BA560="","",INDEX(tblServicios[Imp. suplemento (€)],$BA560))</f>
        <v/>
      </c>
      <c r="T560" t="str" cm="1">
        <f t="array" ref="T560">IF($BA560="","",INDEX(tblServicios[Tipo suplemento],$BA560))</f>
        <v/>
      </c>
      <c r="U560" s="2" t="str">
        <f t="shared" si="10"/>
        <v/>
      </c>
      <c r="V560" t="str" cm="1">
        <f t="array" ref="V560">IF($BA560="","",IF(INDEX(tblServicios[Conductor],$BA560)=$T$2,"Conductor",IF(INDEX(tblServicios[Personal adicional],$BA560)=$T$2,"Personal adicional","")))</f>
        <v/>
      </c>
      <c r="BA560" s="33" t="str" cm="1">
        <f t="array" ref="BA5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adicional]=$T$2))&gt;0)),ROW(A562)),"")</f>
        <v/>
      </c>
    </row>
    <row r="561" spans="15:53" x14ac:dyDescent="0.35">
      <c r="O561" s="1" t="str" cm="1">
        <f t="array" ref="O561">IF($BA561="","",INDEX(tblServicios[Fecha],$BA561))</f>
        <v/>
      </c>
      <c r="P561" t="str" cm="1">
        <f t="array" ref="P561">IF($BA561="","",INDEX(tblServicios[Contrato],$BA561))</f>
        <v/>
      </c>
      <c r="Q561" t="str" cm="1">
        <f t="array" ref="Q561">IF($BA561="","",INDEX(tblServicios[Vehículo],$BA561))</f>
        <v/>
      </c>
      <c r="R561" s="34" t="str" cm="1">
        <f t="array" ref="R561">IF($BA561="","",INDEX(tblServicios[Base imponible (€)],$BA561)-INDEX(tblServicios[Imp. suplemento (€)],$BA561))</f>
        <v/>
      </c>
      <c r="S561" s="34" t="str" cm="1">
        <f t="array" ref="S561">IF($BA561="","",INDEX(tblServicios[Imp. suplemento (€)],$BA561))</f>
        <v/>
      </c>
      <c r="T561" t="str" cm="1">
        <f t="array" ref="T561">IF($BA561="","",INDEX(tblServicios[Tipo suplemento],$BA561))</f>
        <v/>
      </c>
      <c r="U561" s="2" t="str">
        <f t="shared" si="10"/>
        <v/>
      </c>
      <c r="V561" t="str" cm="1">
        <f t="array" ref="V561">IF($BA561="","",IF(INDEX(tblServicios[Conductor],$BA561)=$T$2,"Conductor",IF(INDEX(tblServicios[Personal adicional],$BA561)=$T$2,"Personal adicional","")))</f>
        <v/>
      </c>
      <c r="BA561" s="33" t="str" cm="1">
        <f t="array" ref="BA5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adicional]=$T$2))&gt;0)),ROW(A563)),"")</f>
        <v/>
      </c>
    </row>
    <row r="562" spans="15:53" x14ac:dyDescent="0.35">
      <c r="O562" s="1" t="str" cm="1">
        <f t="array" ref="O562">IF($BA562="","",INDEX(tblServicios[Fecha],$BA562))</f>
        <v/>
      </c>
      <c r="P562" t="str" cm="1">
        <f t="array" ref="P562">IF($BA562="","",INDEX(tblServicios[Contrato],$BA562))</f>
        <v/>
      </c>
      <c r="Q562" t="str" cm="1">
        <f t="array" ref="Q562">IF($BA562="","",INDEX(tblServicios[Vehículo],$BA562))</f>
        <v/>
      </c>
      <c r="R562" s="34" t="str" cm="1">
        <f t="array" ref="R562">IF($BA562="","",INDEX(tblServicios[Base imponible (€)],$BA562)-INDEX(tblServicios[Imp. suplemento (€)],$BA562))</f>
        <v/>
      </c>
      <c r="S562" s="34" t="str" cm="1">
        <f t="array" ref="S562">IF($BA562="","",INDEX(tblServicios[Imp. suplemento (€)],$BA562))</f>
        <v/>
      </c>
      <c r="T562" t="str" cm="1">
        <f t="array" ref="T562">IF($BA562="","",INDEX(tblServicios[Tipo suplemento],$BA562))</f>
        <v/>
      </c>
      <c r="U562" s="2" t="str">
        <f t="shared" si="10"/>
        <v/>
      </c>
      <c r="V562" t="str" cm="1">
        <f t="array" ref="V562">IF($BA562="","",IF(INDEX(tblServicios[Conductor],$BA562)=$T$2,"Conductor",IF(INDEX(tblServicios[Personal adicional],$BA562)=$T$2,"Personal adicional","")))</f>
        <v/>
      </c>
      <c r="BA562" s="33" t="str" cm="1">
        <f t="array" ref="BA5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adicional]=$T$2))&gt;0)),ROW(A564)),"")</f>
        <v/>
      </c>
    </row>
    <row r="563" spans="15:53" x14ac:dyDescent="0.35">
      <c r="O563" s="1" t="str" cm="1">
        <f t="array" ref="O563">IF($BA563="","",INDEX(tblServicios[Fecha],$BA563))</f>
        <v/>
      </c>
      <c r="P563" t="str" cm="1">
        <f t="array" ref="P563">IF($BA563="","",INDEX(tblServicios[Contrato],$BA563))</f>
        <v/>
      </c>
      <c r="Q563" t="str" cm="1">
        <f t="array" ref="Q563">IF($BA563="","",INDEX(tblServicios[Vehículo],$BA563))</f>
        <v/>
      </c>
      <c r="R563" s="34" t="str" cm="1">
        <f t="array" ref="R563">IF($BA563="","",INDEX(tblServicios[Base imponible (€)],$BA563)-INDEX(tblServicios[Imp. suplemento (€)],$BA563))</f>
        <v/>
      </c>
      <c r="S563" s="34" t="str" cm="1">
        <f t="array" ref="S563">IF($BA563="","",INDEX(tblServicios[Imp. suplemento (€)],$BA563))</f>
        <v/>
      </c>
      <c r="T563" t="str" cm="1">
        <f t="array" ref="T563">IF($BA563="","",INDEX(tblServicios[Tipo suplemento],$BA563))</f>
        <v/>
      </c>
      <c r="U563" s="2" t="str">
        <f t="shared" si="10"/>
        <v/>
      </c>
      <c r="V563" t="str" cm="1">
        <f t="array" ref="V563">IF($BA563="","",IF(INDEX(tblServicios[Conductor],$BA563)=$T$2,"Conductor",IF(INDEX(tblServicios[Personal adicional],$BA563)=$T$2,"Personal adicional","")))</f>
        <v/>
      </c>
      <c r="BA563" s="33" t="str" cm="1">
        <f t="array" ref="BA5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adicional]=$T$2))&gt;0)),ROW(A565)),"")</f>
        <v/>
      </c>
    </row>
    <row r="564" spans="15:53" x14ac:dyDescent="0.35">
      <c r="O564" s="1" t="str" cm="1">
        <f t="array" ref="O564">IF($BA564="","",INDEX(tblServicios[Fecha],$BA564))</f>
        <v/>
      </c>
      <c r="P564" t="str" cm="1">
        <f t="array" ref="P564">IF($BA564="","",INDEX(tblServicios[Contrato],$BA564))</f>
        <v/>
      </c>
      <c r="Q564" t="str" cm="1">
        <f t="array" ref="Q564">IF($BA564="","",INDEX(tblServicios[Vehículo],$BA564))</f>
        <v/>
      </c>
      <c r="R564" s="34" t="str" cm="1">
        <f t="array" ref="R564">IF($BA564="","",INDEX(tblServicios[Base imponible (€)],$BA564)-INDEX(tblServicios[Imp. suplemento (€)],$BA564))</f>
        <v/>
      </c>
      <c r="S564" s="34" t="str" cm="1">
        <f t="array" ref="S564">IF($BA564="","",INDEX(tblServicios[Imp. suplemento (€)],$BA564))</f>
        <v/>
      </c>
      <c r="T564" t="str" cm="1">
        <f t="array" ref="T564">IF($BA564="","",INDEX(tblServicios[Tipo suplemento],$BA564))</f>
        <v/>
      </c>
      <c r="U564" s="2" t="str">
        <f t="shared" si="10"/>
        <v/>
      </c>
      <c r="V564" t="str" cm="1">
        <f t="array" ref="V564">IF($BA564="","",IF(INDEX(tblServicios[Conductor],$BA564)=$T$2,"Conductor",IF(INDEX(tblServicios[Personal adicional],$BA564)=$T$2,"Personal adicional","")))</f>
        <v/>
      </c>
      <c r="BA564" s="33" t="str" cm="1">
        <f t="array" ref="BA5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adicional]=$T$2))&gt;0)),ROW(A566)),"")</f>
        <v/>
      </c>
    </row>
    <row r="565" spans="15:53" x14ac:dyDescent="0.35">
      <c r="O565" s="1" t="str" cm="1">
        <f t="array" ref="O565">IF($BA565="","",INDEX(tblServicios[Fecha],$BA565))</f>
        <v/>
      </c>
      <c r="P565" t="str" cm="1">
        <f t="array" ref="P565">IF($BA565="","",INDEX(tblServicios[Contrato],$BA565))</f>
        <v/>
      </c>
      <c r="Q565" t="str" cm="1">
        <f t="array" ref="Q565">IF($BA565="","",INDEX(tblServicios[Vehículo],$BA565))</f>
        <v/>
      </c>
      <c r="R565" s="34" t="str" cm="1">
        <f t="array" ref="R565">IF($BA565="","",INDEX(tblServicios[Base imponible (€)],$BA565)-INDEX(tblServicios[Imp. suplemento (€)],$BA565))</f>
        <v/>
      </c>
      <c r="S565" s="34" t="str" cm="1">
        <f t="array" ref="S565">IF($BA565="","",INDEX(tblServicios[Imp. suplemento (€)],$BA565))</f>
        <v/>
      </c>
      <c r="T565" t="str" cm="1">
        <f t="array" ref="T565">IF($BA565="","",INDEX(tblServicios[Tipo suplemento],$BA565))</f>
        <v/>
      </c>
      <c r="U565" s="2" t="str">
        <f t="shared" si="10"/>
        <v/>
      </c>
      <c r="V565" t="str" cm="1">
        <f t="array" ref="V565">IF($BA565="","",IF(INDEX(tblServicios[Conductor],$BA565)=$T$2,"Conductor",IF(INDEX(tblServicios[Personal adicional],$BA565)=$T$2,"Personal adicional","")))</f>
        <v/>
      </c>
      <c r="BA565" s="33" t="str" cm="1">
        <f t="array" ref="BA5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adicional]=$T$2))&gt;0)),ROW(A567)),"")</f>
        <v/>
      </c>
    </row>
    <row r="566" spans="15:53" x14ac:dyDescent="0.35">
      <c r="O566" s="1" t="str" cm="1">
        <f t="array" ref="O566">IF($BA566="","",INDEX(tblServicios[Fecha],$BA566))</f>
        <v/>
      </c>
      <c r="P566" t="str" cm="1">
        <f t="array" ref="P566">IF($BA566="","",INDEX(tblServicios[Contrato],$BA566))</f>
        <v/>
      </c>
      <c r="Q566" t="str" cm="1">
        <f t="array" ref="Q566">IF($BA566="","",INDEX(tblServicios[Vehículo],$BA566))</f>
        <v/>
      </c>
      <c r="R566" s="34" t="str" cm="1">
        <f t="array" ref="R566">IF($BA566="","",INDEX(tblServicios[Base imponible (€)],$BA566)-INDEX(tblServicios[Imp. suplemento (€)],$BA566))</f>
        <v/>
      </c>
      <c r="S566" s="34" t="str" cm="1">
        <f t="array" ref="S566">IF($BA566="","",INDEX(tblServicios[Imp. suplemento (€)],$BA566))</f>
        <v/>
      </c>
      <c r="T566" t="str" cm="1">
        <f t="array" ref="T566">IF($BA566="","",INDEX(tblServicios[Tipo suplemento],$BA566))</f>
        <v/>
      </c>
      <c r="U566" s="2" t="str">
        <f t="shared" si="10"/>
        <v/>
      </c>
      <c r="V566" t="str" cm="1">
        <f t="array" ref="V566">IF($BA566="","",IF(INDEX(tblServicios[Conductor],$BA566)=$T$2,"Conductor",IF(INDEX(tblServicios[Personal adicional],$BA566)=$T$2,"Personal adicional","")))</f>
        <v/>
      </c>
      <c r="BA566" s="33" t="str" cm="1">
        <f t="array" ref="BA5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adicional]=$T$2))&gt;0)),ROW(A568)),"")</f>
        <v/>
      </c>
    </row>
    <row r="567" spans="15:53" x14ac:dyDescent="0.35">
      <c r="O567" s="1" t="str" cm="1">
        <f t="array" ref="O567">IF($BA567="","",INDEX(tblServicios[Fecha],$BA567))</f>
        <v/>
      </c>
      <c r="P567" t="str" cm="1">
        <f t="array" ref="P567">IF($BA567="","",INDEX(tblServicios[Contrato],$BA567))</f>
        <v/>
      </c>
      <c r="Q567" t="str" cm="1">
        <f t="array" ref="Q567">IF($BA567="","",INDEX(tblServicios[Vehículo],$BA567))</f>
        <v/>
      </c>
      <c r="R567" s="34" t="str" cm="1">
        <f t="array" ref="R567">IF($BA567="","",INDEX(tblServicios[Base imponible (€)],$BA567)-INDEX(tblServicios[Imp. suplemento (€)],$BA567))</f>
        <v/>
      </c>
      <c r="S567" s="34" t="str" cm="1">
        <f t="array" ref="S567">IF($BA567="","",INDEX(tblServicios[Imp. suplemento (€)],$BA567))</f>
        <v/>
      </c>
      <c r="T567" t="str" cm="1">
        <f t="array" ref="T567">IF($BA567="","",INDEX(tblServicios[Tipo suplemento],$BA567))</f>
        <v/>
      </c>
      <c r="U567" s="2" t="str">
        <f t="shared" si="10"/>
        <v/>
      </c>
      <c r="V567" t="str" cm="1">
        <f t="array" ref="V567">IF($BA567="","",IF(INDEX(tblServicios[Conductor],$BA567)=$T$2,"Conductor",IF(INDEX(tblServicios[Personal adicional],$BA567)=$T$2,"Personal adicional","")))</f>
        <v/>
      </c>
      <c r="BA567" s="33" t="str" cm="1">
        <f t="array" ref="BA5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adicional]=$T$2))&gt;0)),ROW(A569)),"")</f>
        <v/>
      </c>
    </row>
    <row r="568" spans="15:53" x14ac:dyDescent="0.35">
      <c r="O568" s="1" t="str" cm="1">
        <f t="array" ref="O568">IF($BA568="","",INDEX(tblServicios[Fecha],$BA568))</f>
        <v/>
      </c>
      <c r="P568" t="str" cm="1">
        <f t="array" ref="P568">IF($BA568="","",INDEX(tblServicios[Contrato],$BA568))</f>
        <v/>
      </c>
      <c r="Q568" t="str" cm="1">
        <f t="array" ref="Q568">IF($BA568="","",INDEX(tblServicios[Vehículo],$BA568))</f>
        <v/>
      </c>
      <c r="R568" s="34" t="str" cm="1">
        <f t="array" ref="R568">IF($BA568="","",INDEX(tblServicios[Base imponible (€)],$BA568)-INDEX(tblServicios[Imp. suplemento (€)],$BA568))</f>
        <v/>
      </c>
      <c r="S568" s="34" t="str" cm="1">
        <f t="array" ref="S568">IF($BA568="","",INDEX(tblServicios[Imp. suplemento (€)],$BA568))</f>
        <v/>
      </c>
      <c r="T568" t="str" cm="1">
        <f t="array" ref="T568">IF($BA568="","",INDEX(tblServicios[Tipo suplemento],$BA568))</f>
        <v/>
      </c>
      <c r="U568" s="2" t="str">
        <f t="shared" si="10"/>
        <v/>
      </c>
      <c r="V568" t="str" cm="1">
        <f t="array" ref="V568">IF($BA568="","",IF(INDEX(tblServicios[Conductor],$BA568)=$T$2,"Conductor",IF(INDEX(tblServicios[Personal adicional],$BA568)=$T$2,"Personal adicional","")))</f>
        <v/>
      </c>
      <c r="BA568" s="33" t="str" cm="1">
        <f t="array" ref="BA5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adicional]=$T$2))&gt;0)),ROW(A570)),"")</f>
        <v/>
      </c>
    </row>
    <row r="569" spans="15:53" x14ac:dyDescent="0.35">
      <c r="O569" s="1" t="str" cm="1">
        <f t="array" ref="O569">IF($BA569="","",INDEX(tblServicios[Fecha],$BA569))</f>
        <v/>
      </c>
      <c r="P569" t="str" cm="1">
        <f t="array" ref="P569">IF($BA569="","",INDEX(tblServicios[Contrato],$BA569))</f>
        <v/>
      </c>
      <c r="Q569" t="str" cm="1">
        <f t="array" ref="Q569">IF($BA569="","",INDEX(tblServicios[Vehículo],$BA569))</f>
        <v/>
      </c>
      <c r="R569" s="34" t="str" cm="1">
        <f t="array" ref="R569">IF($BA569="","",INDEX(tblServicios[Base imponible (€)],$BA569)-INDEX(tblServicios[Imp. suplemento (€)],$BA569))</f>
        <v/>
      </c>
      <c r="S569" s="34" t="str" cm="1">
        <f t="array" ref="S569">IF($BA569="","",INDEX(tblServicios[Imp. suplemento (€)],$BA569))</f>
        <v/>
      </c>
      <c r="T569" t="str" cm="1">
        <f t="array" ref="T569">IF($BA569="","",INDEX(tblServicios[Tipo suplemento],$BA569))</f>
        <v/>
      </c>
      <c r="U569" s="2" t="str">
        <f t="shared" si="10"/>
        <v/>
      </c>
      <c r="V569" t="str" cm="1">
        <f t="array" ref="V569">IF($BA569="","",IF(INDEX(tblServicios[Conductor],$BA569)=$T$2,"Conductor",IF(INDEX(tblServicios[Personal adicional],$BA569)=$T$2,"Personal adicional","")))</f>
        <v/>
      </c>
      <c r="BA569" s="33" t="str" cm="1">
        <f t="array" ref="BA5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adicional]=$T$2))&gt;0)),ROW(A571)),"")</f>
        <v/>
      </c>
    </row>
    <row r="570" spans="15:53" x14ac:dyDescent="0.35">
      <c r="O570" s="1" t="str" cm="1">
        <f t="array" ref="O570">IF($BA570="","",INDEX(tblServicios[Fecha],$BA570))</f>
        <v/>
      </c>
      <c r="P570" t="str" cm="1">
        <f t="array" ref="P570">IF($BA570="","",INDEX(tblServicios[Contrato],$BA570))</f>
        <v/>
      </c>
      <c r="Q570" t="str" cm="1">
        <f t="array" ref="Q570">IF($BA570="","",INDEX(tblServicios[Vehículo],$BA570))</f>
        <v/>
      </c>
      <c r="R570" s="34" t="str" cm="1">
        <f t="array" ref="R570">IF($BA570="","",INDEX(tblServicios[Base imponible (€)],$BA570)-INDEX(tblServicios[Imp. suplemento (€)],$BA570))</f>
        <v/>
      </c>
      <c r="S570" s="34" t="str" cm="1">
        <f t="array" ref="S570">IF($BA570="","",INDEX(tblServicios[Imp. suplemento (€)],$BA570))</f>
        <v/>
      </c>
      <c r="T570" t="str" cm="1">
        <f t="array" ref="T570">IF($BA570="","",INDEX(tblServicios[Tipo suplemento],$BA570))</f>
        <v/>
      </c>
      <c r="U570" s="2" t="str">
        <f t="shared" si="10"/>
        <v/>
      </c>
      <c r="V570" t="str" cm="1">
        <f t="array" ref="V570">IF($BA570="","",IF(INDEX(tblServicios[Conductor],$BA570)=$T$2,"Conductor",IF(INDEX(tblServicios[Personal adicional],$BA570)=$T$2,"Personal adicional","")))</f>
        <v/>
      </c>
      <c r="BA570" s="33" t="str" cm="1">
        <f t="array" ref="BA5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adicional]=$T$2))&gt;0)),ROW(A572)),"")</f>
        <v/>
      </c>
    </row>
    <row r="571" spans="15:53" x14ac:dyDescent="0.35">
      <c r="O571" s="1" t="str" cm="1">
        <f t="array" ref="O571">IF($BA571="","",INDEX(tblServicios[Fecha],$BA571))</f>
        <v/>
      </c>
      <c r="P571" t="str" cm="1">
        <f t="array" ref="P571">IF($BA571="","",INDEX(tblServicios[Contrato],$BA571))</f>
        <v/>
      </c>
      <c r="Q571" t="str" cm="1">
        <f t="array" ref="Q571">IF($BA571="","",INDEX(tblServicios[Vehículo],$BA571))</f>
        <v/>
      </c>
      <c r="R571" s="34" t="str" cm="1">
        <f t="array" ref="R571">IF($BA571="","",INDEX(tblServicios[Base imponible (€)],$BA571)-INDEX(tblServicios[Imp. suplemento (€)],$BA571))</f>
        <v/>
      </c>
      <c r="S571" s="34" t="str" cm="1">
        <f t="array" ref="S571">IF($BA571="","",INDEX(tblServicios[Imp. suplemento (€)],$BA571))</f>
        <v/>
      </c>
      <c r="T571" t="str" cm="1">
        <f t="array" ref="T571">IF($BA571="","",INDEX(tblServicios[Tipo suplemento],$BA571))</f>
        <v/>
      </c>
      <c r="U571" s="2" t="str">
        <f t="shared" si="10"/>
        <v/>
      </c>
      <c r="V571" t="str" cm="1">
        <f t="array" ref="V571">IF($BA571="","",IF(INDEX(tblServicios[Conductor],$BA571)=$T$2,"Conductor",IF(INDEX(tblServicios[Personal adicional],$BA571)=$T$2,"Personal adicional","")))</f>
        <v/>
      </c>
      <c r="BA571" s="33" t="str" cm="1">
        <f t="array" ref="BA5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adicional]=$T$2))&gt;0)),ROW(A573)),"")</f>
        <v/>
      </c>
    </row>
    <row r="572" spans="15:53" x14ac:dyDescent="0.35">
      <c r="O572" s="1" t="str" cm="1">
        <f t="array" ref="O572">IF($BA572="","",INDEX(tblServicios[Fecha],$BA572))</f>
        <v/>
      </c>
      <c r="P572" t="str" cm="1">
        <f t="array" ref="P572">IF($BA572="","",INDEX(tblServicios[Contrato],$BA572))</f>
        <v/>
      </c>
      <c r="Q572" t="str" cm="1">
        <f t="array" ref="Q572">IF($BA572="","",INDEX(tblServicios[Vehículo],$BA572))</f>
        <v/>
      </c>
      <c r="R572" s="34" t="str" cm="1">
        <f t="array" ref="R572">IF($BA572="","",INDEX(tblServicios[Base imponible (€)],$BA572)-INDEX(tblServicios[Imp. suplemento (€)],$BA572))</f>
        <v/>
      </c>
      <c r="S572" s="34" t="str" cm="1">
        <f t="array" ref="S572">IF($BA572="","",INDEX(tblServicios[Imp. suplemento (€)],$BA572))</f>
        <v/>
      </c>
      <c r="T572" t="str" cm="1">
        <f t="array" ref="T572">IF($BA572="","",INDEX(tblServicios[Tipo suplemento],$BA572))</f>
        <v/>
      </c>
      <c r="U572" s="2" t="str">
        <f t="shared" si="10"/>
        <v/>
      </c>
      <c r="V572" t="str" cm="1">
        <f t="array" ref="V572">IF($BA572="","",IF(INDEX(tblServicios[Conductor],$BA572)=$T$2,"Conductor",IF(INDEX(tblServicios[Personal adicional],$BA572)=$T$2,"Personal adicional","")))</f>
        <v/>
      </c>
      <c r="BA572" s="33" t="str" cm="1">
        <f t="array" ref="BA5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adicional]=$T$2))&gt;0)),ROW(A574)),"")</f>
        <v/>
      </c>
    </row>
    <row r="573" spans="15:53" x14ac:dyDescent="0.35">
      <c r="O573" s="1" t="str" cm="1">
        <f t="array" ref="O573">IF($BA573="","",INDEX(tblServicios[Fecha],$BA573))</f>
        <v/>
      </c>
      <c r="P573" t="str" cm="1">
        <f t="array" ref="P573">IF($BA573="","",INDEX(tblServicios[Contrato],$BA573))</f>
        <v/>
      </c>
      <c r="Q573" t="str" cm="1">
        <f t="array" ref="Q573">IF($BA573="","",INDEX(tblServicios[Vehículo],$BA573))</f>
        <v/>
      </c>
      <c r="R573" s="34" t="str" cm="1">
        <f t="array" ref="R573">IF($BA573="","",INDEX(tblServicios[Base imponible (€)],$BA573)-INDEX(tblServicios[Imp. suplemento (€)],$BA573))</f>
        <v/>
      </c>
      <c r="S573" s="34" t="str" cm="1">
        <f t="array" ref="S573">IF($BA573="","",INDEX(tblServicios[Imp. suplemento (€)],$BA573))</f>
        <v/>
      </c>
      <c r="T573" t="str" cm="1">
        <f t="array" ref="T573">IF($BA573="","",INDEX(tblServicios[Tipo suplemento],$BA573))</f>
        <v/>
      </c>
      <c r="U573" s="2" t="str">
        <f t="shared" si="10"/>
        <v/>
      </c>
      <c r="V573" t="str" cm="1">
        <f t="array" ref="V573">IF($BA573="","",IF(INDEX(tblServicios[Conductor],$BA573)=$T$2,"Conductor",IF(INDEX(tblServicios[Personal adicional],$BA573)=$T$2,"Personal adicional","")))</f>
        <v/>
      </c>
      <c r="BA573" s="33" t="str" cm="1">
        <f t="array" ref="BA5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adicional]=$T$2))&gt;0)),ROW(A575)),"")</f>
        <v/>
      </c>
    </row>
    <row r="574" spans="15:53" x14ac:dyDescent="0.35">
      <c r="O574" s="1" t="str" cm="1">
        <f t="array" ref="O574">IF($BA574="","",INDEX(tblServicios[Fecha],$BA574))</f>
        <v/>
      </c>
      <c r="P574" t="str" cm="1">
        <f t="array" ref="P574">IF($BA574="","",INDEX(tblServicios[Contrato],$BA574))</f>
        <v/>
      </c>
      <c r="Q574" t="str" cm="1">
        <f t="array" ref="Q574">IF($BA574="","",INDEX(tblServicios[Vehículo],$BA574))</f>
        <v/>
      </c>
      <c r="R574" s="34" t="str" cm="1">
        <f t="array" ref="R574">IF($BA574="","",INDEX(tblServicios[Base imponible (€)],$BA574)-INDEX(tblServicios[Imp. suplemento (€)],$BA574))</f>
        <v/>
      </c>
      <c r="S574" s="34" t="str" cm="1">
        <f t="array" ref="S574">IF($BA574="","",INDEX(tblServicios[Imp. suplemento (€)],$BA574))</f>
        <v/>
      </c>
      <c r="T574" t="str" cm="1">
        <f t="array" ref="T574">IF($BA574="","",INDEX(tblServicios[Tipo suplemento],$BA574))</f>
        <v/>
      </c>
      <c r="U574" s="2" t="str">
        <f t="shared" si="10"/>
        <v/>
      </c>
      <c r="V574" t="str" cm="1">
        <f t="array" ref="V574">IF($BA574="","",IF(INDEX(tblServicios[Conductor],$BA574)=$T$2,"Conductor",IF(INDEX(tblServicios[Personal adicional],$BA574)=$T$2,"Personal adicional","")))</f>
        <v/>
      </c>
      <c r="BA574" s="33" t="str" cm="1">
        <f t="array" ref="BA5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adicional]=$T$2))&gt;0)),ROW(A576)),"")</f>
        <v/>
      </c>
    </row>
    <row r="575" spans="15:53" x14ac:dyDescent="0.35">
      <c r="O575" s="1" t="str" cm="1">
        <f t="array" ref="O575">IF($BA575="","",INDEX(tblServicios[Fecha],$BA575))</f>
        <v/>
      </c>
      <c r="P575" t="str" cm="1">
        <f t="array" ref="P575">IF($BA575="","",INDEX(tblServicios[Contrato],$BA575))</f>
        <v/>
      </c>
      <c r="Q575" t="str" cm="1">
        <f t="array" ref="Q575">IF($BA575="","",INDEX(tblServicios[Vehículo],$BA575))</f>
        <v/>
      </c>
      <c r="R575" s="34" t="str" cm="1">
        <f t="array" ref="R575">IF($BA575="","",INDEX(tblServicios[Base imponible (€)],$BA575)-INDEX(tblServicios[Imp. suplemento (€)],$BA575))</f>
        <v/>
      </c>
      <c r="S575" s="34" t="str" cm="1">
        <f t="array" ref="S575">IF($BA575="","",INDEX(tblServicios[Imp. suplemento (€)],$BA575))</f>
        <v/>
      </c>
      <c r="T575" t="str" cm="1">
        <f t="array" ref="T575">IF($BA575="","",INDEX(tblServicios[Tipo suplemento],$BA575))</f>
        <v/>
      </c>
      <c r="U575" s="2" t="str">
        <f t="shared" si="10"/>
        <v/>
      </c>
      <c r="V575" t="str" cm="1">
        <f t="array" ref="V575">IF($BA575="","",IF(INDEX(tblServicios[Conductor],$BA575)=$T$2,"Conductor",IF(INDEX(tblServicios[Personal adicional],$BA575)=$T$2,"Personal adicional","")))</f>
        <v/>
      </c>
      <c r="BA575" s="33" t="str" cm="1">
        <f t="array" ref="BA5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adicional]=$T$2))&gt;0)),ROW(A577)),"")</f>
        <v/>
      </c>
    </row>
    <row r="576" spans="15:53" x14ac:dyDescent="0.35">
      <c r="O576" s="1" t="str" cm="1">
        <f t="array" ref="O576">IF($BA576="","",INDEX(tblServicios[Fecha],$BA576))</f>
        <v/>
      </c>
      <c r="P576" t="str" cm="1">
        <f t="array" ref="P576">IF($BA576="","",INDEX(tblServicios[Contrato],$BA576))</f>
        <v/>
      </c>
      <c r="Q576" t="str" cm="1">
        <f t="array" ref="Q576">IF($BA576="","",INDEX(tblServicios[Vehículo],$BA576))</f>
        <v/>
      </c>
      <c r="R576" s="34" t="str" cm="1">
        <f t="array" ref="R576">IF($BA576="","",INDEX(tblServicios[Base imponible (€)],$BA576)-INDEX(tblServicios[Imp. suplemento (€)],$BA576))</f>
        <v/>
      </c>
      <c r="S576" s="34" t="str" cm="1">
        <f t="array" ref="S576">IF($BA576="","",INDEX(tblServicios[Imp. suplemento (€)],$BA576))</f>
        <v/>
      </c>
      <c r="T576" t="str" cm="1">
        <f t="array" ref="T576">IF($BA576="","",INDEX(tblServicios[Tipo suplemento],$BA576))</f>
        <v/>
      </c>
      <c r="U576" s="2" t="str">
        <f t="shared" si="10"/>
        <v/>
      </c>
      <c r="V576" t="str" cm="1">
        <f t="array" ref="V576">IF($BA576="","",IF(INDEX(tblServicios[Conductor],$BA576)=$T$2,"Conductor",IF(INDEX(tblServicios[Personal adicional],$BA576)=$T$2,"Personal adicional","")))</f>
        <v/>
      </c>
      <c r="BA576" s="33" t="str" cm="1">
        <f t="array" ref="BA5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adicional]=$T$2))&gt;0)),ROW(A578)),"")</f>
        <v/>
      </c>
    </row>
    <row r="577" spans="15:53" x14ac:dyDescent="0.35">
      <c r="O577" s="1" t="str" cm="1">
        <f t="array" ref="O577">IF($BA577="","",INDEX(tblServicios[Fecha],$BA577))</f>
        <v/>
      </c>
      <c r="P577" t="str" cm="1">
        <f t="array" ref="P577">IF($BA577="","",INDEX(tblServicios[Contrato],$BA577))</f>
        <v/>
      </c>
      <c r="Q577" t="str" cm="1">
        <f t="array" ref="Q577">IF($BA577="","",INDEX(tblServicios[Vehículo],$BA577))</f>
        <v/>
      </c>
      <c r="R577" s="34" t="str" cm="1">
        <f t="array" ref="R577">IF($BA577="","",INDEX(tblServicios[Base imponible (€)],$BA577)-INDEX(tblServicios[Imp. suplemento (€)],$BA577))</f>
        <v/>
      </c>
      <c r="S577" s="34" t="str" cm="1">
        <f t="array" ref="S577">IF($BA577="","",INDEX(tblServicios[Imp. suplemento (€)],$BA577))</f>
        <v/>
      </c>
      <c r="T577" t="str" cm="1">
        <f t="array" ref="T577">IF($BA577="","",INDEX(tblServicios[Tipo suplemento],$BA577))</f>
        <v/>
      </c>
      <c r="U577" s="2" t="str">
        <f t="shared" si="10"/>
        <v/>
      </c>
      <c r="V577" t="str" cm="1">
        <f t="array" ref="V577">IF($BA577="","",IF(INDEX(tblServicios[Conductor],$BA577)=$T$2,"Conductor",IF(INDEX(tblServicios[Personal adicional],$BA577)=$T$2,"Personal adicional","")))</f>
        <v/>
      </c>
      <c r="BA577" s="33" t="str" cm="1">
        <f t="array" ref="BA5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adicional]=$T$2))&gt;0)),ROW(A579)),"")</f>
        <v/>
      </c>
    </row>
    <row r="578" spans="15:53" x14ac:dyDescent="0.35">
      <c r="O578" s="1" t="str" cm="1">
        <f t="array" ref="O578">IF($BA578="","",INDEX(tblServicios[Fecha],$BA578))</f>
        <v/>
      </c>
      <c r="P578" t="str" cm="1">
        <f t="array" ref="P578">IF($BA578="","",INDEX(tblServicios[Contrato],$BA578))</f>
        <v/>
      </c>
      <c r="Q578" t="str" cm="1">
        <f t="array" ref="Q578">IF($BA578="","",INDEX(tblServicios[Vehículo],$BA578))</f>
        <v/>
      </c>
      <c r="R578" s="34" t="str" cm="1">
        <f t="array" ref="R578">IF($BA578="","",INDEX(tblServicios[Base imponible (€)],$BA578)-INDEX(tblServicios[Imp. suplemento (€)],$BA578))</f>
        <v/>
      </c>
      <c r="S578" s="34" t="str" cm="1">
        <f t="array" ref="S578">IF($BA578="","",INDEX(tblServicios[Imp. suplemento (€)],$BA578))</f>
        <v/>
      </c>
      <c r="T578" t="str" cm="1">
        <f t="array" ref="T578">IF($BA578="","",INDEX(tblServicios[Tipo suplemento],$BA578))</f>
        <v/>
      </c>
      <c r="U578" s="2" t="str">
        <f t="shared" si="10"/>
        <v/>
      </c>
      <c r="V578" t="str" cm="1">
        <f t="array" ref="V578">IF($BA578="","",IF(INDEX(tblServicios[Conductor],$BA578)=$T$2,"Conductor",IF(INDEX(tblServicios[Personal adicional],$BA578)=$T$2,"Personal adicional","")))</f>
        <v/>
      </c>
      <c r="BA578" s="33" t="str" cm="1">
        <f t="array" ref="BA5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adicional]=$T$2))&gt;0)),ROW(A580)),"")</f>
        <v/>
      </c>
    </row>
    <row r="579" spans="15:53" x14ac:dyDescent="0.35">
      <c r="O579" s="1" t="str" cm="1">
        <f t="array" ref="O579">IF($BA579="","",INDEX(tblServicios[Fecha],$BA579))</f>
        <v/>
      </c>
      <c r="P579" t="str" cm="1">
        <f t="array" ref="P579">IF($BA579="","",INDEX(tblServicios[Contrato],$BA579))</f>
        <v/>
      </c>
      <c r="Q579" t="str" cm="1">
        <f t="array" ref="Q579">IF($BA579="","",INDEX(tblServicios[Vehículo],$BA579))</f>
        <v/>
      </c>
      <c r="R579" s="34" t="str" cm="1">
        <f t="array" ref="R579">IF($BA579="","",INDEX(tblServicios[Base imponible (€)],$BA579)-INDEX(tblServicios[Imp. suplemento (€)],$BA579))</f>
        <v/>
      </c>
      <c r="S579" s="34" t="str" cm="1">
        <f t="array" ref="S579">IF($BA579="","",INDEX(tblServicios[Imp. suplemento (€)],$BA579))</f>
        <v/>
      </c>
      <c r="T579" t="str" cm="1">
        <f t="array" ref="T579">IF($BA579="","",INDEX(tblServicios[Tipo suplemento],$BA579))</f>
        <v/>
      </c>
      <c r="U579" s="2" t="str">
        <f t="shared" si="10"/>
        <v/>
      </c>
      <c r="V579" t="str" cm="1">
        <f t="array" ref="V579">IF($BA579="","",IF(INDEX(tblServicios[Conductor],$BA579)=$T$2,"Conductor",IF(INDEX(tblServicios[Personal adicional],$BA579)=$T$2,"Personal adicional","")))</f>
        <v/>
      </c>
      <c r="BA579" s="33" t="str" cm="1">
        <f t="array" ref="BA5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adicional]=$T$2))&gt;0)),ROW(A581)),"")</f>
        <v/>
      </c>
    </row>
    <row r="580" spans="15:53" x14ac:dyDescent="0.35">
      <c r="O580" s="1" t="str" cm="1">
        <f t="array" ref="O580">IF($BA580="","",INDEX(tblServicios[Fecha],$BA580))</f>
        <v/>
      </c>
      <c r="P580" t="str" cm="1">
        <f t="array" ref="P580">IF($BA580="","",INDEX(tblServicios[Contrato],$BA580))</f>
        <v/>
      </c>
      <c r="Q580" t="str" cm="1">
        <f t="array" ref="Q580">IF($BA580="","",INDEX(tblServicios[Vehículo],$BA580))</f>
        <v/>
      </c>
      <c r="R580" s="34" t="str" cm="1">
        <f t="array" ref="R580">IF($BA580="","",INDEX(tblServicios[Base imponible (€)],$BA580)-INDEX(tblServicios[Imp. suplemento (€)],$BA580))</f>
        <v/>
      </c>
      <c r="S580" s="34" t="str" cm="1">
        <f t="array" ref="S580">IF($BA580="","",INDEX(tblServicios[Imp. suplemento (€)],$BA580))</f>
        <v/>
      </c>
      <c r="T580" t="str" cm="1">
        <f t="array" ref="T580">IF($BA580="","",INDEX(tblServicios[Tipo suplemento],$BA580))</f>
        <v/>
      </c>
      <c r="U580" s="2" t="str">
        <f t="shared" si="10"/>
        <v/>
      </c>
      <c r="V580" t="str" cm="1">
        <f t="array" ref="V580">IF($BA580="","",IF(INDEX(tblServicios[Conductor],$BA580)=$T$2,"Conductor",IF(INDEX(tblServicios[Personal adicional],$BA580)=$T$2,"Personal adicional","")))</f>
        <v/>
      </c>
      <c r="BA580" s="33" t="str" cm="1">
        <f t="array" ref="BA5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adicional]=$T$2))&gt;0)),ROW(A582)),"")</f>
        <v/>
      </c>
    </row>
    <row r="581" spans="15:53" x14ac:dyDescent="0.35">
      <c r="O581" s="1" t="str" cm="1">
        <f t="array" ref="O581">IF($BA581="","",INDEX(tblServicios[Fecha],$BA581))</f>
        <v/>
      </c>
      <c r="P581" t="str" cm="1">
        <f t="array" ref="P581">IF($BA581="","",INDEX(tblServicios[Contrato],$BA581))</f>
        <v/>
      </c>
      <c r="Q581" t="str" cm="1">
        <f t="array" ref="Q581">IF($BA581="","",INDEX(tblServicios[Vehículo],$BA581))</f>
        <v/>
      </c>
      <c r="R581" s="34" t="str" cm="1">
        <f t="array" ref="R581">IF($BA581="","",INDEX(tblServicios[Base imponible (€)],$BA581)-INDEX(tblServicios[Imp. suplemento (€)],$BA581))</f>
        <v/>
      </c>
      <c r="S581" s="34" t="str" cm="1">
        <f t="array" ref="S581">IF($BA581="","",INDEX(tblServicios[Imp. suplemento (€)],$BA581))</f>
        <v/>
      </c>
      <c r="T581" t="str" cm="1">
        <f t="array" ref="T581">IF($BA581="","",INDEX(tblServicios[Tipo suplemento],$BA581))</f>
        <v/>
      </c>
      <c r="U581" s="2" t="str">
        <f t="shared" si="10"/>
        <v/>
      </c>
      <c r="V581" t="str" cm="1">
        <f t="array" ref="V581">IF($BA581="","",IF(INDEX(tblServicios[Conductor],$BA581)=$T$2,"Conductor",IF(INDEX(tblServicios[Personal adicional],$BA581)=$T$2,"Personal adicional","")))</f>
        <v/>
      </c>
      <c r="BA581" s="33" t="str" cm="1">
        <f t="array" ref="BA5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adicional]=$T$2))&gt;0)),ROW(A583)),"")</f>
        <v/>
      </c>
    </row>
    <row r="582" spans="15:53" x14ac:dyDescent="0.35">
      <c r="O582" s="1" t="str" cm="1">
        <f t="array" ref="O582">IF($BA582="","",INDEX(tblServicios[Fecha],$BA582))</f>
        <v/>
      </c>
      <c r="P582" t="str" cm="1">
        <f t="array" ref="P582">IF($BA582="","",INDEX(tblServicios[Contrato],$BA582))</f>
        <v/>
      </c>
      <c r="Q582" t="str" cm="1">
        <f t="array" ref="Q582">IF($BA582="","",INDEX(tblServicios[Vehículo],$BA582))</f>
        <v/>
      </c>
      <c r="R582" s="34" t="str" cm="1">
        <f t="array" ref="R582">IF($BA582="","",INDEX(tblServicios[Base imponible (€)],$BA582)-INDEX(tblServicios[Imp. suplemento (€)],$BA582))</f>
        <v/>
      </c>
      <c r="S582" s="34" t="str" cm="1">
        <f t="array" ref="S582">IF($BA582="","",INDEX(tblServicios[Imp. suplemento (€)],$BA582))</f>
        <v/>
      </c>
      <c r="T582" t="str" cm="1">
        <f t="array" ref="T582">IF($BA582="","",INDEX(tblServicios[Tipo suplemento],$BA582))</f>
        <v/>
      </c>
      <c r="U582" s="2" t="str">
        <f t="shared" si="10"/>
        <v/>
      </c>
      <c r="V582" t="str" cm="1">
        <f t="array" ref="V582">IF($BA582="","",IF(INDEX(tblServicios[Conductor],$BA582)=$T$2,"Conductor",IF(INDEX(tblServicios[Personal adicional],$BA582)=$T$2,"Personal adicional","")))</f>
        <v/>
      </c>
      <c r="BA582" s="33" t="str" cm="1">
        <f t="array" ref="BA5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adicional]=$T$2))&gt;0)),ROW(A584)),"")</f>
        <v/>
      </c>
    </row>
    <row r="583" spans="15:53" x14ac:dyDescent="0.35">
      <c r="O583" s="1" t="str" cm="1">
        <f t="array" ref="O583">IF($BA583="","",INDEX(tblServicios[Fecha],$BA583))</f>
        <v/>
      </c>
      <c r="P583" t="str" cm="1">
        <f t="array" ref="P583">IF($BA583="","",INDEX(tblServicios[Contrato],$BA583))</f>
        <v/>
      </c>
      <c r="Q583" t="str" cm="1">
        <f t="array" ref="Q583">IF($BA583="","",INDEX(tblServicios[Vehículo],$BA583))</f>
        <v/>
      </c>
      <c r="R583" s="34" t="str" cm="1">
        <f t="array" ref="R583">IF($BA583="","",INDEX(tblServicios[Base imponible (€)],$BA583)-INDEX(tblServicios[Imp. suplemento (€)],$BA583))</f>
        <v/>
      </c>
      <c r="S583" s="34" t="str" cm="1">
        <f t="array" ref="S583">IF($BA583="","",INDEX(tblServicios[Imp. suplemento (€)],$BA583))</f>
        <v/>
      </c>
      <c r="T583" t="str" cm="1">
        <f t="array" ref="T583">IF($BA583="","",INDEX(tblServicios[Tipo suplemento],$BA583))</f>
        <v/>
      </c>
      <c r="U583" s="2" t="str">
        <f t="shared" ref="U583:U646" si="11">IF($BA583="","",R583+S583)</f>
        <v/>
      </c>
      <c r="V583" t="str" cm="1">
        <f t="array" ref="V583">IF($BA583="","",IF(INDEX(tblServicios[Conductor],$BA583)=$T$2,"Conductor",IF(INDEX(tblServicios[Personal adicional],$BA583)=$T$2,"Personal adicional","")))</f>
        <v/>
      </c>
      <c r="BA583" s="33" t="str" cm="1">
        <f t="array" ref="BA5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adicional]=$T$2))&gt;0)),ROW(A585)),"")</f>
        <v/>
      </c>
    </row>
    <row r="584" spans="15:53" x14ac:dyDescent="0.35">
      <c r="O584" s="1" t="str" cm="1">
        <f t="array" ref="O584">IF($BA584="","",INDEX(tblServicios[Fecha],$BA584))</f>
        <v/>
      </c>
      <c r="P584" t="str" cm="1">
        <f t="array" ref="P584">IF($BA584="","",INDEX(tblServicios[Contrato],$BA584))</f>
        <v/>
      </c>
      <c r="Q584" t="str" cm="1">
        <f t="array" ref="Q584">IF($BA584="","",INDEX(tblServicios[Vehículo],$BA584))</f>
        <v/>
      </c>
      <c r="R584" s="34" t="str" cm="1">
        <f t="array" ref="R584">IF($BA584="","",INDEX(tblServicios[Base imponible (€)],$BA584)-INDEX(tblServicios[Imp. suplemento (€)],$BA584))</f>
        <v/>
      </c>
      <c r="S584" s="34" t="str" cm="1">
        <f t="array" ref="S584">IF($BA584="","",INDEX(tblServicios[Imp. suplemento (€)],$BA584))</f>
        <v/>
      </c>
      <c r="T584" t="str" cm="1">
        <f t="array" ref="T584">IF($BA584="","",INDEX(tblServicios[Tipo suplemento],$BA584))</f>
        <v/>
      </c>
      <c r="U584" s="2" t="str">
        <f t="shared" si="11"/>
        <v/>
      </c>
      <c r="V584" t="str" cm="1">
        <f t="array" ref="V584">IF($BA584="","",IF(INDEX(tblServicios[Conductor],$BA584)=$T$2,"Conductor",IF(INDEX(tblServicios[Personal adicional],$BA584)=$T$2,"Personal adicional","")))</f>
        <v/>
      </c>
      <c r="BA584" s="33" t="str" cm="1">
        <f t="array" ref="BA5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adicional]=$T$2))&gt;0)),ROW(A586)),"")</f>
        <v/>
      </c>
    </row>
    <row r="585" spans="15:53" x14ac:dyDescent="0.35">
      <c r="O585" s="1" t="str" cm="1">
        <f t="array" ref="O585">IF($BA585="","",INDEX(tblServicios[Fecha],$BA585))</f>
        <v/>
      </c>
      <c r="P585" t="str" cm="1">
        <f t="array" ref="P585">IF($BA585="","",INDEX(tblServicios[Contrato],$BA585))</f>
        <v/>
      </c>
      <c r="Q585" t="str" cm="1">
        <f t="array" ref="Q585">IF($BA585="","",INDEX(tblServicios[Vehículo],$BA585))</f>
        <v/>
      </c>
      <c r="R585" s="34" t="str" cm="1">
        <f t="array" ref="R585">IF($BA585="","",INDEX(tblServicios[Base imponible (€)],$BA585)-INDEX(tblServicios[Imp. suplemento (€)],$BA585))</f>
        <v/>
      </c>
      <c r="S585" s="34" t="str" cm="1">
        <f t="array" ref="S585">IF($BA585="","",INDEX(tblServicios[Imp. suplemento (€)],$BA585))</f>
        <v/>
      </c>
      <c r="T585" t="str" cm="1">
        <f t="array" ref="T585">IF($BA585="","",INDEX(tblServicios[Tipo suplemento],$BA585))</f>
        <v/>
      </c>
      <c r="U585" s="2" t="str">
        <f t="shared" si="11"/>
        <v/>
      </c>
      <c r="V585" t="str" cm="1">
        <f t="array" ref="V585">IF($BA585="","",IF(INDEX(tblServicios[Conductor],$BA585)=$T$2,"Conductor",IF(INDEX(tblServicios[Personal adicional],$BA585)=$T$2,"Personal adicional","")))</f>
        <v/>
      </c>
      <c r="BA585" s="33" t="str" cm="1">
        <f t="array" ref="BA5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adicional]=$T$2))&gt;0)),ROW(A587)),"")</f>
        <v/>
      </c>
    </row>
    <row r="586" spans="15:53" x14ac:dyDescent="0.35">
      <c r="O586" s="1" t="str" cm="1">
        <f t="array" ref="O586">IF($BA586="","",INDEX(tblServicios[Fecha],$BA586))</f>
        <v/>
      </c>
      <c r="P586" t="str" cm="1">
        <f t="array" ref="P586">IF($BA586="","",INDEX(tblServicios[Contrato],$BA586))</f>
        <v/>
      </c>
      <c r="Q586" t="str" cm="1">
        <f t="array" ref="Q586">IF($BA586="","",INDEX(tblServicios[Vehículo],$BA586))</f>
        <v/>
      </c>
      <c r="R586" s="34" t="str" cm="1">
        <f t="array" ref="R586">IF($BA586="","",INDEX(tblServicios[Base imponible (€)],$BA586)-INDEX(tblServicios[Imp. suplemento (€)],$BA586))</f>
        <v/>
      </c>
      <c r="S586" s="34" t="str" cm="1">
        <f t="array" ref="S586">IF($BA586="","",INDEX(tblServicios[Imp. suplemento (€)],$BA586))</f>
        <v/>
      </c>
      <c r="T586" t="str" cm="1">
        <f t="array" ref="T586">IF($BA586="","",INDEX(tblServicios[Tipo suplemento],$BA586))</f>
        <v/>
      </c>
      <c r="U586" s="2" t="str">
        <f t="shared" si="11"/>
        <v/>
      </c>
      <c r="V586" t="str" cm="1">
        <f t="array" ref="V586">IF($BA586="","",IF(INDEX(tblServicios[Conductor],$BA586)=$T$2,"Conductor",IF(INDEX(tblServicios[Personal adicional],$BA586)=$T$2,"Personal adicional","")))</f>
        <v/>
      </c>
      <c r="BA586" s="33" t="str" cm="1">
        <f t="array" ref="BA5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adicional]=$T$2))&gt;0)),ROW(A588)),"")</f>
        <v/>
      </c>
    </row>
    <row r="587" spans="15:53" x14ac:dyDescent="0.35">
      <c r="O587" s="1" t="str" cm="1">
        <f t="array" ref="O587">IF($BA587="","",INDEX(tblServicios[Fecha],$BA587))</f>
        <v/>
      </c>
      <c r="P587" t="str" cm="1">
        <f t="array" ref="P587">IF($BA587="","",INDEX(tblServicios[Contrato],$BA587))</f>
        <v/>
      </c>
      <c r="Q587" t="str" cm="1">
        <f t="array" ref="Q587">IF($BA587="","",INDEX(tblServicios[Vehículo],$BA587))</f>
        <v/>
      </c>
      <c r="R587" s="34" t="str" cm="1">
        <f t="array" ref="R587">IF($BA587="","",INDEX(tblServicios[Base imponible (€)],$BA587)-INDEX(tblServicios[Imp. suplemento (€)],$BA587))</f>
        <v/>
      </c>
      <c r="S587" s="34" t="str" cm="1">
        <f t="array" ref="S587">IF($BA587="","",INDEX(tblServicios[Imp. suplemento (€)],$BA587))</f>
        <v/>
      </c>
      <c r="T587" t="str" cm="1">
        <f t="array" ref="T587">IF($BA587="","",INDEX(tblServicios[Tipo suplemento],$BA587))</f>
        <v/>
      </c>
      <c r="U587" s="2" t="str">
        <f t="shared" si="11"/>
        <v/>
      </c>
      <c r="V587" t="str" cm="1">
        <f t="array" ref="V587">IF($BA587="","",IF(INDEX(tblServicios[Conductor],$BA587)=$T$2,"Conductor",IF(INDEX(tblServicios[Personal adicional],$BA587)=$T$2,"Personal adicional","")))</f>
        <v/>
      </c>
      <c r="BA587" s="33" t="str" cm="1">
        <f t="array" ref="BA5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adicional]=$T$2))&gt;0)),ROW(A589)),"")</f>
        <v/>
      </c>
    </row>
    <row r="588" spans="15:53" x14ac:dyDescent="0.35">
      <c r="O588" s="1" t="str" cm="1">
        <f t="array" ref="O588">IF($BA588="","",INDEX(tblServicios[Fecha],$BA588))</f>
        <v/>
      </c>
      <c r="P588" t="str" cm="1">
        <f t="array" ref="P588">IF($BA588="","",INDEX(tblServicios[Contrato],$BA588))</f>
        <v/>
      </c>
      <c r="Q588" t="str" cm="1">
        <f t="array" ref="Q588">IF($BA588="","",INDEX(tblServicios[Vehículo],$BA588))</f>
        <v/>
      </c>
      <c r="R588" s="34" t="str" cm="1">
        <f t="array" ref="R588">IF($BA588="","",INDEX(tblServicios[Base imponible (€)],$BA588)-INDEX(tblServicios[Imp. suplemento (€)],$BA588))</f>
        <v/>
      </c>
      <c r="S588" s="34" t="str" cm="1">
        <f t="array" ref="S588">IF($BA588="","",INDEX(tblServicios[Imp. suplemento (€)],$BA588))</f>
        <v/>
      </c>
      <c r="T588" t="str" cm="1">
        <f t="array" ref="T588">IF($BA588="","",INDEX(tblServicios[Tipo suplemento],$BA588))</f>
        <v/>
      </c>
      <c r="U588" s="2" t="str">
        <f t="shared" si="11"/>
        <v/>
      </c>
      <c r="V588" t="str" cm="1">
        <f t="array" ref="V588">IF($BA588="","",IF(INDEX(tblServicios[Conductor],$BA588)=$T$2,"Conductor",IF(INDEX(tblServicios[Personal adicional],$BA588)=$T$2,"Personal adicional","")))</f>
        <v/>
      </c>
      <c r="BA588" s="33" t="str" cm="1">
        <f t="array" ref="BA5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adicional]=$T$2))&gt;0)),ROW(A590)),"")</f>
        <v/>
      </c>
    </row>
    <row r="589" spans="15:53" x14ac:dyDescent="0.35">
      <c r="O589" s="1" t="str" cm="1">
        <f t="array" ref="O589">IF($BA589="","",INDEX(tblServicios[Fecha],$BA589))</f>
        <v/>
      </c>
      <c r="P589" t="str" cm="1">
        <f t="array" ref="P589">IF($BA589="","",INDEX(tblServicios[Contrato],$BA589))</f>
        <v/>
      </c>
      <c r="Q589" t="str" cm="1">
        <f t="array" ref="Q589">IF($BA589="","",INDEX(tblServicios[Vehículo],$BA589))</f>
        <v/>
      </c>
      <c r="R589" s="34" t="str" cm="1">
        <f t="array" ref="R589">IF($BA589="","",INDEX(tblServicios[Base imponible (€)],$BA589)-INDEX(tblServicios[Imp. suplemento (€)],$BA589))</f>
        <v/>
      </c>
      <c r="S589" s="34" t="str" cm="1">
        <f t="array" ref="S589">IF($BA589="","",INDEX(tblServicios[Imp. suplemento (€)],$BA589))</f>
        <v/>
      </c>
      <c r="T589" t="str" cm="1">
        <f t="array" ref="T589">IF($BA589="","",INDEX(tblServicios[Tipo suplemento],$BA589))</f>
        <v/>
      </c>
      <c r="U589" s="2" t="str">
        <f t="shared" si="11"/>
        <v/>
      </c>
      <c r="V589" t="str" cm="1">
        <f t="array" ref="V589">IF($BA589="","",IF(INDEX(tblServicios[Conductor],$BA589)=$T$2,"Conductor",IF(INDEX(tblServicios[Personal adicional],$BA589)=$T$2,"Personal adicional","")))</f>
        <v/>
      </c>
      <c r="BA589" s="33" t="str" cm="1">
        <f t="array" ref="BA5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adicional]=$T$2))&gt;0)),ROW(A591)),"")</f>
        <v/>
      </c>
    </row>
    <row r="590" spans="15:53" x14ac:dyDescent="0.35">
      <c r="O590" s="1" t="str" cm="1">
        <f t="array" ref="O590">IF($BA590="","",INDEX(tblServicios[Fecha],$BA590))</f>
        <v/>
      </c>
      <c r="P590" t="str" cm="1">
        <f t="array" ref="P590">IF($BA590="","",INDEX(tblServicios[Contrato],$BA590))</f>
        <v/>
      </c>
      <c r="Q590" t="str" cm="1">
        <f t="array" ref="Q590">IF($BA590="","",INDEX(tblServicios[Vehículo],$BA590))</f>
        <v/>
      </c>
      <c r="R590" s="34" t="str" cm="1">
        <f t="array" ref="R590">IF($BA590="","",INDEX(tblServicios[Base imponible (€)],$BA590)-INDEX(tblServicios[Imp. suplemento (€)],$BA590))</f>
        <v/>
      </c>
      <c r="S590" s="34" t="str" cm="1">
        <f t="array" ref="S590">IF($BA590="","",INDEX(tblServicios[Imp. suplemento (€)],$BA590))</f>
        <v/>
      </c>
      <c r="T590" t="str" cm="1">
        <f t="array" ref="T590">IF($BA590="","",INDEX(tblServicios[Tipo suplemento],$BA590))</f>
        <v/>
      </c>
      <c r="U590" s="2" t="str">
        <f t="shared" si="11"/>
        <v/>
      </c>
      <c r="V590" t="str" cm="1">
        <f t="array" ref="V590">IF($BA590="","",IF(INDEX(tblServicios[Conductor],$BA590)=$T$2,"Conductor",IF(INDEX(tblServicios[Personal adicional],$BA590)=$T$2,"Personal adicional","")))</f>
        <v/>
      </c>
      <c r="BA590" s="33" t="str" cm="1">
        <f t="array" ref="BA5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adicional]=$T$2))&gt;0)),ROW(A592)),"")</f>
        <v/>
      </c>
    </row>
    <row r="591" spans="15:53" x14ac:dyDescent="0.35">
      <c r="O591" s="1" t="str" cm="1">
        <f t="array" ref="O591">IF($BA591="","",INDEX(tblServicios[Fecha],$BA591))</f>
        <v/>
      </c>
      <c r="P591" t="str" cm="1">
        <f t="array" ref="P591">IF($BA591="","",INDEX(tblServicios[Contrato],$BA591))</f>
        <v/>
      </c>
      <c r="Q591" t="str" cm="1">
        <f t="array" ref="Q591">IF($BA591="","",INDEX(tblServicios[Vehículo],$BA591))</f>
        <v/>
      </c>
      <c r="R591" s="34" t="str" cm="1">
        <f t="array" ref="R591">IF($BA591="","",INDEX(tblServicios[Base imponible (€)],$BA591)-INDEX(tblServicios[Imp. suplemento (€)],$BA591))</f>
        <v/>
      </c>
      <c r="S591" s="34" t="str" cm="1">
        <f t="array" ref="S591">IF($BA591="","",INDEX(tblServicios[Imp. suplemento (€)],$BA591))</f>
        <v/>
      </c>
      <c r="T591" t="str" cm="1">
        <f t="array" ref="T591">IF($BA591="","",INDEX(tblServicios[Tipo suplemento],$BA591))</f>
        <v/>
      </c>
      <c r="U591" s="2" t="str">
        <f t="shared" si="11"/>
        <v/>
      </c>
      <c r="V591" t="str" cm="1">
        <f t="array" ref="V591">IF($BA591="","",IF(INDEX(tblServicios[Conductor],$BA591)=$T$2,"Conductor",IF(INDEX(tblServicios[Personal adicional],$BA591)=$T$2,"Personal adicional","")))</f>
        <v/>
      </c>
      <c r="BA591" s="33" t="str" cm="1">
        <f t="array" ref="BA5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adicional]=$T$2))&gt;0)),ROW(A593)),"")</f>
        <v/>
      </c>
    </row>
    <row r="592" spans="15:53" x14ac:dyDescent="0.35">
      <c r="O592" s="1" t="str" cm="1">
        <f t="array" ref="O592">IF($BA592="","",INDEX(tblServicios[Fecha],$BA592))</f>
        <v/>
      </c>
      <c r="P592" t="str" cm="1">
        <f t="array" ref="P592">IF($BA592="","",INDEX(tblServicios[Contrato],$BA592))</f>
        <v/>
      </c>
      <c r="Q592" t="str" cm="1">
        <f t="array" ref="Q592">IF($BA592="","",INDEX(tblServicios[Vehículo],$BA592))</f>
        <v/>
      </c>
      <c r="R592" s="34" t="str" cm="1">
        <f t="array" ref="R592">IF($BA592="","",INDEX(tblServicios[Base imponible (€)],$BA592)-INDEX(tblServicios[Imp. suplemento (€)],$BA592))</f>
        <v/>
      </c>
      <c r="S592" s="34" t="str" cm="1">
        <f t="array" ref="S592">IF($BA592="","",INDEX(tblServicios[Imp. suplemento (€)],$BA592))</f>
        <v/>
      </c>
      <c r="T592" t="str" cm="1">
        <f t="array" ref="T592">IF($BA592="","",INDEX(tblServicios[Tipo suplemento],$BA592))</f>
        <v/>
      </c>
      <c r="U592" s="2" t="str">
        <f t="shared" si="11"/>
        <v/>
      </c>
      <c r="V592" t="str" cm="1">
        <f t="array" ref="V592">IF($BA592="","",IF(INDEX(tblServicios[Conductor],$BA592)=$T$2,"Conductor",IF(INDEX(tblServicios[Personal adicional],$BA592)=$T$2,"Personal adicional","")))</f>
        <v/>
      </c>
      <c r="BA592" s="33" t="str" cm="1">
        <f t="array" ref="BA5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adicional]=$T$2))&gt;0)),ROW(A594)),"")</f>
        <v/>
      </c>
    </row>
    <row r="593" spans="15:53" x14ac:dyDescent="0.35">
      <c r="O593" s="1" t="str" cm="1">
        <f t="array" ref="O593">IF($BA593="","",INDEX(tblServicios[Fecha],$BA593))</f>
        <v/>
      </c>
      <c r="P593" t="str" cm="1">
        <f t="array" ref="P593">IF($BA593="","",INDEX(tblServicios[Contrato],$BA593))</f>
        <v/>
      </c>
      <c r="Q593" t="str" cm="1">
        <f t="array" ref="Q593">IF($BA593="","",INDEX(tblServicios[Vehículo],$BA593))</f>
        <v/>
      </c>
      <c r="R593" s="34" t="str" cm="1">
        <f t="array" ref="R593">IF($BA593="","",INDEX(tblServicios[Base imponible (€)],$BA593)-INDEX(tblServicios[Imp. suplemento (€)],$BA593))</f>
        <v/>
      </c>
      <c r="S593" s="34" t="str" cm="1">
        <f t="array" ref="S593">IF($BA593="","",INDEX(tblServicios[Imp. suplemento (€)],$BA593))</f>
        <v/>
      </c>
      <c r="T593" t="str" cm="1">
        <f t="array" ref="T593">IF($BA593="","",INDEX(tblServicios[Tipo suplemento],$BA593))</f>
        <v/>
      </c>
      <c r="U593" s="2" t="str">
        <f t="shared" si="11"/>
        <v/>
      </c>
      <c r="V593" t="str" cm="1">
        <f t="array" ref="V593">IF($BA593="","",IF(INDEX(tblServicios[Conductor],$BA593)=$T$2,"Conductor",IF(INDEX(tblServicios[Personal adicional],$BA593)=$T$2,"Personal adicional","")))</f>
        <v/>
      </c>
      <c r="BA593" s="33" t="str" cm="1">
        <f t="array" ref="BA5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adicional]=$T$2))&gt;0)),ROW(A595)),"")</f>
        <v/>
      </c>
    </row>
    <row r="594" spans="15:53" x14ac:dyDescent="0.35">
      <c r="O594" s="1" t="str" cm="1">
        <f t="array" ref="O594">IF($BA594="","",INDEX(tblServicios[Fecha],$BA594))</f>
        <v/>
      </c>
      <c r="P594" t="str" cm="1">
        <f t="array" ref="P594">IF($BA594="","",INDEX(tblServicios[Contrato],$BA594))</f>
        <v/>
      </c>
      <c r="Q594" t="str" cm="1">
        <f t="array" ref="Q594">IF($BA594="","",INDEX(tblServicios[Vehículo],$BA594))</f>
        <v/>
      </c>
      <c r="R594" s="34" t="str" cm="1">
        <f t="array" ref="R594">IF($BA594="","",INDEX(tblServicios[Base imponible (€)],$BA594)-INDEX(tblServicios[Imp. suplemento (€)],$BA594))</f>
        <v/>
      </c>
      <c r="S594" s="34" t="str" cm="1">
        <f t="array" ref="S594">IF($BA594="","",INDEX(tblServicios[Imp. suplemento (€)],$BA594))</f>
        <v/>
      </c>
      <c r="T594" t="str" cm="1">
        <f t="array" ref="T594">IF($BA594="","",INDEX(tblServicios[Tipo suplemento],$BA594))</f>
        <v/>
      </c>
      <c r="U594" s="2" t="str">
        <f t="shared" si="11"/>
        <v/>
      </c>
      <c r="V594" t="str" cm="1">
        <f t="array" ref="V594">IF($BA594="","",IF(INDEX(tblServicios[Conductor],$BA594)=$T$2,"Conductor",IF(INDEX(tblServicios[Personal adicional],$BA594)=$T$2,"Personal adicional","")))</f>
        <v/>
      </c>
      <c r="BA594" s="33" t="str" cm="1">
        <f t="array" ref="BA5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adicional]=$T$2))&gt;0)),ROW(A596)),"")</f>
        <v/>
      </c>
    </row>
    <row r="595" spans="15:53" x14ac:dyDescent="0.35">
      <c r="O595" s="1" t="str" cm="1">
        <f t="array" ref="O595">IF($BA595="","",INDEX(tblServicios[Fecha],$BA595))</f>
        <v/>
      </c>
      <c r="P595" t="str" cm="1">
        <f t="array" ref="P595">IF($BA595="","",INDEX(tblServicios[Contrato],$BA595))</f>
        <v/>
      </c>
      <c r="Q595" t="str" cm="1">
        <f t="array" ref="Q595">IF($BA595="","",INDEX(tblServicios[Vehículo],$BA595))</f>
        <v/>
      </c>
      <c r="R595" s="34" t="str" cm="1">
        <f t="array" ref="R595">IF($BA595="","",INDEX(tblServicios[Base imponible (€)],$BA595)-INDEX(tblServicios[Imp. suplemento (€)],$BA595))</f>
        <v/>
      </c>
      <c r="S595" s="34" t="str" cm="1">
        <f t="array" ref="S595">IF($BA595="","",INDEX(tblServicios[Imp. suplemento (€)],$BA595))</f>
        <v/>
      </c>
      <c r="T595" t="str" cm="1">
        <f t="array" ref="T595">IF($BA595="","",INDEX(tblServicios[Tipo suplemento],$BA595))</f>
        <v/>
      </c>
      <c r="U595" s="2" t="str">
        <f t="shared" si="11"/>
        <v/>
      </c>
      <c r="V595" t="str" cm="1">
        <f t="array" ref="V595">IF($BA595="","",IF(INDEX(tblServicios[Conductor],$BA595)=$T$2,"Conductor",IF(INDEX(tblServicios[Personal adicional],$BA595)=$T$2,"Personal adicional","")))</f>
        <v/>
      </c>
      <c r="BA595" s="33" t="str" cm="1">
        <f t="array" ref="BA5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adicional]=$T$2))&gt;0)),ROW(A597)),"")</f>
        <v/>
      </c>
    </row>
    <row r="596" spans="15:53" x14ac:dyDescent="0.35">
      <c r="O596" s="1" t="str" cm="1">
        <f t="array" ref="O596">IF($BA596="","",INDEX(tblServicios[Fecha],$BA596))</f>
        <v/>
      </c>
      <c r="P596" t="str" cm="1">
        <f t="array" ref="P596">IF($BA596="","",INDEX(tblServicios[Contrato],$BA596))</f>
        <v/>
      </c>
      <c r="Q596" t="str" cm="1">
        <f t="array" ref="Q596">IF($BA596="","",INDEX(tblServicios[Vehículo],$BA596))</f>
        <v/>
      </c>
      <c r="R596" s="34" t="str" cm="1">
        <f t="array" ref="R596">IF($BA596="","",INDEX(tblServicios[Base imponible (€)],$BA596)-INDEX(tblServicios[Imp. suplemento (€)],$BA596))</f>
        <v/>
      </c>
      <c r="S596" s="34" t="str" cm="1">
        <f t="array" ref="S596">IF($BA596="","",INDEX(tblServicios[Imp. suplemento (€)],$BA596))</f>
        <v/>
      </c>
      <c r="T596" t="str" cm="1">
        <f t="array" ref="T596">IF($BA596="","",INDEX(tblServicios[Tipo suplemento],$BA596))</f>
        <v/>
      </c>
      <c r="U596" s="2" t="str">
        <f t="shared" si="11"/>
        <v/>
      </c>
      <c r="V596" t="str" cm="1">
        <f t="array" ref="V596">IF($BA596="","",IF(INDEX(tblServicios[Conductor],$BA596)=$T$2,"Conductor",IF(INDEX(tblServicios[Personal adicional],$BA596)=$T$2,"Personal adicional","")))</f>
        <v/>
      </c>
      <c r="BA596" s="33" t="str" cm="1">
        <f t="array" ref="BA5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adicional]=$T$2))&gt;0)),ROW(A598)),"")</f>
        <v/>
      </c>
    </row>
    <row r="597" spans="15:53" x14ac:dyDescent="0.35">
      <c r="O597" s="1" t="str" cm="1">
        <f t="array" ref="O597">IF($BA597="","",INDEX(tblServicios[Fecha],$BA597))</f>
        <v/>
      </c>
      <c r="P597" t="str" cm="1">
        <f t="array" ref="P597">IF($BA597="","",INDEX(tblServicios[Contrato],$BA597))</f>
        <v/>
      </c>
      <c r="Q597" t="str" cm="1">
        <f t="array" ref="Q597">IF($BA597="","",INDEX(tblServicios[Vehículo],$BA597))</f>
        <v/>
      </c>
      <c r="R597" s="34" t="str" cm="1">
        <f t="array" ref="R597">IF($BA597="","",INDEX(tblServicios[Base imponible (€)],$BA597)-INDEX(tblServicios[Imp. suplemento (€)],$BA597))</f>
        <v/>
      </c>
      <c r="S597" s="34" t="str" cm="1">
        <f t="array" ref="S597">IF($BA597="","",INDEX(tblServicios[Imp. suplemento (€)],$BA597))</f>
        <v/>
      </c>
      <c r="T597" t="str" cm="1">
        <f t="array" ref="T597">IF($BA597="","",INDEX(tblServicios[Tipo suplemento],$BA597))</f>
        <v/>
      </c>
      <c r="U597" s="2" t="str">
        <f t="shared" si="11"/>
        <v/>
      </c>
      <c r="V597" t="str" cm="1">
        <f t="array" ref="V597">IF($BA597="","",IF(INDEX(tblServicios[Conductor],$BA597)=$T$2,"Conductor",IF(INDEX(tblServicios[Personal adicional],$BA597)=$T$2,"Personal adicional","")))</f>
        <v/>
      </c>
      <c r="BA597" s="33" t="str" cm="1">
        <f t="array" ref="BA5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adicional]=$T$2))&gt;0)),ROW(A599)),"")</f>
        <v/>
      </c>
    </row>
    <row r="598" spans="15:53" x14ac:dyDescent="0.35">
      <c r="O598" s="1" t="str" cm="1">
        <f t="array" ref="O598">IF($BA598="","",INDEX(tblServicios[Fecha],$BA598))</f>
        <v/>
      </c>
      <c r="P598" t="str" cm="1">
        <f t="array" ref="P598">IF($BA598="","",INDEX(tblServicios[Contrato],$BA598))</f>
        <v/>
      </c>
      <c r="Q598" t="str" cm="1">
        <f t="array" ref="Q598">IF($BA598="","",INDEX(tblServicios[Vehículo],$BA598))</f>
        <v/>
      </c>
      <c r="R598" s="34" t="str" cm="1">
        <f t="array" ref="R598">IF($BA598="","",INDEX(tblServicios[Base imponible (€)],$BA598)-INDEX(tblServicios[Imp. suplemento (€)],$BA598))</f>
        <v/>
      </c>
      <c r="S598" s="34" t="str" cm="1">
        <f t="array" ref="S598">IF($BA598="","",INDEX(tblServicios[Imp. suplemento (€)],$BA598))</f>
        <v/>
      </c>
      <c r="T598" t="str" cm="1">
        <f t="array" ref="T598">IF($BA598="","",INDEX(tblServicios[Tipo suplemento],$BA598))</f>
        <v/>
      </c>
      <c r="U598" s="2" t="str">
        <f t="shared" si="11"/>
        <v/>
      </c>
      <c r="V598" t="str" cm="1">
        <f t="array" ref="V598">IF($BA598="","",IF(INDEX(tblServicios[Conductor],$BA598)=$T$2,"Conductor",IF(INDEX(tblServicios[Personal adicional],$BA598)=$T$2,"Personal adicional","")))</f>
        <v/>
      </c>
      <c r="BA598" s="33" t="str" cm="1">
        <f t="array" ref="BA5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adicional]=$T$2))&gt;0)),ROW(A600)),"")</f>
        <v/>
      </c>
    </row>
    <row r="599" spans="15:53" x14ac:dyDescent="0.35">
      <c r="O599" s="1" t="str" cm="1">
        <f t="array" ref="O599">IF($BA599="","",INDEX(tblServicios[Fecha],$BA599))</f>
        <v/>
      </c>
      <c r="P599" t="str" cm="1">
        <f t="array" ref="P599">IF($BA599="","",INDEX(tblServicios[Contrato],$BA599))</f>
        <v/>
      </c>
      <c r="Q599" t="str" cm="1">
        <f t="array" ref="Q599">IF($BA599="","",INDEX(tblServicios[Vehículo],$BA599))</f>
        <v/>
      </c>
      <c r="R599" s="34" t="str" cm="1">
        <f t="array" ref="R599">IF($BA599="","",INDEX(tblServicios[Base imponible (€)],$BA599)-INDEX(tblServicios[Imp. suplemento (€)],$BA599))</f>
        <v/>
      </c>
      <c r="S599" s="34" t="str" cm="1">
        <f t="array" ref="S599">IF($BA599="","",INDEX(tblServicios[Imp. suplemento (€)],$BA599))</f>
        <v/>
      </c>
      <c r="T599" t="str" cm="1">
        <f t="array" ref="T599">IF($BA599="","",INDEX(tblServicios[Tipo suplemento],$BA599))</f>
        <v/>
      </c>
      <c r="U599" s="2" t="str">
        <f t="shared" si="11"/>
        <v/>
      </c>
      <c r="V599" t="str" cm="1">
        <f t="array" ref="V599">IF($BA599="","",IF(INDEX(tblServicios[Conductor],$BA599)=$T$2,"Conductor",IF(INDEX(tblServicios[Personal adicional],$BA599)=$T$2,"Personal adicional","")))</f>
        <v/>
      </c>
      <c r="BA599" s="33" t="str" cm="1">
        <f t="array" ref="BA5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adicional]=$T$2))&gt;0)),ROW(A601)),"")</f>
        <v/>
      </c>
    </row>
    <row r="600" spans="15:53" x14ac:dyDescent="0.35">
      <c r="O600" s="1" t="str" cm="1">
        <f t="array" ref="O600">IF($BA600="","",INDEX(tblServicios[Fecha],$BA600))</f>
        <v/>
      </c>
      <c r="P600" t="str" cm="1">
        <f t="array" ref="P600">IF($BA600="","",INDEX(tblServicios[Contrato],$BA600))</f>
        <v/>
      </c>
      <c r="Q600" t="str" cm="1">
        <f t="array" ref="Q600">IF($BA600="","",INDEX(tblServicios[Vehículo],$BA600))</f>
        <v/>
      </c>
      <c r="R600" s="34" t="str" cm="1">
        <f t="array" ref="R600">IF($BA600="","",INDEX(tblServicios[Base imponible (€)],$BA600)-INDEX(tblServicios[Imp. suplemento (€)],$BA600))</f>
        <v/>
      </c>
      <c r="S600" s="34" t="str" cm="1">
        <f t="array" ref="S600">IF($BA600="","",INDEX(tblServicios[Imp. suplemento (€)],$BA600))</f>
        <v/>
      </c>
      <c r="T600" t="str" cm="1">
        <f t="array" ref="T600">IF($BA600="","",INDEX(tblServicios[Tipo suplemento],$BA600))</f>
        <v/>
      </c>
      <c r="U600" s="2" t="str">
        <f t="shared" si="11"/>
        <v/>
      </c>
      <c r="V600" t="str" cm="1">
        <f t="array" ref="V600">IF($BA600="","",IF(INDEX(tblServicios[Conductor],$BA600)=$T$2,"Conductor",IF(INDEX(tblServicios[Personal adicional],$BA600)=$T$2,"Personal adicional","")))</f>
        <v/>
      </c>
      <c r="BA600" s="33" t="str" cm="1">
        <f t="array" ref="BA6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adicional]=$T$2))&gt;0)),ROW(A602)),"")</f>
        <v/>
      </c>
    </row>
    <row r="601" spans="15:53" x14ac:dyDescent="0.35">
      <c r="O601" s="1" t="str" cm="1">
        <f t="array" ref="O601">IF($BA601="","",INDEX(tblServicios[Fecha],$BA601))</f>
        <v/>
      </c>
      <c r="P601" t="str" cm="1">
        <f t="array" ref="P601">IF($BA601="","",INDEX(tblServicios[Contrato],$BA601))</f>
        <v/>
      </c>
      <c r="Q601" t="str" cm="1">
        <f t="array" ref="Q601">IF($BA601="","",INDEX(tblServicios[Vehículo],$BA601))</f>
        <v/>
      </c>
      <c r="R601" s="34" t="str" cm="1">
        <f t="array" ref="R601">IF($BA601="","",INDEX(tblServicios[Base imponible (€)],$BA601)-INDEX(tblServicios[Imp. suplemento (€)],$BA601))</f>
        <v/>
      </c>
      <c r="S601" s="34" t="str" cm="1">
        <f t="array" ref="S601">IF($BA601="","",INDEX(tblServicios[Imp. suplemento (€)],$BA601))</f>
        <v/>
      </c>
      <c r="T601" t="str" cm="1">
        <f t="array" ref="T601">IF($BA601="","",INDEX(tblServicios[Tipo suplemento],$BA601))</f>
        <v/>
      </c>
      <c r="U601" s="2" t="str">
        <f t="shared" si="11"/>
        <v/>
      </c>
      <c r="V601" t="str" cm="1">
        <f t="array" ref="V601">IF($BA601="","",IF(INDEX(tblServicios[Conductor],$BA601)=$T$2,"Conductor",IF(INDEX(tblServicios[Personal adicional],$BA601)=$T$2,"Personal adicional","")))</f>
        <v/>
      </c>
      <c r="BA601" s="33" t="str" cm="1">
        <f t="array" ref="BA6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adicional]=$T$2))&gt;0)),ROW(A603)),"")</f>
        <v/>
      </c>
    </row>
    <row r="602" spans="15:53" x14ac:dyDescent="0.35">
      <c r="O602" s="1" t="str" cm="1">
        <f t="array" ref="O602">IF($BA602="","",INDEX(tblServicios[Fecha],$BA602))</f>
        <v/>
      </c>
      <c r="P602" t="str" cm="1">
        <f t="array" ref="P602">IF($BA602="","",INDEX(tblServicios[Contrato],$BA602))</f>
        <v/>
      </c>
      <c r="Q602" t="str" cm="1">
        <f t="array" ref="Q602">IF($BA602="","",INDEX(tblServicios[Vehículo],$BA602))</f>
        <v/>
      </c>
      <c r="R602" s="34" t="str" cm="1">
        <f t="array" ref="R602">IF($BA602="","",INDEX(tblServicios[Base imponible (€)],$BA602)-INDEX(tblServicios[Imp. suplemento (€)],$BA602))</f>
        <v/>
      </c>
      <c r="S602" s="34" t="str" cm="1">
        <f t="array" ref="S602">IF($BA602="","",INDEX(tblServicios[Imp. suplemento (€)],$BA602))</f>
        <v/>
      </c>
      <c r="T602" t="str" cm="1">
        <f t="array" ref="T602">IF($BA602="","",INDEX(tblServicios[Tipo suplemento],$BA602))</f>
        <v/>
      </c>
      <c r="U602" s="2" t="str">
        <f t="shared" si="11"/>
        <v/>
      </c>
      <c r="V602" t="str" cm="1">
        <f t="array" ref="V602">IF($BA602="","",IF(INDEX(tblServicios[Conductor],$BA602)=$T$2,"Conductor",IF(INDEX(tblServicios[Personal adicional],$BA602)=$T$2,"Personal adicional","")))</f>
        <v/>
      </c>
      <c r="BA602" s="33" t="str" cm="1">
        <f t="array" ref="BA6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adicional]=$T$2))&gt;0)),ROW(A604)),"")</f>
        <v/>
      </c>
    </row>
    <row r="603" spans="15:53" x14ac:dyDescent="0.35">
      <c r="O603" s="1" t="str" cm="1">
        <f t="array" ref="O603">IF($BA603="","",INDEX(tblServicios[Fecha],$BA603))</f>
        <v/>
      </c>
      <c r="P603" t="str" cm="1">
        <f t="array" ref="P603">IF($BA603="","",INDEX(tblServicios[Contrato],$BA603))</f>
        <v/>
      </c>
      <c r="Q603" t="str" cm="1">
        <f t="array" ref="Q603">IF($BA603="","",INDEX(tblServicios[Vehículo],$BA603))</f>
        <v/>
      </c>
      <c r="R603" s="34" t="str" cm="1">
        <f t="array" ref="R603">IF($BA603="","",INDEX(tblServicios[Base imponible (€)],$BA603)-INDEX(tblServicios[Imp. suplemento (€)],$BA603))</f>
        <v/>
      </c>
      <c r="S603" s="34" t="str" cm="1">
        <f t="array" ref="S603">IF($BA603="","",INDEX(tblServicios[Imp. suplemento (€)],$BA603))</f>
        <v/>
      </c>
      <c r="T603" t="str" cm="1">
        <f t="array" ref="T603">IF($BA603="","",INDEX(tblServicios[Tipo suplemento],$BA603))</f>
        <v/>
      </c>
      <c r="U603" s="2" t="str">
        <f t="shared" si="11"/>
        <v/>
      </c>
      <c r="V603" t="str" cm="1">
        <f t="array" ref="V603">IF($BA603="","",IF(INDEX(tblServicios[Conductor],$BA603)=$T$2,"Conductor",IF(INDEX(tblServicios[Personal adicional],$BA603)=$T$2,"Personal adicional","")))</f>
        <v/>
      </c>
      <c r="BA603" s="33" t="str" cm="1">
        <f t="array" ref="BA6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adicional]=$T$2))&gt;0)),ROW(A605)),"")</f>
        <v/>
      </c>
    </row>
    <row r="604" spans="15:53" x14ac:dyDescent="0.35">
      <c r="O604" s="1" t="str" cm="1">
        <f t="array" ref="O604">IF($BA604="","",INDEX(tblServicios[Fecha],$BA604))</f>
        <v/>
      </c>
      <c r="P604" t="str" cm="1">
        <f t="array" ref="P604">IF($BA604="","",INDEX(tblServicios[Contrato],$BA604))</f>
        <v/>
      </c>
      <c r="Q604" t="str" cm="1">
        <f t="array" ref="Q604">IF($BA604="","",INDEX(tblServicios[Vehículo],$BA604))</f>
        <v/>
      </c>
      <c r="R604" s="34" t="str" cm="1">
        <f t="array" ref="R604">IF($BA604="","",INDEX(tblServicios[Base imponible (€)],$BA604)-INDEX(tblServicios[Imp. suplemento (€)],$BA604))</f>
        <v/>
      </c>
      <c r="S604" s="34" t="str" cm="1">
        <f t="array" ref="S604">IF($BA604="","",INDEX(tblServicios[Imp. suplemento (€)],$BA604))</f>
        <v/>
      </c>
      <c r="T604" t="str" cm="1">
        <f t="array" ref="T604">IF($BA604="","",INDEX(tblServicios[Tipo suplemento],$BA604))</f>
        <v/>
      </c>
      <c r="U604" s="2" t="str">
        <f t="shared" si="11"/>
        <v/>
      </c>
      <c r="V604" t="str" cm="1">
        <f t="array" ref="V604">IF($BA604="","",IF(INDEX(tblServicios[Conductor],$BA604)=$T$2,"Conductor",IF(INDEX(tblServicios[Personal adicional],$BA604)=$T$2,"Personal adicional","")))</f>
        <v/>
      </c>
      <c r="BA604" s="33" t="str" cm="1">
        <f t="array" ref="BA6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adicional]=$T$2))&gt;0)),ROW(A606)),"")</f>
        <v/>
      </c>
    </row>
    <row r="605" spans="15:53" x14ac:dyDescent="0.35">
      <c r="O605" s="1" t="str" cm="1">
        <f t="array" ref="O605">IF($BA605="","",INDEX(tblServicios[Fecha],$BA605))</f>
        <v/>
      </c>
      <c r="P605" t="str" cm="1">
        <f t="array" ref="P605">IF($BA605="","",INDEX(tblServicios[Contrato],$BA605))</f>
        <v/>
      </c>
      <c r="Q605" t="str" cm="1">
        <f t="array" ref="Q605">IF($BA605="","",INDEX(tblServicios[Vehículo],$BA605))</f>
        <v/>
      </c>
      <c r="R605" s="34" t="str" cm="1">
        <f t="array" ref="R605">IF($BA605="","",INDEX(tblServicios[Base imponible (€)],$BA605)-INDEX(tblServicios[Imp. suplemento (€)],$BA605))</f>
        <v/>
      </c>
      <c r="S605" s="34" t="str" cm="1">
        <f t="array" ref="S605">IF($BA605="","",INDEX(tblServicios[Imp. suplemento (€)],$BA605))</f>
        <v/>
      </c>
      <c r="T605" t="str" cm="1">
        <f t="array" ref="T605">IF($BA605="","",INDEX(tblServicios[Tipo suplemento],$BA605))</f>
        <v/>
      </c>
      <c r="U605" s="2" t="str">
        <f t="shared" si="11"/>
        <v/>
      </c>
      <c r="V605" t="str" cm="1">
        <f t="array" ref="V605">IF($BA605="","",IF(INDEX(tblServicios[Conductor],$BA605)=$T$2,"Conductor",IF(INDEX(tblServicios[Personal adicional],$BA605)=$T$2,"Personal adicional","")))</f>
        <v/>
      </c>
      <c r="BA605" s="33" t="str" cm="1">
        <f t="array" ref="BA6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adicional]=$T$2))&gt;0)),ROW(A607)),"")</f>
        <v/>
      </c>
    </row>
    <row r="606" spans="15:53" x14ac:dyDescent="0.35">
      <c r="O606" s="1" t="str" cm="1">
        <f t="array" ref="O606">IF($BA606="","",INDEX(tblServicios[Fecha],$BA606))</f>
        <v/>
      </c>
      <c r="P606" t="str" cm="1">
        <f t="array" ref="P606">IF($BA606="","",INDEX(tblServicios[Contrato],$BA606))</f>
        <v/>
      </c>
      <c r="Q606" t="str" cm="1">
        <f t="array" ref="Q606">IF($BA606="","",INDEX(tblServicios[Vehículo],$BA606))</f>
        <v/>
      </c>
      <c r="R606" s="34" t="str" cm="1">
        <f t="array" ref="R606">IF($BA606="","",INDEX(tblServicios[Base imponible (€)],$BA606)-INDEX(tblServicios[Imp. suplemento (€)],$BA606))</f>
        <v/>
      </c>
      <c r="S606" s="34" t="str" cm="1">
        <f t="array" ref="S606">IF($BA606="","",INDEX(tblServicios[Imp. suplemento (€)],$BA606))</f>
        <v/>
      </c>
      <c r="T606" t="str" cm="1">
        <f t="array" ref="T606">IF($BA606="","",INDEX(tblServicios[Tipo suplemento],$BA606))</f>
        <v/>
      </c>
      <c r="U606" s="2" t="str">
        <f t="shared" si="11"/>
        <v/>
      </c>
      <c r="V606" t="str" cm="1">
        <f t="array" ref="V606">IF($BA606="","",IF(INDEX(tblServicios[Conductor],$BA606)=$T$2,"Conductor",IF(INDEX(tblServicios[Personal adicional],$BA606)=$T$2,"Personal adicional","")))</f>
        <v/>
      </c>
      <c r="BA606" s="33" t="str" cm="1">
        <f t="array" ref="BA6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adicional]=$T$2))&gt;0)),ROW(A608)),"")</f>
        <v/>
      </c>
    </row>
    <row r="607" spans="15:53" x14ac:dyDescent="0.35">
      <c r="O607" s="1" t="str" cm="1">
        <f t="array" ref="O607">IF($BA607="","",INDEX(tblServicios[Fecha],$BA607))</f>
        <v/>
      </c>
      <c r="P607" t="str" cm="1">
        <f t="array" ref="P607">IF($BA607="","",INDEX(tblServicios[Contrato],$BA607))</f>
        <v/>
      </c>
      <c r="Q607" t="str" cm="1">
        <f t="array" ref="Q607">IF($BA607="","",INDEX(tblServicios[Vehículo],$BA607))</f>
        <v/>
      </c>
      <c r="R607" s="34" t="str" cm="1">
        <f t="array" ref="R607">IF($BA607="","",INDEX(tblServicios[Base imponible (€)],$BA607)-INDEX(tblServicios[Imp. suplemento (€)],$BA607))</f>
        <v/>
      </c>
      <c r="S607" s="34" t="str" cm="1">
        <f t="array" ref="S607">IF($BA607="","",INDEX(tblServicios[Imp. suplemento (€)],$BA607))</f>
        <v/>
      </c>
      <c r="T607" t="str" cm="1">
        <f t="array" ref="T607">IF($BA607="","",INDEX(tblServicios[Tipo suplemento],$BA607))</f>
        <v/>
      </c>
      <c r="U607" s="2" t="str">
        <f t="shared" si="11"/>
        <v/>
      </c>
      <c r="V607" t="str" cm="1">
        <f t="array" ref="V607">IF($BA607="","",IF(INDEX(tblServicios[Conductor],$BA607)=$T$2,"Conductor",IF(INDEX(tblServicios[Personal adicional],$BA607)=$T$2,"Personal adicional","")))</f>
        <v/>
      </c>
      <c r="BA607" s="33" t="str" cm="1">
        <f t="array" ref="BA6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adicional]=$T$2))&gt;0)),ROW(A609)),"")</f>
        <v/>
      </c>
    </row>
    <row r="608" spans="15:53" x14ac:dyDescent="0.35">
      <c r="O608" s="1" t="str" cm="1">
        <f t="array" ref="O608">IF($BA608="","",INDEX(tblServicios[Fecha],$BA608))</f>
        <v/>
      </c>
      <c r="P608" t="str" cm="1">
        <f t="array" ref="P608">IF($BA608="","",INDEX(tblServicios[Contrato],$BA608))</f>
        <v/>
      </c>
      <c r="Q608" t="str" cm="1">
        <f t="array" ref="Q608">IF($BA608="","",INDEX(tblServicios[Vehículo],$BA608))</f>
        <v/>
      </c>
      <c r="R608" s="34" t="str" cm="1">
        <f t="array" ref="R608">IF($BA608="","",INDEX(tblServicios[Base imponible (€)],$BA608)-INDEX(tblServicios[Imp. suplemento (€)],$BA608))</f>
        <v/>
      </c>
      <c r="S608" s="34" t="str" cm="1">
        <f t="array" ref="S608">IF($BA608="","",INDEX(tblServicios[Imp. suplemento (€)],$BA608))</f>
        <v/>
      </c>
      <c r="T608" t="str" cm="1">
        <f t="array" ref="T608">IF($BA608="","",INDEX(tblServicios[Tipo suplemento],$BA608))</f>
        <v/>
      </c>
      <c r="U608" s="2" t="str">
        <f t="shared" si="11"/>
        <v/>
      </c>
      <c r="V608" t="str" cm="1">
        <f t="array" ref="V608">IF($BA608="","",IF(INDEX(tblServicios[Conductor],$BA608)=$T$2,"Conductor",IF(INDEX(tblServicios[Personal adicional],$BA608)=$T$2,"Personal adicional","")))</f>
        <v/>
      </c>
      <c r="BA608" s="33" t="str" cm="1">
        <f t="array" ref="BA6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adicional]=$T$2))&gt;0)),ROW(A610)),"")</f>
        <v/>
      </c>
    </row>
    <row r="609" spans="15:53" x14ac:dyDescent="0.35">
      <c r="O609" s="1" t="str" cm="1">
        <f t="array" ref="O609">IF($BA609="","",INDEX(tblServicios[Fecha],$BA609))</f>
        <v/>
      </c>
      <c r="P609" t="str" cm="1">
        <f t="array" ref="P609">IF($BA609="","",INDEX(tblServicios[Contrato],$BA609))</f>
        <v/>
      </c>
      <c r="Q609" t="str" cm="1">
        <f t="array" ref="Q609">IF($BA609="","",INDEX(tblServicios[Vehículo],$BA609))</f>
        <v/>
      </c>
      <c r="R609" s="34" t="str" cm="1">
        <f t="array" ref="R609">IF($BA609="","",INDEX(tblServicios[Base imponible (€)],$BA609)-INDEX(tblServicios[Imp. suplemento (€)],$BA609))</f>
        <v/>
      </c>
      <c r="S609" s="34" t="str" cm="1">
        <f t="array" ref="S609">IF($BA609="","",INDEX(tblServicios[Imp. suplemento (€)],$BA609))</f>
        <v/>
      </c>
      <c r="T609" t="str" cm="1">
        <f t="array" ref="T609">IF($BA609="","",INDEX(tblServicios[Tipo suplemento],$BA609))</f>
        <v/>
      </c>
      <c r="U609" s="2" t="str">
        <f t="shared" si="11"/>
        <v/>
      </c>
      <c r="V609" t="str" cm="1">
        <f t="array" ref="V609">IF($BA609="","",IF(INDEX(tblServicios[Conductor],$BA609)=$T$2,"Conductor",IF(INDEX(tblServicios[Personal adicional],$BA609)=$T$2,"Personal adicional","")))</f>
        <v/>
      </c>
      <c r="BA609" s="33" t="str" cm="1">
        <f t="array" ref="BA6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adicional]=$T$2))&gt;0)),ROW(A611)),"")</f>
        <v/>
      </c>
    </row>
    <row r="610" spans="15:53" x14ac:dyDescent="0.35">
      <c r="O610" s="1" t="str" cm="1">
        <f t="array" ref="O610">IF($BA610="","",INDEX(tblServicios[Fecha],$BA610))</f>
        <v/>
      </c>
      <c r="P610" t="str" cm="1">
        <f t="array" ref="P610">IF($BA610="","",INDEX(tblServicios[Contrato],$BA610))</f>
        <v/>
      </c>
      <c r="Q610" t="str" cm="1">
        <f t="array" ref="Q610">IF($BA610="","",INDEX(tblServicios[Vehículo],$BA610))</f>
        <v/>
      </c>
      <c r="R610" s="34" t="str" cm="1">
        <f t="array" ref="R610">IF($BA610="","",INDEX(tblServicios[Base imponible (€)],$BA610)-INDEX(tblServicios[Imp. suplemento (€)],$BA610))</f>
        <v/>
      </c>
      <c r="S610" s="34" t="str" cm="1">
        <f t="array" ref="S610">IF($BA610="","",INDEX(tblServicios[Imp. suplemento (€)],$BA610))</f>
        <v/>
      </c>
      <c r="T610" t="str" cm="1">
        <f t="array" ref="T610">IF($BA610="","",INDEX(tblServicios[Tipo suplemento],$BA610))</f>
        <v/>
      </c>
      <c r="U610" s="2" t="str">
        <f t="shared" si="11"/>
        <v/>
      </c>
      <c r="V610" t="str" cm="1">
        <f t="array" ref="V610">IF($BA610="","",IF(INDEX(tblServicios[Conductor],$BA610)=$T$2,"Conductor",IF(INDEX(tblServicios[Personal adicional],$BA610)=$T$2,"Personal adicional","")))</f>
        <v/>
      </c>
      <c r="BA610" s="33" t="str" cm="1">
        <f t="array" ref="BA6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adicional]=$T$2))&gt;0)),ROW(A612)),"")</f>
        <v/>
      </c>
    </row>
    <row r="611" spans="15:53" x14ac:dyDescent="0.35">
      <c r="O611" s="1" t="str" cm="1">
        <f t="array" ref="O611">IF($BA611="","",INDEX(tblServicios[Fecha],$BA611))</f>
        <v/>
      </c>
      <c r="P611" t="str" cm="1">
        <f t="array" ref="P611">IF($BA611="","",INDEX(tblServicios[Contrato],$BA611))</f>
        <v/>
      </c>
      <c r="Q611" t="str" cm="1">
        <f t="array" ref="Q611">IF($BA611="","",INDEX(tblServicios[Vehículo],$BA611))</f>
        <v/>
      </c>
      <c r="R611" s="34" t="str" cm="1">
        <f t="array" ref="R611">IF($BA611="","",INDEX(tblServicios[Base imponible (€)],$BA611)-INDEX(tblServicios[Imp. suplemento (€)],$BA611))</f>
        <v/>
      </c>
      <c r="S611" s="34" t="str" cm="1">
        <f t="array" ref="S611">IF($BA611="","",INDEX(tblServicios[Imp. suplemento (€)],$BA611))</f>
        <v/>
      </c>
      <c r="T611" t="str" cm="1">
        <f t="array" ref="T611">IF($BA611="","",INDEX(tblServicios[Tipo suplemento],$BA611))</f>
        <v/>
      </c>
      <c r="U611" s="2" t="str">
        <f t="shared" si="11"/>
        <v/>
      </c>
      <c r="V611" t="str" cm="1">
        <f t="array" ref="V611">IF($BA611="","",IF(INDEX(tblServicios[Conductor],$BA611)=$T$2,"Conductor",IF(INDEX(tblServicios[Personal adicional],$BA611)=$T$2,"Personal adicional","")))</f>
        <v/>
      </c>
      <c r="BA611" s="33" t="str" cm="1">
        <f t="array" ref="BA6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adicional]=$T$2))&gt;0)),ROW(A613)),"")</f>
        <v/>
      </c>
    </row>
    <row r="612" spans="15:53" x14ac:dyDescent="0.35">
      <c r="O612" s="1" t="str" cm="1">
        <f t="array" ref="O612">IF($BA612="","",INDEX(tblServicios[Fecha],$BA612))</f>
        <v/>
      </c>
      <c r="P612" t="str" cm="1">
        <f t="array" ref="P612">IF($BA612="","",INDEX(tblServicios[Contrato],$BA612))</f>
        <v/>
      </c>
      <c r="Q612" t="str" cm="1">
        <f t="array" ref="Q612">IF($BA612="","",INDEX(tblServicios[Vehículo],$BA612))</f>
        <v/>
      </c>
      <c r="R612" s="34" t="str" cm="1">
        <f t="array" ref="R612">IF($BA612="","",INDEX(tblServicios[Base imponible (€)],$BA612)-INDEX(tblServicios[Imp. suplemento (€)],$BA612))</f>
        <v/>
      </c>
      <c r="S612" s="34" t="str" cm="1">
        <f t="array" ref="S612">IF($BA612="","",INDEX(tblServicios[Imp. suplemento (€)],$BA612))</f>
        <v/>
      </c>
      <c r="T612" t="str" cm="1">
        <f t="array" ref="T612">IF($BA612="","",INDEX(tblServicios[Tipo suplemento],$BA612))</f>
        <v/>
      </c>
      <c r="U612" s="2" t="str">
        <f t="shared" si="11"/>
        <v/>
      </c>
      <c r="V612" t="str" cm="1">
        <f t="array" ref="V612">IF($BA612="","",IF(INDEX(tblServicios[Conductor],$BA612)=$T$2,"Conductor",IF(INDEX(tblServicios[Personal adicional],$BA612)=$T$2,"Personal adicional","")))</f>
        <v/>
      </c>
      <c r="BA612" s="33" t="str" cm="1">
        <f t="array" ref="BA6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adicional]=$T$2))&gt;0)),ROW(A614)),"")</f>
        <v/>
      </c>
    </row>
    <row r="613" spans="15:53" x14ac:dyDescent="0.35">
      <c r="O613" s="1" t="str" cm="1">
        <f t="array" ref="O613">IF($BA613="","",INDEX(tblServicios[Fecha],$BA613))</f>
        <v/>
      </c>
      <c r="P613" t="str" cm="1">
        <f t="array" ref="P613">IF($BA613="","",INDEX(tblServicios[Contrato],$BA613))</f>
        <v/>
      </c>
      <c r="Q613" t="str" cm="1">
        <f t="array" ref="Q613">IF($BA613="","",INDEX(tblServicios[Vehículo],$BA613))</f>
        <v/>
      </c>
      <c r="R613" s="34" t="str" cm="1">
        <f t="array" ref="R613">IF($BA613="","",INDEX(tblServicios[Base imponible (€)],$BA613)-INDEX(tblServicios[Imp. suplemento (€)],$BA613))</f>
        <v/>
      </c>
      <c r="S613" s="34" t="str" cm="1">
        <f t="array" ref="S613">IF($BA613="","",INDEX(tblServicios[Imp. suplemento (€)],$BA613))</f>
        <v/>
      </c>
      <c r="T613" t="str" cm="1">
        <f t="array" ref="T613">IF($BA613="","",INDEX(tblServicios[Tipo suplemento],$BA613))</f>
        <v/>
      </c>
      <c r="U613" s="2" t="str">
        <f t="shared" si="11"/>
        <v/>
      </c>
      <c r="V613" t="str" cm="1">
        <f t="array" ref="V613">IF($BA613="","",IF(INDEX(tblServicios[Conductor],$BA613)=$T$2,"Conductor",IF(INDEX(tblServicios[Personal adicional],$BA613)=$T$2,"Personal adicional","")))</f>
        <v/>
      </c>
      <c r="BA613" s="33" t="str" cm="1">
        <f t="array" ref="BA6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adicional]=$T$2))&gt;0)),ROW(A615)),"")</f>
        <v/>
      </c>
    </row>
    <row r="614" spans="15:53" x14ac:dyDescent="0.35">
      <c r="O614" s="1" t="str" cm="1">
        <f t="array" ref="O614">IF($BA614="","",INDEX(tblServicios[Fecha],$BA614))</f>
        <v/>
      </c>
      <c r="P614" t="str" cm="1">
        <f t="array" ref="P614">IF($BA614="","",INDEX(tblServicios[Contrato],$BA614))</f>
        <v/>
      </c>
      <c r="Q614" t="str" cm="1">
        <f t="array" ref="Q614">IF($BA614="","",INDEX(tblServicios[Vehículo],$BA614))</f>
        <v/>
      </c>
      <c r="R614" s="34" t="str" cm="1">
        <f t="array" ref="R614">IF($BA614="","",INDEX(tblServicios[Base imponible (€)],$BA614)-INDEX(tblServicios[Imp. suplemento (€)],$BA614))</f>
        <v/>
      </c>
      <c r="S614" s="34" t="str" cm="1">
        <f t="array" ref="S614">IF($BA614="","",INDEX(tblServicios[Imp. suplemento (€)],$BA614))</f>
        <v/>
      </c>
      <c r="T614" t="str" cm="1">
        <f t="array" ref="T614">IF($BA614="","",INDEX(tblServicios[Tipo suplemento],$BA614))</f>
        <v/>
      </c>
      <c r="U614" s="2" t="str">
        <f t="shared" si="11"/>
        <v/>
      </c>
      <c r="V614" t="str" cm="1">
        <f t="array" ref="V614">IF($BA614="","",IF(INDEX(tblServicios[Conductor],$BA614)=$T$2,"Conductor",IF(INDEX(tblServicios[Personal adicional],$BA614)=$T$2,"Personal adicional","")))</f>
        <v/>
      </c>
      <c r="BA614" s="33" t="str" cm="1">
        <f t="array" ref="BA6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adicional]=$T$2))&gt;0)),ROW(A616)),"")</f>
        <v/>
      </c>
    </row>
    <row r="615" spans="15:53" x14ac:dyDescent="0.35">
      <c r="O615" s="1" t="str" cm="1">
        <f t="array" ref="O615">IF($BA615="","",INDEX(tblServicios[Fecha],$BA615))</f>
        <v/>
      </c>
      <c r="P615" t="str" cm="1">
        <f t="array" ref="P615">IF($BA615="","",INDEX(tblServicios[Contrato],$BA615))</f>
        <v/>
      </c>
      <c r="Q615" t="str" cm="1">
        <f t="array" ref="Q615">IF($BA615="","",INDEX(tblServicios[Vehículo],$BA615))</f>
        <v/>
      </c>
      <c r="R615" s="34" t="str" cm="1">
        <f t="array" ref="R615">IF($BA615="","",INDEX(tblServicios[Base imponible (€)],$BA615)-INDEX(tblServicios[Imp. suplemento (€)],$BA615))</f>
        <v/>
      </c>
      <c r="S615" s="34" t="str" cm="1">
        <f t="array" ref="S615">IF($BA615="","",INDEX(tblServicios[Imp. suplemento (€)],$BA615))</f>
        <v/>
      </c>
      <c r="T615" t="str" cm="1">
        <f t="array" ref="T615">IF($BA615="","",INDEX(tblServicios[Tipo suplemento],$BA615))</f>
        <v/>
      </c>
      <c r="U615" s="2" t="str">
        <f t="shared" si="11"/>
        <v/>
      </c>
      <c r="V615" t="str" cm="1">
        <f t="array" ref="V615">IF($BA615="","",IF(INDEX(tblServicios[Conductor],$BA615)=$T$2,"Conductor",IF(INDEX(tblServicios[Personal adicional],$BA615)=$T$2,"Personal adicional","")))</f>
        <v/>
      </c>
      <c r="BA615" s="33" t="str" cm="1">
        <f t="array" ref="BA6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adicional]=$T$2))&gt;0)),ROW(A617)),"")</f>
        <v/>
      </c>
    </row>
    <row r="616" spans="15:53" x14ac:dyDescent="0.35">
      <c r="O616" s="1" t="str" cm="1">
        <f t="array" ref="O616">IF($BA616="","",INDEX(tblServicios[Fecha],$BA616))</f>
        <v/>
      </c>
      <c r="P616" t="str" cm="1">
        <f t="array" ref="P616">IF($BA616="","",INDEX(tblServicios[Contrato],$BA616))</f>
        <v/>
      </c>
      <c r="Q616" t="str" cm="1">
        <f t="array" ref="Q616">IF($BA616="","",INDEX(tblServicios[Vehículo],$BA616))</f>
        <v/>
      </c>
      <c r="R616" s="34" t="str" cm="1">
        <f t="array" ref="R616">IF($BA616="","",INDEX(tblServicios[Base imponible (€)],$BA616)-INDEX(tblServicios[Imp. suplemento (€)],$BA616))</f>
        <v/>
      </c>
      <c r="S616" s="34" t="str" cm="1">
        <f t="array" ref="S616">IF($BA616="","",INDEX(tblServicios[Imp. suplemento (€)],$BA616))</f>
        <v/>
      </c>
      <c r="T616" t="str" cm="1">
        <f t="array" ref="T616">IF($BA616="","",INDEX(tblServicios[Tipo suplemento],$BA616))</f>
        <v/>
      </c>
      <c r="U616" s="2" t="str">
        <f t="shared" si="11"/>
        <v/>
      </c>
      <c r="V616" t="str" cm="1">
        <f t="array" ref="V616">IF($BA616="","",IF(INDEX(tblServicios[Conductor],$BA616)=$T$2,"Conductor",IF(INDEX(tblServicios[Personal adicional],$BA616)=$T$2,"Personal adicional","")))</f>
        <v/>
      </c>
      <c r="BA616" s="33" t="str" cm="1">
        <f t="array" ref="BA6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adicional]=$T$2))&gt;0)),ROW(A618)),"")</f>
        <v/>
      </c>
    </row>
    <row r="617" spans="15:53" x14ac:dyDescent="0.35">
      <c r="O617" s="1" t="str" cm="1">
        <f t="array" ref="O617">IF($BA617="","",INDEX(tblServicios[Fecha],$BA617))</f>
        <v/>
      </c>
      <c r="P617" t="str" cm="1">
        <f t="array" ref="P617">IF($BA617="","",INDEX(tblServicios[Contrato],$BA617))</f>
        <v/>
      </c>
      <c r="Q617" t="str" cm="1">
        <f t="array" ref="Q617">IF($BA617="","",INDEX(tblServicios[Vehículo],$BA617))</f>
        <v/>
      </c>
      <c r="R617" s="34" t="str" cm="1">
        <f t="array" ref="R617">IF($BA617="","",INDEX(tblServicios[Base imponible (€)],$BA617)-INDEX(tblServicios[Imp. suplemento (€)],$BA617))</f>
        <v/>
      </c>
      <c r="S617" s="34" t="str" cm="1">
        <f t="array" ref="S617">IF($BA617="","",INDEX(tblServicios[Imp. suplemento (€)],$BA617))</f>
        <v/>
      </c>
      <c r="T617" t="str" cm="1">
        <f t="array" ref="T617">IF($BA617="","",INDEX(tblServicios[Tipo suplemento],$BA617))</f>
        <v/>
      </c>
      <c r="U617" s="2" t="str">
        <f t="shared" si="11"/>
        <v/>
      </c>
      <c r="V617" t="str" cm="1">
        <f t="array" ref="V617">IF($BA617="","",IF(INDEX(tblServicios[Conductor],$BA617)=$T$2,"Conductor",IF(INDEX(tblServicios[Personal adicional],$BA617)=$T$2,"Personal adicional","")))</f>
        <v/>
      </c>
      <c r="BA617" s="33" t="str" cm="1">
        <f t="array" ref="BA6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adicional]=$T$2))&gt;0)),ROW(A619)),"")</f>
        <v/>
      </c>
    </row>
    <row r="618" spans="15:53" x14ac:dyDescent="0.35">
      <c r="O618" s="1" t="str" cm="1">
        <f t="array" ref="O618">IF($BA618="","",INDEX(tblServicios[Fecha],$BA618))</f>
        <v/>
      </c>
      <c r="P618" t="str" cm="1">
        <f t="array" ref="P618">IF($BA618="","",INDEX(tblServicios[Contrato],$BA618))</f>
        <v/>
      </c>
      <c r="Q618" t="str" cm="1">
        <f t="array" ref="Q618">IF($BA618="","",INDEX(tblServicios[Vehículo],$BA618))</f>
        <v/>
      </c>
      <c r="R618" s="34" t="str" cm="1">
        <f t="array" ref="R618">IF($BA618="","",INDEX(tblServicios[Base imponible (€)],$BA618)-INDEX(tblServicios[Imp. suplemento (€)],$BA618))</f>
        <v/>
      </c>
      <c r="S618" s="34" t="str" cm="1">
        <f t="array" ref="S618">IF($BA618="","",INDEX(tblServicios[Imp. suplemento (€)],$BA618))</f>
        <v/>
      </c>
      <c r="T618" t="str" cm="1">
        <f t="array" ref="T618">IF($BA618="","",INDEX(tblServicios[Tipo suplemento],$BA618))</f>
        <v/>
      </c>
      <c r="U618" s="2" t="str">
        <f t="shared" si="11"/>
        <v/>
      </c>
      <c r="V618" t="str" cm="1">
        <f t="array" ref="V618">IF($BA618="","",IF(INDEX(tblServicios[Conductor],$BA618)=$T$2,"Conductor",IF(INDEX(tblServicios[Personal adicional],$BA618)=$T$2,"Personal adicional","")))</f>
        <v/>
      </c>
      <c r="BA618" s="33" t="str" cm="1">
        <f t="array" ref="BA6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adicional]=$T$2))&gt;0)),ROW(A620)),"")</f>
        <v/>
      </c>
    </row>
    <row r="619" spans="15:53" x14ac:dyDescent="0.35">
      <c r="O619" s="1" t="str" cm="1">
        <f t="array" ref="O619">IF($BA619="","",INDEX(tblServicios[Fecha],$BA619))</f>
        <v/>
      </c>
      <c r="P619" t="str" cm="1">
        <f t="array" ref="P619">IF($BA619="","",INDEX(tblServicios[Contrato],$BA619))</f>
        <v/>
      </c>
      <c r="Q619" t="str" cm="1">
        <f t="array" ref="Q619">IF($BA619="","",INDEX(tblServicios[Vehículo],$BA619))</f>
        <v/>
      </c>
      <c r="R619" s="34" t="str" cm="1">
        <f t="array" ref="R619">IF($BA619="","",INDEX(tblServicios[Base imponible (€)],$BA619)-INDEX(tblServicios[Imp. suplemento (€)],$BA619))</f>
        <v/>
      </c>
      <c r="S619" s="34" t="str" cm="1">
        <f t="array" ref="S619">IF($BA619="","",INDEX(tblServicios[Imp. suplemento (€)],$BA619))</f>
        <v/>
      </c>
      <c r="T619" t="str" cm="1">
        <f t="array" ref="T619">IF($BA619="","",INDEX(tblServicios[Tipo suplemento],$BA619))</f>
        <v/>
      </c>
      <c r="U619" s="2" t="str">
        <f t="shared" si="11"/>
        <v/>
      </c>
      <c r="V619" t="str" cm="1">
        <f t="array" ref="V619">IF($BA619="","",IF(INDEX(tblServicios[Conductor],$BA619)=$T$2,"Conductor",IF(INDEX(tblServicios[Personal adicional],$BA619)=$T$2,"Personal adicional","")))</f>
        <v/>
      </c>
      <c r="BA619" s="33" t="str" cm="1">
        <f t="array" ref="BA6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adicional]=$T$2))&gt;0)),ROW(A621)),"")</f>
        <v/>
      </c>
    </row>
    <row r="620" spans="15:53" x14ac:dyDescent="0.35">
      <c r="O620" s="1" t="str" cm="1">
        <f t="array" ref="O620">IF($BA620="","",INDEX(tblServicios[Fecha],$BA620))</f>
        <v/>
      </c>
      <c r="P620" t="str" cm="1">
        <f t="array" ref="P620">IF($BA620="","",INDEX(tblServicios[Contrato],$BA620))</f>
        <v/>
      </c>
      <c r="Q620" t="str" cm="1">
        <f t="array" ref="Q620">IF($BA620="","",INDEX(tblServicios[Vehículo],$BA620))</f>
        <v/>
      </c>
      <c r="R620" s="34" t="str" cm="1">
        <f t="array" ref="R620">IF($BA620="","",INDEX(tblServicios[Base imponible (€)],$BA620)-INDEX(tblServicios[Imp. suplemento (€)],$BA620))</f>
        <v/>
      </c>
      <c r="S620" s="34" t="str" cm="1">
        <f t="array" ref="S620">IF($BA620="","",INDEX(tblServicios[Imp. suplemento (€)],$BA620))</f>
        <v/>
      </c>
      <c r="T620" t="str" cm="1">
        <f t="array" ref="T620">IF($BA620="","",INDEX(tblServicios[Tipo suplemento],$BA620))</f>
        <v/>
      </c>
      <c r="U620" s="2" t="str">
        <f t="shared" si="11"/>
        <v/>
      </c>
      <c r="V620" t="str" cm="1">
        <f t="array" ref="V620">IF($BA620="","",IF(INDEX(tblServicios[Conductor],$BA620)=$T$2,"Conductor",IF(INDEX(tblServicios[Personal adicional],$BA620)=$T$2,"Personal adicional","")))</f>
        <v/>
      </c>
      <c r="BA620" s="33" t="str" cm="1">
        <f t="array" ref="BA6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adicional]=$T$2))&gt;0)),ROW(A622)),"")</f>
        <v/>
      </c>
    </row>
    <row r="621" spans="15:53" x14ac:dyDescent="0.35">
      <c r="O621" s="1" t="str" cm="1">
        <f t="array" ref="O621">IF($BA621="","",INDEX(tblServicios[Fecha],$BA621))</f>
        <v/>
      </c>
      <c r="P621" t="str" cm="1">
        <f t="array" ref="P621">IF($BA621="","",INDEX(tblServicios[Contrato],$BA621))</f>
        <v/>
      </c>
      <c r="Q621" t="str" cm="1">
        <f t="array" ref="Q621">IF($BA621="","",INDEX(tblServicios[Vehículo],$BA621))</f>
        <v/>
      </c>
      <c r="R621" s="34" t="str" cm="1">
        <f t="array" ref="R621">IF($BA621="","",INDEX(tblServicios[Base imponible (€)],$BA621)-INDEX(tblServicios[Imp. suplemento (€)],$BA621))</f>
        <v/>
      </c>
      <c r="S621" s="34" t="str" cm="1">
        <f t="array" ref="S621">IF($BA621="","",INDEX(tblServicios[Imp. suplemento (€)],$BA621))</f>
        <v/>
      </c>
      <c r="T621" t="str" cm="1">
        <f t="array" ref="T621">IF($BA621="","",INDEX(tblServicios[Tipo suplemento],$BA621))</f>
        <v/>
      </c>
      <c r="U621" s="2" t="str">
        <f t="shared" si="11"/>
        <v/>
      </c>
      <c r="V621" t="str" cm="1">
        <f t="array" ref="V621">IF($BA621="","",IF(INDEX(tblServicios[Conductor],$BA621)=$T$2,"Conductor",IF(INDEX(tblServicios[Personal adicional],$BA621)=$T$2,"Personal adicional","")))</f>
        <v/>
      </c>
      <c r="BA621" s="33" t="str" cm="1">
        <f t="array" ref="BA6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adicional]=$T$2))&gt;0)),ROW(A623)),"")</f>
        <v/>
      </c>
    </row>
    <row r="622" spans="15:53" x14ac:dyDescent="0.35">
      <c r="O622" s="1" t="str" cm="1">
        <f t="array" ref="O622">IF($BA622="","",INDEX(tblServicios[Fecha],$BA622))</f>
        <v/>
      </c>
      <c r="P622" t="str" cm="1">
        <f t="array" ref="P622">IF($BA622="","",INDEX(tblServicios[Contrato],$BA622))</f>
        <v/>
      </c>
      <c r="Q622" t="str" cm="1">
        <f t="array" ref="Q622">IF($BA622="","",INDEX(tblServicios[Vehículo],$BA622))</f>
        <v/>
      </c>
      <c r="R622" s="34" t="str" cm="1">
        <f t="array" ref="R622">IF($BA622="","",INDEX(tblServicios[Base imponible (€)],$BA622)-INDEX(tblServicios[Imp. suplemento (€)],$BA622))</f>
        <v/>
      </c>
      <c r="S622" s="34" t="str" cm="1">
        <f t="array" ref="S622">IF($BA622="","",INDEX(tblServicios[Imp. suplemento (€)],$BA622))</f>
        <v/>
      </c>
      <c r="T622" t="str" cm="1">
        <f t="array" ref="T622">IF($BA622="","",INDEX(tblServicios[Tipo suplemento],$BA622))</f>
        <v/>
      </c>
      <c r="U622" s="2" t="str">
        <f t="shared" si="11"/>
        <v/>
      </c>
      <c r="V622" t="str" cm="1">
        <f t="array" ref="V622">IF($BA622="","",IF(INDEX(tblServicios[Conductor],$BA622)=$T$2,"Conductor",IF(INDEX(tblServicios[Personal adicional],$BA622)=$T$2,"Personal adicional","")))</f>
        <v/>
      </c>
      <c r="BA622" s="33" t="str" cm="1">
        <f t="array" ref="BA6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adicional]=$T$2))&gt;0)),ROW(A624)),"")</f>
        <v/>
      </c>
    </row>
    <row r="623" spans="15:53" x14ac:dyDescent="0.35">
      <c r="O623" s="1" t="str" cm="1">
        <f t="array" ref="O623">IF($BA623="","",INDEX(tblServicios[Fecha],$BA623))</f>
        <v/>
      </c>
      <c r="P623" t="str" cm="1">
        <f t="array" ref="P623">IF($BA623="","",INDEX(tblServicios[Contrato],$BA623))</f>
        <v/>
      </c>
      <c r="Q623" t="str" cm="1">
        <f t="array" ref="Q623">IF($BA623="","",INDEX(tblServicios[Vehículo],$BA623))</f>
        <v/>
      </c>
      <c r="R623" s="34" t="str" cm="1">
        <f t="array" ref="R623">IF($BA623="","",INDEX(tblServicios[Base imponible (€)],$BA623)-INDEX(tblServicios[Imp. suplemento (€)],$BA623))</f>
        <v/>
      </c>
      <c r="S623" s="34" t="str" cm="1">
        <f t="array" ref="S623">IF($BA623="","",INDEX(tblServicios[Imp. suplemento (€)],$BA623))</f>
        <v/>
      </c>
      <c r="T623" t="str" cm="1">
        <f t="array" ref="T623">IF($BA623="","",INDEX(tblServicios[Tipo suplemento],$BA623))</f>
        <v/>
      </c>
      <c r="U623" s="2" t="str">
        <f t="shared" si="11"/>
        <v/>
      </c>
      <c r="V623" t="str" cm="1">
        <f t="array" ref="V623">IF($BA623="","",IF(INDEX(tblServicios[Conductor],$BA623)=$T$2,"Conductor",IF(INDEX(tblServicios[Personal adicional],$BA623)=$T$2,"Personal adicional","")))</f>
        <v/>
      </c>
      <c r="BA623" s="33" t="str" cm="1">
        <f t="array" ref="BA6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adicional]=$T$2))&gt;0)),ROW(A625)),"")</f>
        <v/>
      </c>
    </row>
    <row r="624" spans="15:53" x14ac:dyDescent="0.35">
      <c r="O624" s="1" t="str" cm="1">
        <f t="array" ref="O624">IF($BA624="","",INDEX(tblServicios[Fecha],$BA624))</f>
        <v/>
      </c>
      <c r="P624" t="str" cm="1">
        <f t="array" ref="P624">IF($BA624="","",INDEX(tblServicios[Contrato],$BA624))</f>
        <v/>
      </c>
      <c r="Q624" t="str" cm="1">
        <f t="array" ref="Q624">IF($BA624="","",INDEX(tblServicios[Vehículo],$BA624))</f>
        <v/>
      </c>
      <c r="R624" s="34" t="str" cm="1">
        <f t="array" ref="R624">IF($BA624="","",INDEX(tblServicios[Base imponible (€)],$BA624)-INDEX(tblServicios[Imp. suplemento (€)],$BA624))</f>
        <v/>
      </c>
      <c r="S624" s="34" t="str" cm="1">
        <f t="array" ref="S624">IF($BA624="","",INDEX(tblServicios[Imp. suplemento (€)],$BA624))</f>
        <v/>
      </c>
      <c r="T624" t="str" cm="1">
        <f t="array" ref="T624">IF($BA624="","",INDEX(tblServicios[Tipo suplemento],$BA624))</f>
        <v/>
      </c>
      <c r="U624" s="2" t="str">
        <f t="shared" si="11"/>
        <v/>
      </c>
      <c r="V624" t="str" cm="1">
        <f t="array" ref="V624">IF($BA624="","",IF(INDEX(tblServicios[Conductor],$BA624)=$T$2,"Conductor",IF(INDEX(tblServicios[Personal adicional],$BA624)=$T$2,"Personal adicional","")))</f>
        <v/>
      </c>
      <c r="BA624" s="33" t="str" cm="1">
        <f t="array" ref="BA6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adicional]=$T$2))&gt;0)),ROW(A626)),"")</f>
        <v/>
      </c>
    </row>
    <row r="625" spans="15:53" x14ac:dyDescent="0.35">
      <c r="O625" s="1" t="str" cm="1">
        <f t="array" ref="O625">IF($BA625="","",INDEX(tblServicios[Fecha],$BA625))</f>
        <v/>
      </c>
      <c r="P625" t="str" cm="1">
        <f t="array" ref="P625">IF($BA625="","",INDEX(tblServicios[Contrato],$BA625))</f>
        <v/>
      </c>
      <c r="Q625" t="str" cm="1">
        <f t="array" ref="Q625">IF($BA625="","",INDEX(tblServicios[Vehículo],$BA625))</f>
        <v/>
      </c>
      <c r="R625" s="34" t="str" cm="1">
        <f t="array" ref="R625">IF($BA625="","",INDEX(tblServicios[Base imponible (€)],$BA625)-INDEX(tblServicios[Imp. suplemento (€)],$BA625))</f>
        <v/>
      </c>
      <c r="S625" s="34" t="str" cm="1">
        <f t="array" ref="S625">IF($BA625="","",INDEX(tblServicios[Imp. suplemento (€)],$BA625))</f>
        <v/>
      </c>
      <c r="T625" t="str" cm="1">
        <f t="array" ref="T625">IF($BA625="","",INDEX(tblServicios[Tipo suplemento],$BA625))</f>
        <v/>
      </c>
      <c r="U625" s="2" t="str">
        <f t="shared" si="11"/>
        <v/>
      </c>
      <c r="V625" t="str" cm="1">
        <f t="array" ref="V625">IF($BA625="","",IF(INDEX(tblServicios[Conductor],$BA625)=$T$2,"Conductor",IF(INDEX(tblServicios[Personal adicional],$BA625)=$T$2,"Personal adicional","")))</f>
        <v/>
      </c>
      <c r="BA625" s="33" t="str" cm="1">
        <f t="array" ref="BA6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adicional]=$T$2))&gt;0)),ROW(A627)),"")</f>
        <v/>
      </c>
    </row>
    <row r="626" spans="15:53" x14ac:dyDescent="0.35">
      <c r="O626" s="1" t="str" cm="1">
        <f t="array" ref="O626">IF($BA626="","",INDEX(tblServicios[Fecha],$BA626))</f>
        <v/>
      </c>
      <c r="P626" t="str" cm="1">
        <f t="array" ref="P626">IF($BA626="","",INDEX(tblServicios[Contrato],$BA626))</f>
        <v/>
      </c>
      <c r="Q626" t="str" cm="1">
        <f t="array" ref="Q626">IF($BA626="","",INDEX(tblServicios[Vehículo],$BA626))</f>
        <v/>
      </c>
      <c r="R626" s="34" t="str" cm="1">
        <f t="array" ref="R626">IF($BA626="","",INDEX(tblServicios[Base imponible (€)],$BA626)-INDEX(tblServicios[Imp. suplemento (€)],$BA626))</f>
        <v/>
      </c>
      <c r="S626" s="34" t="str" cm="1">
        <f t="array" ref="S626">IF($BA626="","",INDEX(tblServicios[Imp. suplemento (€)],$BA626))</f>
        <v/>
      </c>
      <c r="T626" t="str" cm="1">
        <f t="array" ref="T626">IF($BA626="","",INDEX(tblServicios[Tipo suplemento],$BA626))</f>
        <v/>
      </c>
      <c r="U626" s="2" t="str">
        <f t="shared" si="11"/>
        <v/>
      </c>
      <c r="V626" t="str" cm="1">
        <f t="array" ref="V626">IF($BA626="","",IF(INDEX(tblServicios[Conductor],$BA626)=$T$2,"Conductor",IF(INDEX(tblServicios[Personal adicional],$BA626)=$T$2,"Personal adicional","")))</f>
        <v/>
      </c>
      <c r="BA626" s="33" t="str" cm="1">
        <f t="array" ref="BA6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adicional]=$T$2))&gt;0)),ROW(A628)),"")</f>
        <v/>
      </c>
    </row>
    <row r="627" spans="15:53" x14ac:dyDescent="0.35">
      <c r="O627" s="1" t="str" cm="1">
        <f t="array" ref="O627">IF($BA627="","",INDEX(tblServicios[Fecha],$BA627))</f>
        <v/>
      </c>
      <c r="P627" t="str" cm="1">
        <f t="array" ref="P627">IF($BA627="","",INDEX(tblServicios[Contrato],$BA627))</f>
        <v/>
      </c>
      <c r="Q627" t="str" cm="1">
        <f t="array" ref="Q627">IF($BA627="","",INDEX(tblServicios[Vehículo],$BA627))</f>
        <v/>
      </c>
      <c r="R627" s="34" t="str" cm="1">
        <f t="array" ref="R627">IF($BA627="","",INDEX(tblServicios[Base imponible (€)],$BA627)-INDEX(tblServicios[Imp. suplemento (€)],$BA627))</f>
        <v/>
      </c>
      <c r="S627" s="34" t="str" cm="1">
        <f t="array" ref="S627">IF($BA627="","",INDEX(tblServicios[Imp. suplemento (€)],$BA627))</f>
        <v/>
      </c>
      <c r="T627" t="str" cm="1">
        <f t="array" ref="T627">IF($BA627="","",INDEX(tblServicios[Tipo suplemento],$BA627))</f>
        <v/>
      </c>
      <c r="U627" s="2" t="str">
        <f t="shared" si="11"/>
        <v/>
      </c>
      <c r="V627" t="str" cm="1">
        <f t="array" ref="V627">IF($BA627="","",IF(INDEX(tblServicios[Conductor],$BA627)=$T$2,"Conductor",IF(INDEX(tblServicios[Personal adicional],$BA627)=$T$2,"Personal adicional","")))</f>
        <v/>
      </c>
      <c r="BA627" s="33" t="str" cm="1">
        <f t="array" ref="BA6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adicional]=$T$2))&gt;0)),ROW(A629)),"")</f>
        <v/>
      </c>
    </row>
    <row r="628" spans="15:53" x14ac:dyDescent="0.35">
      <c r="O628" s="1" t="str" cm="1">
        <f t="array" ref="O628">IF($BA628="","",INDEX(tblServicios[Fecha],$BA628))</f>
        <v/>
      </c>
      <c r="P628" t="str" cm="1">
        <f t="array" ref="P628">IF($BA628="","",INDEX(tblServicios[Contrato],$BA628))</f>
        <v/>
      </c>
      <c r="Q628" t="str" cm="1">
        <f t="array" ref="Q628">IF($BA628="","",INDEX(tblServicios[Vehículo],$BA628))</f>
        <v/>
      </c>
      <c r="R628" s="34" t="str" cm="1">
        <f t="array" ref="R628">IF($BA628="","",INDEX(tblServicios[Base imponible (€)],$BA628)-INDEX(tblServicios[Imp. suplemento (€)],$BA628))</f>
        <v/>
      </c>
      <c r="S628" s="34" t="str" cm="1">
        <f t="array" ref="S628">IF($BA628="","",INDEX(tblServicios[Imp. suplemento (€)],$BA628))</f>
        <v/>
      </c>
      <c r="T628" t="str" cm="1">
        <f t="array" ref="T628">IF($BA628="","",INDEX(tblServicios[Tipo suplemento],$BA628))</f>
        <v/>
      </c>
      <c r="U628" s="2" t="str">
        <f t="shared" si="11"/>
        <v/>
      </c>
      <c r="V628" t="str" cm="1">
        <f t="array" ref="V628">IF($BA628="","",IF(INDEX(tblServicios[Conductor],$BA628)=$T$2,"Conductor",IF(INDEX(tblServicios[Personal adicional],$BA628)=$T$2,"Personal adicional","")))</f>
        <v/>
      </c>
      <c r="BA628" s="33" t="str" cm="1">
        <f t="array" ref="BA6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adicional]=$T$2))&gt;0)),ROW(A630)),"")</f>
        <v/>
      </c>
    </row>
    <row r="629" spans="15:53" x14ac:dyDescent="0.35">
      <c r="O629" s="1" t="str" cm="1">
        <f t="array" ref="O629">IF($BA629="","",INDEX(tblServicios[Fecha],$BA629))</f>
        <v/>
      </c>
      <c r="P629" t="str" cm="1">
        <f t="array" ref="P629">IF($BA629="","",INDEX(tblServicios[Contrato],$BA629))</f>
        <v/>
      </c>
      <c r="Q629" t="str" cm="1">
        <f t="array" ref="Q629">IF($BA629="","",INDEX(tblServicios[Vehículo],$BA629))</f>
        <v/>
      </c>
      <c r="R629" s="34" t="str" cm="1">
        <f t="array" ref="R629">IF($BA629="","",INDEX(tblServicios[Base imponible (€)],$BA629)-INDEX(tblServicios[Imp. suplemento (€)],$BA629))</f>
        <v/>
      </c>
      <c r="S629" s="34" t="str" cm="1">
        <f t="array" ref="S629">IF($BA629="","",INDEX(tblServicios[Imp. suplemento (€)],$BA629))</f>
        <v/>
      </c>
      <c r="T629" t="str" cm="1">
        <f t="array" ref="T629">IF($BA629="","",INDEX(tblServicios[Tipo suplemento],$BA629))</f>
        <v/>
      </c>
      <c r="U629" s="2" t="str">
        <f t="shared" si="11"/>
        <v/>
      </c>
      <c r="V629" t="str" cm="1">
        <f t="array" ref="V629">IF($BA629="","",IF(INDEX(tblServicios[Conductor],$BA629)=$T$2,"Conductor",IF(INDEX(tblServicios[Personal adicional],$BA629)=$T$2,"Personal adicional","")))</f>
        <v/>
      </c>
      <c r="BA629" s="33" t="str" cm="1">
        <f t="array" ref="BA6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adicional]=$T$2))&gt;0)),ROW(A631)),"")</f>
        <v/>
      </c>
    </row>
    <row r="630" spans="15:53" x14ac:dyDescent="0.35">
      <c r="O630" s="1" t="str" cm="1">
        <f t="array" ref="O630">IF($BA630="","",INDEX(tblServicios[Fecha],$BA630))</f>
        <v/>
      </c>
      <c r="P630" t="str" cm="1">
        <f t="array" ref="P630">IF($BA630="","",INDEX(tblServicios[Contrato],$BA630))</f>
        <v/>
      </c>
      <c r="Q630" t="str" cm="1">
        <f t="array" ref="Q630">IF($BA630="","",INDEX(tblServicios[Vehículo],$BA630))</f>
        <v/>
      </c>
      <c r="R630" s="34" t="str" cm="1">
        <f t="array" ref="R630">IF($BA630="","",INDEX(tblServicios[Base imponible (€)],$BA630)-INDEX(tblServicios[Imp. suplemento (€)],$BA630))</f>
        <v/>
      </c>
      <c r="S630" s="34" t="str" cm="1">
        <f t="array" ref="S630">IF($BA630="","",INDEX(tblServicios[Imp. suplemento (€)],$BA630))</f>
        <v/>
      </c>
      <c r="T630" t="str" cm="1">
        <f t="array" ref="T630">IF($BA630="","",INDEX(tblServicios[Tipo suplemento],$BA630))</f>
        <v/>
      </c>
      <c r="U630" s="2" t="str">
        <f t="shared" si="11"/>
        <v/>
      </c>
      <c r="V630" t="str" cm="1">
        <f t="array" ref="V630">IF($BA630="","",IF(INDEX(tblServicios[Conductor],$BA630)=$T$2,"Conductor",IF(INDEX(tblServicios[Personal adicional],$BA630)=$T$2,"Personal adicional","")))</f>
        <v/>
      </c>
      <c r="BA630" s="33" t="str" cm="1">
        <f t="array" ref="BA6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adicional]=$T$2))&gt;0)),ROW(A632)),"")</f>
        <v/>
      </c>
    </row>
    <row r="631" spans="15:53" x14ac:dyDescent="0.35">
      <c r="O631" s="1" t="str" cm="1">
        <f t="array" ref="O631">IF($BA631="","",INDEX(tblServicios[Fecha],$BA631))</f>
        <v/>
      </c>
      <c r="P631" t="str" cm="1">
        <f t="array" ref="P631">IF($BA631="","",INDEX(tblServicios[Contrato],$BA631))</f>
        <v/>
      </c>
      <c r="Q631" t="str" cm="1">
        <f t="array" ref="Q631">IF($BA631="","",INDEX(tblServicios[Vehículo],$BA631))</f>
        <v/>
      </c>
      <c r="R631" s="34" t="str" cm="1">
        <f t="array" ref="R631">IF($BA631="","",INDEX(tblServicios[Base imponible (€)],$BA631)-INDEX(tblServicios[Imp. suplemento (€)],$BA631))</f>
        <v/>
      </c>
      <c r="S631" s="34" t="str" cm="1">
        <f t="array" ref="S631">IF($BA631="","",INDEX(tblServicios[Imp. suplemento (€)],$BA631))</f>
        <v/>
      </c>
      <c r="T631" t="str" cm="1">
        <f t="array" ref="T631">IF($BA631="","",INDEX(tblServicios[Tipo suplemento],$BA631))</f>
        <v/>
      </c>
      <c r="U631" s="2" t="str">
        <f t="shared" si="11"/>
        <v/>
      </c>
      <c r="V631" t="str" cm="1">
        <f t="array" ref="V631">IF($BA631="","",IF(INDEX(tblServicios[Conductor],$BA631)=$T$2,"Conductor",IF(INDEX(tblServicios[Personal adicional],$BA631)=$T$2,"Personal adicional","")))</f>
        <v/>
      </c>
      <c r="BA631" s="33" t="str" cm="1">
        <f t="array" ref="BA6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adicional]=$T$2))&gt;0)),ROW(A633)),"")</f>
        <v/>
      </c>
    </row>
    <row r="632" spans="15:53" x14ac:dyDescent="0.35">
      <c r="O632" s="1" t="str" cm="1">
        <f t="array" ref="O632">IF($BA632="","",INDEX(tblServicios[Fecha],$BA632))</f>
        <v/>
      </c>
      <c r="P632" t="str" cm="1">
        <f t="array" ref="P632">IF($BA632="","",INDEX(tblServicios[Contrato],$BA632))</f>
        <v/>
      </c>
      <c r="Q632" t="str" cm="1">
        <f t="array" ref="Q632">IF($BA632="","",INDEX(tblServicios[Vehículo],$BA632))</f>
        <v/>
      </c>
      <c r="R632" s="34" t="str" cm="1">
        <f t="array" ref="R632">IF($BA632="","",INDEX(tblServicios[Base imponible (€)],$BA632)-INDEX(tblServicios[Imp. suplemento (€)],$BA632))</f>
        <v/>
      </c>
      <c r="S632" s="34" t="str" cm="1">
        <f t="array" ref="S632">IF($BA632="","",INDEX(tblServicios[Imp. suplemento (€)],$BA632))</f>
        <v/>
      </c>
      <c r="T632" t="str" cm="1">
        <f t="array" ref="T632">IF($BA632="","",INDEX(tblServicios[Tipo suplemento],$BA632))</f>
        <v/>
      </c>
      <c r="U632" s="2" t="str">
        <f t="shared" si="11"/>
        <v/>
      </c>
      <c r="V632" t="str" cm="1">
        <f t="array" ref="V632">IF($BA632="","",IF(INDEX(tblServicios[Conductor],$BA632)=$T$2,"Conductor",IF(INDEX(tblServicios[Personal adicional],$BA632)=$T$2,"Personal adicional","")))</f>
        <v/>
      </c>
      <c r="BA632" s="33" t="str" cm="1">
        <f t="array" ref="BA6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adicional]=$T$2))&gt;0)),ROW(A634)),"")</f>
        <v/>
      </c>
    </row>
    <row r="633" spans="15:53" x14ac:dyDescent="0.35">
      <c r="O633" s="1" t="str" cm="1">
        <f t="array" ref="O633">IF($BA633="","",INDEX(tblServicios[Fecha],$BA633))</f>
        <v/>
      </c>
      <c r="P633" t="str" cm="1">
        <f t="array" ref="P633">IF($BA633="","",INDEX(tblServicios[Contrato],$BA633))</f>
        <v/>
      </c>
      <c r="Q633" t="str" cm="1">
        <f t="array" ref="Q633">IF($BA633="","",INDEX(tblServicios[Vehículo],$BA633))</f>
        <v/>
      </c>
      <c r="R633" s="34" t="str" cm="1">
        <f t="array" ref="R633">IF($BA633="","",INDEX(tblServicios[Base imponible (€)],$BA633)-INDEX(tblServicios[Imp. suplemento (€)],$BA633))</f>
        <v/>
      </c>
      <c r="S633" s="34" t="str" cm="1">
        <f t="array" ref="S633">IF($BA633="","",INDEX(tblServicios[Imp. suplemento (€)],$BA633))</f>
        <v/>
      </c>
      <c r="T633" t="str" cm="1">
        <f t="array" ref="T633">IF($BA633="","",INDEX(tblServicios[Tipo suplemento],$BA633))</f>
        <v/>
      </c>
      <c r="U633" s="2" t="str">
        <f t="shared" si="11"/>
        <v/>
      </c>
      <c r="V633" t="str" cm="1">
        <f t="array" ref="V633">IF($BA633="","",IF(INDEX(tblServicios[Conductor],$BA633)=$T$2,"Conductor",IF(INDEX(tblServicios[Personal adicional],$BA633)=$T$2,"Personal adicional","")))</f>
        <v/>
      </c>
      <c r="BA633" s="33" t="str" cm="1">
        <f t="array" ref="BA6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adicional]=$T$2))&gt;0)),ROW(A635)),"")</f>
        <v/>
      </c>
    </row>
    <row r="634" spans="15:53" x14ac:dyDescent="0.35">
      <c r="O634" s="1" t="str" cm="1">
        <f t="array" ref="O634">IF($BA634="","",INDEX(tblServicios[Fecha],$BA634))</f>
        <v/>
      </c>
      <c r="P634" t="str" cm="1">
        <f t="array" ref="P634">IF($BA634="","",INDEX(tblServicios[Contrato],$BA634))</f>
        <v/>
      </c>
      <c r="Q634" t="str" cm="1">
        <f t="array" ref="Q634">IF($BA634="","",INDEX(tblServicios[Vehículo],$BA634))</f>
        <v/>
      </c>
      <c r="R634" s="34" t="str" cm="1">
        <f t="array" ref="R634">IF($BA634="","",INDEX(tblServicios[Base imponible (€)],$BA634)-INDEX(tblServicios[Imp. suplemento (€)],$BA634))</f>
        <v/>
      </c>
      <c r="S634" s="34" t="str" cm="1">
        <f t="array" ref="S634">IF($BA634="","",INDEX(tblServicios[Imp. suplemento (€)],$BA634))</f>
        <v/>
      </c>
      <c r="T634" t="str" cm="1">
        <f t="array" ref="T634">IF($BA634="","",INDEX(tblServicios[Tipo suplemento],$BA634))</f>
        <v/>
      </c>
      <c r="U634" s="2" t="str">
        <f t="shared" si="11"/>
        <v/>
      </c>
      <c r="V634" t="str" cm="1">
        <f t="array" ref="V634">IF($BA634="","",IF(INDEX(tblServicios[Conductor],$BA634)=$T$2,"Conductor",IF(INDEX(tblServicios[Personal adicional],$BA634)=$T$2,"Personal adicional","")))</f>
        <v/>
      </c>
      <c r="BA634" s="33" t="str" cm="1">
        <f t="array" ref="BA6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adicional]=$T$2))&gt;0)),ROW(A636)),"")</f>
        <v/>
      </c>
    </row>
    <row r="635" spans="15:53" x14ac:dyDescent="0.35">
      <c r="O635" s="1" t="str" cm="1">
        <f t="array" ref="O635">IF($BA635="","",INDEX(tblServicios[Fecha],$BA635))</f>
        <v/>
      </c>
      <c r="P635" t="str" cm="1">
        <f t="array" ref="P635">IF($BA635="","",INDEX(tblServicios[Contrato],$BA635))</f>
        <v/>
      </c>
      <c r="Q635" t="str" cm="1">
        <f t="array" ref="Q635">IF($BA635="","",INDEX(tblServicios[Vehículo],$BA635))</f>
        <v/>
      </c>
      <c r="R635" s="34" t="str" cm="1">
        <f t="array" ref="R635">IF($BA635="","",INDEX(tblServicios[Base imponible (€)],$BA635)-INDEX(tblServicios[Imp. suplemento (€)],$BA635))</f>
        <v/>
      </c>
      <c r="S635" s="34" t="str" cm="1">
        <f t="array" ref="S635">IF($BA635="","",INDEX(tblServicios[Imp. suplemento (€)],$BA635))</f>
        <v/>
      </c>
      <c r="T635" t="str" cm="1">
        <f t="array" ref="T635">IF($BA635="","",INDEX(tblServicios[Tipo suplemento],$BA635))</f>
        <v/>
      </c>
      <c r="U635" s="2" t="str">
        <f t="shared" si="11"/>
        <v/>
      </c>
      <c r="V635" t="str" cm="1">
        <f t="array" ref="V635">IF($BA635="","",IF(INDEX(tblServicios[Conductor],$BA635)=$T$2,"Conductor",IF(INDEX(tblServicios[Personal adicional],$BA635)=$T$2,"Personal adicional","")))</f>
        <v/>
      </c>
      <c r="BA635" s="33" t="str" cm="1">
        <f t="array" ref="BA6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adicional]=$T$2))&gt;0)),ROW(A637)),"")</f>
        <v/>
      </c>
    </row>
    <row r="636" spans="15:53" x14ac:dyDescent="0.35">
      <c r="O636" s="1" t="str" cm="1">
        <f t="array" ref="O636">IF($BA636="","",INDEX(tblServicios[Fecha],$BA636))</f>
        <v/>
      </c>
      <c r="P636" t="str" cm="1">
        <f t="array" ref="P636">IF($BA636="","",INDEX(tblServicios[Contrato],$BA636))</f>
        <v/>
      </c>
      <c r="Q636" t="str" cm="1">
        <f t="array" ref="Q636">IF($BA636="","",INDEX(tblServicios[Vehículo],$BA636))</f>
        <v/>
      </c>
      <c r="R636" s="34" t="str" cm="1">
        <f t="array" ref="R636">IF($BA636="","",INDEX(tblServicios[Base imponible (€)],$BA636)-INDEX(tblServicios[Imp. suplemento (€)],$BA636))</f>
        <v/>
      </c>
      <c r="S636" s="34" t="str" cm="1">
        <f t="array" ref="S636">IF($BA636="","",INDEX(tblServicios[Imp. suplemento (€)],$BA636))</f>
        <v/>
      </c>
      <c r="T636" t="str" cm="1">
        <f t="array" ref="T636">IF($BA636="","",INDEX(tblServicios[Tipo suplemento],$BA636))</f>
        <v/>
      </c>
      <c r="U636" s="2" t="str">
        <f t="shared" si="11"/>
        <v/>
      </c>
      <c r="V636" t="str" cm="1">
        <f t="array" ref="V636">IF($BA636="","",IF(INDEX(tblServicios[Conductor],$BA636)=$T$2,"Conductor",IF(INDEX(tblServicios[Personal adicional],$BA636)=$T$2,"Personal adicional","")))</f>
        <v/>
      </c>
      <c r="BA636" s="33" t="str" cm="1">
        <f t="array" ref="BA6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adicional]=$T$2))&gt;0)),ROW(A638)),"")</f>
        <v/>
      </c>
    </row>
    <row r="637" spans="15:53" x14ac:dyDescent="0.35">
      <c r="O637" s="1" t="str" cm="1">
        <f t="array" ref="O637">IF($BA637="","",INDEX(tblServicios[Fecha],$BA637))</f>
        <v/>
      </c>
      <c r="P637" t="str" cm="1">
        <f t="array" ref="P637">IF($BA637="","",INDEX(tblServicios[Contrato],$BA637))</f>
        <v/>
      </c>
      <c r="Q637" t="str" cm="1">
        <f t="array" ref="Q637">IF($BA637="","",INDEX(tblServicios[Vehículo],$BA637))</f>
        <v/>
      </c>
      <c r="R637" s="34" t="str" cm="1">
        <f t="array" ref="R637">IF($BA637="","",INDEX(tblServicios[Base imponible (€)],$BA637)-INDEX(tblServicios[Imp. suplemento (€)],$BA637))</f>
        <v/>
      </c>
      <c r="S637" s="34" t="str" cm="1">
        <f t="array" ref="S637">IF($BA637="","",INDEX(tblServicios[Imp. suplemento (€)],$BA637))</f>
        <v/>
      </c>
      <c r="T637" t="str" cm="1">
        <f t="array" ref="T637">IF($BA637="","",INDEX(tblServicios[Tipo suplemento],$BA637))</f>
        <v/>
      </c>
      <c r="U637" s="2" t="str">
        <f t="shared" si="11"/>
        <v/>
      </c>
      <c r="V637" t="str" cm="1">
        <f t="array" ref="V637">IF($BA637="","",IF(INDEX(tblServicios[Conductor],$BA637)=$T$2,"Conductor",IF(INDEX(tblServicios[Personal adicional],$BA637)=$T$2,"Personal adicional","")))</f>
        <v/>
      </c>
      <c r="BA637" s="33" t="str" cm="1">
        <f t="array" ref="BA6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adicional]=$T$2))&gt;0)),ROW(A639)),"")</f>
        <v/>
      </c>
    </row>
    <row r="638" spans="15:53" x14ac:dyDescent="0.35">
      <c r="O638" s="1" t="str" cm="1">
        <f t="array" ref="O638">IF($BA638="","",INDEX(tblServicios[Fecha],$BA638))</f>
        <v/>
      </c>
      <c r="P638" t="str" cm="1">
        <f t="array" ref="P638">IF($BA638="","",INDEX(tblServicios[Contrato],$BA638))</f>
        <v/>
      </c>
      <c r="Q638" t="str" cm="1">
        <f t="array" ref="Q638">IF($BA638="","",INDEX(tblServicios[Vehículo],$BA638))</f>
        <v/>
      </c>
      <c r="R638" s="34" t="str" cm="1">
        <f t="array" ref="R638">IF($BA638="","",INDEX(tblServicios[Base imponible (€)],$BA638)-INDEX(tblServicios[Imp. suplemento (€)],$BA638))</f>
        <v/>
      </c>
      <c r="S638" s="34" t="str" cm="1">
        <f t="array" ref="S638">IF($BA638="","",INDEX(tblServicios[Imp. suplemento (€)],$BA638))</f>
        <v/>
      </c>
      <c r="T638" t="str" cm="1">
        <f t="array" ref="T638">IF($BA638="","",INDEX(tblServicios[Tipo suplemento],$BA638))</f>
        <v/>
      </c>
      <c r="U638" s="2" t="str">
        <f t="shared" si="11"/>
        <v/>
      </c>
      <c r="V638" t="str" cm="1">
        <f t="array" ref="V638">IF($BA638="","",IF(INDEX(tblServicios[Conductor],$BA638)=$T$2,"Conductor",IF(INDEX(tblServicios[Personal adicional],$BA638)=$T$2,"Personal adicional","")))</f>
        <v/>
      </c>
      <c r="BA638" s="33" t="str" cm="1">
        <f t="array" ref="BA6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adicional]=$T$2))&gt;0)),ROW(A640)),"")</f>
        <v/>
      </c>
    </row>
    <row r="639" spans="15:53" x14ac:dyDescent="0.35">
      <c r="O639" s="1" t="str" cm="1">
        <f t="array" ref="O639">IF($BA639="","",INDEX(tblServicios[Fecha],$BA639))</f>
        <v/>
      </c>
      <c r="P639" t="str" cm="1">
        <f t="array" ref="P639">IF($BA639="","",INDEX(tblServicios[Contrato],$BA639))</f>
        <v/>
      </c>
      <c r="Q639" t="str" cm="1">
        <f t="array" ref="Q639">IF($BA639="","",INDEX(tblServicios[Vehículo],$BA639))</f>
        <v/>
      </c>
      <c r="R639" s="34" t="str" cm="1">
        <f t="array" ref="R639">IF($BA639="","",INDEX(tblServicios[Base imponible (€)],$BA639)-INDEX(tblServicios[Imp. suplemento (€)],$BA639))</f>
        <v/>
      </c>
      <c r="S639" s="34" t="str" cm="1">
        <f t="array" ref="S639">IF($BA639="","",INDEX(tblServicios[Imp. suplemento (€)],$BA639))</f>
        <v/>
      </c>
      <c r="T639" t="str" cm="1">
        <f t="array" ref="T639">IF($BA639="","",INDEX(tblServicios[Tipo suplemento],$BA639))</f>
        <v/>
      </c>
      <c r="U639" s="2" t="str">
        <f t="shared" si="11"/>
        <v/>
      </c>
      <c r="V639" t="str" cm="1">
        <f t="array" ref="V639">IF($BA639="","",IF(INDEX(tblServicios[Conductor],$BA639)=$T$2,"Conductor",IF(INDEX(tblServicios[Personal adicional],$BA639)=$T$2,"Personal adicional","")))</f>
        <v/>
      </c>
      <c r="BA639" s="33" t="str" cm="1">
        <f t="array" ref="BA6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adicional]=$T$2))&gt;0)),ROW(A641)),"")</f>
        <v/>
      </c>
    </row>
    <row r="640" spans="15:53" x14ac:dyDescent="0.35">
      <c r="O640" s="1" t="str" cm="1">
        <f t="array" ref="O640">IF($BA640="","",INDEX(tblServicios[Fecha],$BA640))</f>
        <v/>
      </c>
      <c r="P640" t="str" cm="1">
        <f t="array" ref="P640">IF($BA640="","",INDEX(tblServicios[Contrato],$BA640))</f>
        <v/>
      </c>
      <c r="Q640" t="str" cm="1">
        <f t="array" ref="Q640">IF($BA640="","",INDEX(tblServicios[Vehículo],$BA640))</f>
        <v/>
      </c>
      <c r="R640" s="34" t="str" cm="1">
        <f t="array" ref="R640">IF($BA640="","",INDEX(tblServicios[Base imponible (€)],$BA640)-INDEX(tblServicios[Imp. suplemento (€)],$BA640))</f>
        <v/>
      </c>
      <c r="S640" s="34" t="str" cm="1">
        <f t="array" ref="S640">IF($BA640="","",INDEX(tblServicios[Imp. suplemento (€)],$BA640))</f>
        <v/>
      </c>
      <c r="T640" t="str" cm="1">
        <f t="array" ref="T640">IF($BA640="","",INDEX(tblServicios[Tipo suplemento],$BA640))</f>
        <v/>
      </c>
      <c r="U640" s="2" t="str">
        <f t="shared" si="11"/>
        <v/>
      </c>
      <c r="V640" t="str" cm="1">
        <f t="array" ref="V640">IF($BA640="","",IF(INDEX(tblServicios[Conductor],$BA640)=$T$2,"Conductor",IF(INDEX(tblServicios[Personal adicional],$BA640)=$T$2,"Personal adicional","")))</f>
        <v/>
      </c>
      <c r="BA640" s="33" t="str" cm="1">
        <f t="array" ref="BA6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adicional]=$T$2))&gt;0)),ROW(A642)),"")</f>
        <v/>
      </c>
    </row>
    <row r="641" spans="15:53" x14ac:dyDescent="0.35">
      <c r="O641" s="1" t="str" cm="1">
        <f t="array" ref="O641">IF($BA641="","",INDEX(tblServicios[Fecha],$BA641))</f>
        <v/>
      </c>
      <c r="P641" t="str" cm="1">
        <f t="array" ref="P641">IF($BA641="","",INDEX(tblServicios[Contrato],$BA641))</f>
        <v/>
      </c>
      <c r="Q641" t="str" cm="1">
        <f t="array" ref="Q641">IF($BA641="","",INDEX(tblServicios[Vehículo],$BA641))</f>
        <v/>
      </c>
      <c r="R641" s="34" t="str" cm="1">
        <f t="array" ref="R641">IF($BA641="","",INDEX(tblServicios[Base imponible (€)],$BA641)-INDEX(tblServicios[Imp. suplemento (€)],$BA641))</f>
        <v/>
      </c>
      <c r="S641" s="34" t="str" cm="1">
        <f t="array" ref="S641">IF($BA641="","",INDEX(tblServicios[Imp. suplemento (€)],$BA641))</f>
        <v/>
      </c>
      <c r="T641" t="str" cm="1">
        <f t="array" ref="T641">IF($BA641="","",INDEX(tblServicios[Tipo suplemento],$BA641))</f>
        <v/>
      </c>
      <c r="U641" s="2" t="str">
        <f t="shared" si="11"/>
        <v/>
      </c>
      <c r="V641" t="str" cm="1">
        <f t="array" ref="V641">IF($BA641="","",IF(INDEX(tblServicios[Conductor],$BA641)=$T$2,"Conductor",IF(INDEX(tblServicios[Personal adicional],$BA641)=$T$2,"Personal adicional","")))</f>
        <v/>
      </c>
      <c r="BA641" s="33" t="str" cm="1">
        <f t="array" ref="BA6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adicional]=$T$2))&gt;0)),ROW(A643)),"")</f>
        <v/>
      </c>
    </row>
    <row r="642" spans="15:53" x14ac:dyDescent="0.35">
      <c r="O642" s="1" t="str" cm="1">
        <f t="array" ref="O642">IF($BA642="","",INDEX(tblServicios[Fecha],$BA642))</f>
        <v/>
      </c>
      <c r="P642" t="str" cm="1">
        <f t="array" ref="P642">IF($BA642="","",INDEX(tblServicios[Contrato],$BA642))</f>
        <v/>
      </c>
      <c r="Q642" t="str" cm="1">
        <f t="array" ref="Q642">IF($BA642="","",INDEX(tblServicios[Vehículo],$BA642))</f>
        <v/>
      </c>
      <c r="R642" s="34" t="str" cm="1">
        <f t="array" ref="R642">IF($BA642="","",INDEX(tblServicios[Base imponible (€)],$BA642)-INDEX(tblServicios[Imp. suplemento (€)],$BA642))</f>
        <v/>
      </c>
      <c r="S642" s="34" t="str" cm="1">
        <f t="array" ref="S642">IF($BA642="","",INDEX(tblServicios[Imp. suplemento (€)],$BA642))</f>
        <v/>
      </c>
      <c r="T642" t="str" cm="1">
        <f t="array" ref="T642">IF($BA642="","",INDEX(tblServicios[Tipo suplemento],$BA642))</f>
        <v/>
      </c>
      <c r="U642" s="2" t="str">
        <f t="shared" si="11"/>
        <v/>
      </c>
      <c r="V642" t="str" cm="1">
        <f t="array" ref="V642">IF($BA642="","",IF(INDEX(tblServicios[Conductor],$BA642)=$T$2,"Conductor",IF(INDEX(tblServicios[Personal adicional],$BA642)=$T$2,"Personal adicional","")))</f>
        <v/>
      </c>
      <c r="BA642" s="33" t="str" cm="1">
        <f t="array" ref="BA6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adicional]=$T$2))&gt;0)),ROW(A644)),"")</f>
        <v/>
      </c>
    </row>
    <row r="643" spans="15:53" x14ac:dyDescent="0.35">
      <c r="O643" s="1" t="str" cm="1">
        <f t="array" ref="O643">IF($BA643="","",INDEX(tblServicios[Fecha],$BA643))</f>
        <v/>
      </c>
      <c r="P643" t="str" cm="1">
        <f t="array" ref="P643">IF($BA643="","",INDEX(tblServicios[Contrato],$BA643))</f>
        <v/>
      </c>
      <c r="Q643" t="str" cm="1">
        <f t="array" ref="Q643">IF($BA643="","",INDEX(tblServicios[Vehículo],$BA643))</f>
        <v/>
      </c>
      <c r="R643" s="34" t="str" cm="1">
        <f t="array" ref="R643">IF($BA643="","",INDEX(tblServicios[Base imponible (€)],$BA643)-INDEX(tblServicios[Imp. suplemento (€)],$BA643))</f>
        <v/>
      </c>
      <c r="S643" s="34" t="str" cm="1">
        <f t="array" ref="S643">IF($BA643="","",INDEX(tblServicios[Imp. suplemento (€)],$BA643))</f>
        <v/>
      </c>
      <c r="T643" t="str" cm="1">
        <f t="array" ref="T643">IF($BA643="","",INDEX(tblServicios[Tipo suplemento],$BA643))</f>
        <v/>
      </c>
      <c r="U643" s="2" t="str">
        <f t="shared" si="11"/>
        <v/>
      </c>
      <c r="V643" t="str" cm="1">
        <f t="array" ref="V643">IF($BA643="","",IF(INDEX(tblServicios[Conductor],$BA643)=$T$2,"Conductor",IF(INDEX(tblServicios[Personal adicional],$BA643)=$T$2,"Personal adicional","")))</f>
        <v/>
      </c>
      <c r="BA643" s="33" t="str" cm="1">
        <f t="array" ref="BA6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adicional]=$T$2))&gt;0)),ROW(A645)),"")</f>
        <v/>
      </c>
    </row>
    <row r="644" spans="15:53" x14ac:dyDescent="0.35">
      <c r="O644" s="1" t="str" cm="1">
        <f t="array" ref="O644">IF($BA644="","",INDEX(tblServicios[Fecha],$BA644))</f>
        <v/>
      </c>
      <c r="P644" t="str" cm="1">
        <f t="array" ref="P644">IF($BA644="","",INDEX(tblServicios[Contrato],$BA644))</f>
        <v/>
      </c>
      <c r="Q644" t="str" cm="1">
        <f t="array" ref="Q644">IF($BA644="","",INDEX(tblServicios[Vehículo],$BA644))</f>
        <v/>
      </c>
      <c r="R644" s="34" t="str" cm="1">
        <f t="array" ref="R644">IF($BA644="","",INDEX(tblServicios[Base imponible (€)],$BA644)-INDEX(tblServicios[Imp. suplemento (€)],$BA644))</f>
        <v/>
      </c>
      <c r="S644" s="34" t="str" cm="1">
        <f t="array" ref="S644">IF($BA644="","",INDEX(tblServicios[Imp. suplemento (€)],$BA644))</f>
        <v/>
      </c>
      <c r="T644" t="str" cm="1">
        <f t="array" ref="T644">IF($BA644="","",INDEX(tblServicios[Tipo suplemento],$BA644))</f>
        <v/>
      </c>
      <c r="U644" s="2" t="str">
        <f t="shared" si="11"/>
        <v/>
      </c>
      <c r="V644" t="str" cm="1">
        <f t="array" ref="V644">IF($BA644="","",IF(INDEX(tblServicios[Conductor],$BA644)=$T$2,"Conductor",IF(INDEX(tblServicios[Personal adicional],$BA644)=$T$2,"Personal adicional","")))</f>
        <v/>
      </c>
      <c r="BA644" s="33" t="str" cm="1">
        <f t="array" ref="BA6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adicional]=$T$2))&gt;0)),ROW(A646)),"")</f>
        <v/>
      </c>
    </row>
    <row r="645" spans="15:53" x14ac:dyDescent="0.35">
      <c r="O645" s="1" t="str" cm="1">
        <f t="array" ref="O645">IF($BA645="","",INDEX(tblServicios[Fecha],$BA645))</f>
        <v/>
      </c>
      <c r="P645" t="str" cm="1">
        <f t="array" ref="P645">IF($BA645="","",INDEX(tblServicios[Contrato],$BA645))</f>
        <v/>
      </c>
      <c r="Q645" t="str" cm="1">
        <f t="array" ref="Q645">IF($BA645="","",INDEX(tblServicios[Vehículo],$BA645))</f>
        <v/>
      </c>
      <c r="R645" s="34" t="str" cm="1">
        <f t="array" ref="R645">IF($BA645="","",INDEX(tblServicios[Base imponible (€)],$BA645)-INDEX(tblServicios[Imp. suplemento (€)],$BA645))</f>
        <v/>
      </c>
      <c r="S645" s="34" t="str" cm="1">
        <f t="array" ref="S645">IF($BA645="","",INDEX(tblServicios[Imp. suplemento (€)],$BA645))</f>
        <v/>
      </c>
      <c r="T645" t="str" cm="1">
        <f t="array" ref="T645">IF($BA645="","",INDEX(tblServicios[Tipo suplemento],$BA645))</f>
        <v/>
      </c>
      <c r="U645" s="2" t="str">
        <f t="shared" si="11"/>
        <v/>
      </c>
      <c r="V645" t="str" cm="1">
        <f t="array" ref="V645">IF($BA645="","",IF(INDEX(tblServicios[Conductor],$BA645)=$T$2,"Conductor",IF(INDEX(tblServicios[Personal adicional],$BA645)=$T$2,"Personal adicional","")))</f>
        <v/>
      </c>
      <c r="BA645" s="33" t="str" cm="1">
        <f t="array" ref="BA6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adicional]=$T$2))&gt;0)),ROW(A647)),"")</f>
        <v/>
      </c>
    </row>
    <row r="646" spans="15:53" x14ac:dyDescent="0.35">
      <c r="O646" s="1" t="str" cm="1">
        <f t="array" ref="O646">IF($BA646="","",INDEX(tblServicios[Fecha],$BA646))</f>
        <v/>
      </c>
      <c r="P646" t="str" cm="1">
        <f t="array" ref="P646">IF($BA646="","",INDEX(tblServicios[Contrato],$BA646))</f>
        <v/>
      </c>
      <c r="Q646" t="str" cm="1">
        <f t="array" ref="Q646">IF($BA646="","",INDEX(tblServicios[Vehículo],$BA646))</f>
        <v/>
      </c>
      <c r="R646" s="34" t="str" cm="1">
        <f t="array" ref="R646">IF($BA646="","",INDEX(tblServicios[Base imponible (€)],$BA646)-INDEX(tblServicios[Imp. suplemento (€)],$BA646))</f>
        <v/>
      </c>
      <c r="S646" s="34" t="str" cm="1">
        <f t="array" ref="S646">IF($BA646="","",INDEX(tblServicios[Imp. suplemento (€)],$BA646))</f>
        <v/>
      </c>
      <c r="T646" t="str" cm="1">
        <f t="array" ref="T646">IF($BA646="","",INDEX(tblServicios[Tipo suplemento],$BA646))</f>
        <v/>
      </c>
      <c r="U646" s="2" t="str">
        <f t="shared" si="11"/>
        <v/>
      </c>
      <c r="V646" t="str" cm="1">
        <f t="array" ref="V646">IF($BA646="","",IF(INDEX(tblServicios[Conductor],$BA646)=$T$2,"Conductor",IF(INDEX(tblServicios[Personal adicional],$BA646)=$T$2,"Personal adicional","")))</f>
        <v/>
      </c>
      <c r="BA646" s="33" t="str" cm="1">
        <f t="array" ref="BA6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adicional]=$T$2))&gt;0)),ROW(A648)),"")</f>
        <v/>
      </c>
    </row>
    <row r="647" spans="15:53" x14ac:dyDescent="0.35">
      <c r="O647" s="1" t="str" cm="1">
        <f t="array" ref="O647">IF($BA647="","",INDEX(tblServicios[Fecha],$BA647))</f>
        <v/>
      </c>
      <c r="P647" t="str" cm="1">
        <f t="array" ref="P647">IF($BA647="","",INDEX(tblServicios[Contrato],$BA647))</f>
        <v/>
      </c>
      <c r="Q647" t="str" cm="1">
        <f t="array" ref="Q647">IF($BA647="","",INDEX(tblServicios[Vehículo],$BA647))</f>
        <v/>
      </c>
      <c r="R647" s="34" t="str" cm="1">
        <f t="array" ref="R647">IF($BA647="","",INDEX(tblServicios[Base imponible (€)],$BA647)-INDEX(tblServicios[Imp. suplemento (€)],$BA647))</f>
        <v/>
      </c>
      <c r="S647" s="34" t="str" cm="1">
        <f t="array" ref="S647">IF($BA647="","",INDEX(tblServicios[Imp. suplemento (€)],$BA647))</f>
        <v/>
      </c>
      <c r="T647" t="str" cm="1">
        <f t="array" ref="T647">IF($BA647="","",INDEX(tblServicios[Tipo suplemento],$BA647))</f>
        <v/>
      </c>
      <c r="U647" s="2" t="str">
        <f t="shared" ref="U647:U710" si="12">IF($BA647="","",R647+S647)</f>
        <v/>
      </c>
      <c r="V647" t="str" cm="1">
        <f t="array" ref="V647">IF($BA647="","",IF(INDEX(tblServicios[Conductor],$BA647)=$T$2,"Conductor",IF(INDEX(tblServicios[Personal adicional],$BA647)=$T$2,"Personal adicional","")))</f>
        <v/>
      </c>
      <c r="BA647" s="33" t="str" cm="1">
        <f t="array" ref="BA6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adicional]=$T$2))&gt;0)),ROW(A649)),"")</f>
        <v/>
      </c>
    </row>
    <row r="648" spans="15:53" x14ac:dyDescent="0.35">
      <c r="O648" s="1" t="str" cm="1">
        <f t="array" ref="O648">IF($BA648="","",INDEX(tblServicios[Fecha],$BA648))</f>
        <v/>
      </c>
      <c r="P648" t="str" cm="1">
        <f t="array" ref="P648">IF($BA648="","",INDEX(tblServicios[Contrato],$BA648))</f>
        <v/>
      </c>
      <c r="Q648" t="str" cm="1">
        <f t="array" ref="Q648">IF($BA648="","",INDEX(tblServicios[Vehículo],$BA648))</f>
        <v/>
      </c>
      <c r="R648" s="34" t="str" cm="1">
        <f t="array" ref="R648">IF($BA648="","",INDEX(tblServicios[Base imponible (€)],$BA648)-INDEX(tblServicios[Imp. suplemento (€)],$BA648))</f>
        <v/>
      </c>
      <c r="S648" s="34" t="str" cm="1">
        <f t="array" ref="S648">IF($BA648="","",INDEX(tblServicios[Imp. suplemento (€)],$BA648))</f>
        <v/>
      </c>
      <c r="T648" t="str" cm="1">
        <f t="array" ref="T648">IF($BA648="","",INDEX(tblServicios[Tipo suplemento],$BA648))</f>
        <v/>
      </c>
      <c r="U648" s="2" t="str">
        <f t="shared" si="12"/>
        <v/>
      </c>
      <c r="V648" t="str" cm="1">
        <f t="array" ref="V648">IF($BA648="","",IF(INDEX(tblServicios[Conductor],$BA648)=$T$2,"Conductor",IF(INDEX(tblServicios[Personal adicional],$BA648)=$T$2,"Personal adicional","")))</f>
        <v/>
      </c>
      <c r="BA648" s="33" t="str" cm="1">
        <f t="array" ref="BA6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adicional]=$T$2))&gt;0)),ROW(A650)),"")</f>
        <v/>
      </c>
    </row>
    <row r="649" spans="15:53" x14ac:dyDescent="0.35">
      <c r="O649" s="1" t="str" cm="1">
        <f t="array" ref="O649">IF($BA649="","",INDEX(tblServicios[Fecha],$BA649))</f>
        <v/>
      </c>
      <c r="P649" t="str" cm="1">
        <f t="array" ref="P649">IF($BA649="","",INDEX(tblServicios[Contrato],$BA649))</f>
        <v/>
      </c>
      <c r="Q649" t="str" cm="1">
        <f t="array" ref="Q649">IF($BA649="","",INDEX(tblServicios[Vehículo],$BA649))</f>
        <v/>
      </c>
      <c r="R649" s="34" t="str" cm="1">
        <f t="array" ref="R649">IF($BA649="","",INDEX(tblServicios[Base imponible (€)],$BA649)-INDEX(tblServicios[Imp. suplemento (€)],$BA649))</f>
        <v/>
      </c>
      <c r="S649" s="34" t="str" cm="1">
        <f t="array" ref="S649">IF($BA649="","",INDEX(tblServicios[Imp. suplemento (€)],$BA649))</f>
        <v/>
      </c>
      <c r="T649" t="str" cm="1">
        <f t="array" ref="T649">IF($BA649="","",INDEX(tblServicios[Tipo suplemento],$BA649))</f>
        <v/>
      </c>
      <c r="U649" s="2" t="str">
        <f t="shared" si="12"/>
        <v/>
      </c>
      <c r="V649" t="str" cm="1">
        <f t="array" ref="V649">IF($BA649="","",IF(INDEX(tblServicios[Conductor],$BA649)=$T$2,"Conductor",IF(INDEX(tblServicios[Personal adicional],$BA649)=$T$2,"Personal adicional","")))</f>
        <v/>
      </c>
      <c r="BA649" s="33" t="str" cm="1">
        <f t="array" ref="BA6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adicional]=$T$2))&gt;0)),ROW(A651)),"")</f>
        <v/>
      </c>
    </row>
    <row r="650" spans="15:53" x14ac:dyDescent="0.35">
      <c r="O650" s="1" t="str" cm="1">
        <f t="array" ref="O650">IF($BA650="","",INDEX(tblServicios[Fecha],$BA650))</f>
        <v/>
      </c>
      <c r="P650" t="str" cm="1">
        <f t="array" ref="P650">IF($BA650="","",INDEX(tblServicios[Contrato],$BA650))</f>
        <v/>
      </c>
      <c r="Q650" t="str" cm="1">
        <f t="array" ref="Q650">IF($BA650="","",INDEX(tblServicios[Vehículo],$BA650))</f>
        <v/>
      </c>
      <c r="R650" s="34" t="str" cm="1">
        <f t="array" ref="R650">IF($BA650="","",INDEX(tblServicios[Base imponible (€)],$BA650)-INDEX(tblServicios[Imp. suplemento (€)],$BA650))</f>
        <v/>
      </c>
      <c r="S650" s="34" t="str" cm="1">
        <f t="array" ref="S650">IF($BA650="","",INDEX(tblServicios[Imp. suplemento (€)],$BA650))</f>
        <v/>
      </c>
      <c r="T650" t="str" cm="1">
        <f t="array" ref="T650">IF($BA650="","",INDEX(tblServicios[Tipo suplemento],$BA650))</f>
        <v/>
      </c>
      <c r="U650" s="2" t="str">
        <f t="shared" si="12"/>
        <v/>
      </c>
      <c r="V650" t="str" cm="1">
        <f t="array" ref="V650">IF($BA650="","",IF(INDEX(tblServicios[Conductor],$BA650)=$T$2,"Conductor",IF(INDEX(tblServicios[Personal adicional],$BA650)=$T$2,"Personal adicional","")))</f>
        <v/>
      </c>
      <c r="BA650" s="33" t="str" cm="1">
        <f t="array" ref="BA6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adicional]=$T$2))&gt;0)),ROW(A652)),"")</f>
        <v/>
      </c>
    </row>
    <row r="651" spans="15:53" x14ac:dyDescent="0.35">
      <c r="O651" s="1" t="str" cm="1">
        <f t="array" ref="O651">IF($BA651="","",INDEX(tblServicios[Fecha],$BA651))</f>
        <v/>
      </c>
      <c r="P651" t="str" cm="1">
        <f t="array" ref="P651">IF($BA651="","",INDEX(tblServicios[Contrato],$BA651))</f>
        <v/>
      </c>
      <c r="Q651" t="str" cm="1">
        <f t="array" ref="Q651">IF($BA651="","",INDEX(tblServicios[Vehículo],$BA651))</f>
        <v/>
      </c>
      <c r="R651" s="34" t="str" cm="1">
        <f t="array" ref="R651">IF($BA651="","",INDEX(tblServicios[Base imponible (€)],$BA651)-INDEX(tblServicios[Imp. suplemento (€)],$BA651))</f>
        <v/>
      </c>
      <c r="S651" s="34" t="str" cm="1">
        <f t="array" ref="S651">IF($BA651="","",INDEX(tblServicios[Imp. suplemento (€)],$BA651))</f>
        <v/>
      </c>
      <c r="T651" t="str" cm="1">
        <f t="array" ref="T651">IF($BA651="","",INDEX(tblServicios[Tipo suplemento],$BA651))</f>
        <v/>
      </c>
      <c r="U651" s="2" t="str">
        <f t="shared" si="12"/>
        <v/>
      </c>
      <c r="V651" t="str" cm="1">
        <f t="array" ref="V651">IF($BA651="","",IF(INDEX(tblServicios[Conductor],$BA651)=$T$2,"Conductor",IF(INDEX(tblServicios[Personal adicional],$BA651)=$T$2,"Personal adicional","")))</f>
        <v/>
      </c>
      <c r="BA651" s="33" t="str" cm="1">
        <f t="array" ref="BA6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adicional]=$T$2))&gt;0)),ROW(A653)),"")</f>
        <v/>
      </c>
    </row>
    <row r="652" spans="15:53" x14ac:dyDescent="0.35">
      <c r="O652" s="1" t="str" cm="1">
        <f t="array" ref="O652">IF($BA652="","",INDEX(tblServicios[Fecha],$BA652))</f>
        <v/>
      </c>
      <c r="P652" t="str" cm="1">
        <f t="array" ref="P652">IF($BA652="","",INDEX(tblServicios[Contrato],$BA652))</f>
        <v/>
      </c>
      <c r="Q652" t="str" cm="1">
        <f t="array" ref="Q652">IF($BA652="","",INDEX(tblServicios[Vehículo],$BA652))</f>
        <v/>
      </c>
      <c r="R652" s="34" t="str" cm="1">
        <f t="array" ref="R652">IF($BA652="","",INDEX(tblServicios[Base imponible (€)],$BA652)-INDEX(tblServicios[Imp. suplemento (€)],$BA652))</f>
        <v/>
      </c>
      <c r="S652" s="34" t="str" cm="1">
        <f t="array" ref="S652">IF($BA652="","",INDEX(tblServicios[Imp. suplemento (€)],$BA652))</f>
        <v/>
      </c>
      <c r="T652" t="str" cm="1">
        <f t="array" ref="T652">IF($BA652="","",INDEX(tblServicios[Tipo suplemento],$BA652))</f>
        <v/>
      </c>
      <c r="U652" s="2" t="str">
        <f t="shared" si="12"/>
        <v/>
      </c>
      <c r="V652" t="str" cm="1">
        <f t="array" ref="V652">IF($BA652="","",IF(INDEX(tblServicios[Conductor],$BA652)=$T$2,"Conductor",IF(INDEX(tblServicios[Personal adicional],$BA652)=$T$2,"Personal adicional","")))</f>
        <v/>
      </c>
      <c r="BA652" s="33" t="str" cm="1">
        <f t="array" ref="BA6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adicional]=$T$2))&gt;0)),ROW(A654)),"")</f>
        <v/>
      </c>
    </row>
    <row r="653" spans="15:53" x14ac:dyDescent="0.35">
      <c r="O653" s="1" t="str" cm="1">
        <f t="array" ref="O653">IF($BA653="","",INDEX(tblServicios[Fecha],$BA653))</f>
        <v/>
      </c>
      <c r="P653" t="str" cm="1">
        <f t="array" ref="P653">IF($BA653="","",INDEX(tblServicios[Contrato],$BA653))</f>
        <v/>
      </c>
      <c r="Q653" t="str" cm="1">
        <f t="array" ref="Q653">IF($BA653="","",INDEX(tblServicios[Vehículo],$BA653))</f>
        <v/>
      </c>
      <c r="R653" s="34" t="str" cm="1">
        <f t="array" ref="R653">IF($BA653="","",INDEX(tblServicios[Base imponible (€)],$BA653)-INDEX(tblServicios[Imp. suplemento (€)],$BA653))</f>
        <v/>
      </c>
      <c r="S653" s="34" t="str" cm="1">
        <f t="array" ref="S653">IF($BA653="","",INDEX(tblServicios[Imp. suplemento (€)],$BA653))</f>
        <v/>
      </c>
      <c r="T653" t="str" cm="1">
        <f t="array" ref="T653">IF($BA653="","",INDEX(tblServicios[Tipo suplemento],$BA653))</f>
        <v/>
      </c>
      <c r="U653" s="2" t="str">
        <f t="shared" si="12"/>
        <v/>
      </c>
      <c r="V653" t="str" cm="1">
        <f t="array" ref="V653">IF($BA653="","",IF(INDEX(tblServicios[Conductor],$BA653)=$T$2,"Conductor",IF(INDEX(tblServicios[Personal adicional],$BA653)=$T$2,"Personal adicional","")))</f>
        <v/>
      </c>
      <c r="BA653" s="33" t="str" cm="1">
        <f t="array" ref="BA6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adicional]=$T$2))&gt;0)),ROW(A655)),"")</f>
        <v/>
      </c>
    </row>
    <row r="654" spans="15:53" x14ac:dyDescent="0.35">
      <c r="O654" s="1" t="str" cm="1">
        <f t="array" ref="O654">IF($BA654="","",INDEX(tblServicios[Fecha],$BA654))</f>
        <v/>
      </c>
      <c r="P654" t="str" cm="1">
        <f t="array" ref="P654">IF($BA654="","",INDEX(tblServicios[Contrato],$BA654))</f>
        <v/>
      </c>
      <c r="Q654" t="str" cm="1">
        <f t="array" ref="Q654">IF($BA654="","",INDEX(tblServicios[Vehículo],$BA654))</f>
        <v/>
      </c>
      <c r="R654" s="34" t="str" cm="1">
        <f t="array" ref="R654">IF($BA654="","",INDEX(tblServicios[Base imponible (€)],$BA654)-INDEX(tblServicios[Imp. suplemento (€)],$BA654))</f>
        <v/>
      </c>
      <c r="S654" s="34" t="str" cm="1">
        <f t="array" ref="S654">IF($BA654="","",INDEX(tblServicios[Imp. suplemento (€)],$BA654))</f>
        <v/>
      </c>
      <c r="T654" t="str" cm="1">
        <f t="array" ref="T654">IF($BA654="","",INDEX(tblServicios[Tipo suplemento],$BA654))</f>
        <v/>
      </c>
      <c r="U654" s="2" t="str">
        <f t="shared" si="12"/>
        <v/>
      </c>
      <c r="V654" t="str" cm="1">
        <f t="array" ref="V654">IF($BA654="","",IF(INDEX(tblServicios[Conductor],$BA654)=$T$2,"Conductor",IF(INDEX(tblServicios[Personal adicional],$BA654)=$T$2,"Personal adicional","")))</f>
        <v/>
      </c>
      <c r="BA654" s="33" t="str" cm="1">
        <f t="array" ref="BA6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adicional]=$T$2))&gt;0)),ROW(A656)),"")</f>
        <v/>
      </c>
    </row>
    <row r="655" spans="15:53" x14ac:dyDescent="0.35">
      <c r="O655" s="1" t="str" cm="1">
        <f t="array" ref="O655">IF($BA655="","",INDEX(tblServicios[Fecha],$BA655))</f>
        <v/>
      </c>
      <c r="P655" t="str" cm="1">
        <f t="array" ref="P655">IF($BA655="","",INDEX(tblServicios[Contrato],$BA655))</f>
        <v/>
      </c>
      <c r="Q655" t="str" cm="1">
        <f t="array" ref="Q655">IF($BA655="","",INDEX(tblServicios[Vehículo],$BA655))</f>
        <v/>
      </c>
      <c r="R655" s="34" t="str" cm="1">
        <f t="array" ref="R655">IF($BA655="","",INDEX(tblServicios[Base imponible (€)],$BA655)-INDEX(tblServicios[Imp. suplemento (€)],$BA655))</f>
        <v/>
      </c>
      <c r="S655" s="34" t="str" cm="1">
        <f t="array" ref="S655">IF($BA655="","",INDEX(tblServicios[Imp. suplemento (€)],$BA655))</f>
        <v/>
      </c>
      <c r="T655" t="str" cm="1">
        <f t="array" ref="T655">IF($BA655="","",INDEX(tblServicios[Tipo suplemento],$BA655))</f>
        <v/>
      </c>
      <c r="U655" s="2" t="str">
        <f t="shared" si="12"/>
        <v/>
      </c>
      <c r="V655" t="str" cm="1">
        <f t="array" ref="V655">IF($BA655="","",IF(INDEX(tblServicios[Conductor],$BA655)=$T$2,"Conductor",IF(INDEX(tblServicios[Personal adicional],$BA655)=$T$2,"Personal adicional","")))</f>
        <v/>
      </c>
      <c r="BA655" s="33" t="str" cm="1">
        <f t="array" ref="BA6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adicional]=$T$2))&gt;0)),ROW(A657)),"")</f>
        <v/>
      </c>
    </row>
    <row r="656" spans="15:53" x14ac:dyDescent="0.35">
      <c r="O656" s="1" t="str" cm="1">
        <f t="array" ref="O656">IF($BA656="","",INDEX(tblServicios[Fecha],$BA656))</f>
        <v/>
      </c>
      <c r="P656" t="str" cm="1">
        <f t="array" ref="P656">IF($BA656="","",INDEX(tblServicios[Contrato],$BA656))</f>
        <v/>
      </c>
      <c r="Q656" t="str" cm="1">
        <f t="array" ref="Q656">IF($BA656="","",INDEX(tblServicios[Vehículo],$BA656))</f>
        <v/>
      </c>
      <c r="R656" s="34" t="str" cm="1">
        <f t="array" ref="R656">IF($BA656="","",INDEX(tblServicios[Base imponible (€)],$BA656)-INDEX(tblServicios[Imp. suplemento (€)],$BA656))</f>
        <v/>
      </c>
      <c r="S656" s="34" t="str" cm="1">
        <f t="array" ref="S656">IF($BA656="","",INDEX(tblServicios[Imp. suplemento (€)],$BA656))</f>
        <v/>
      </c>
      <c r="T656" t="str" cm="1">
        <f t="array" ref="T656">IF($BA656="","",INDEX(tblServicios[Tipo suplemento],$BA656))</f>
        <v/>
      </c>
      <c r="U656" s="2" t="str">
        <f t="shared" si="12"/>
        <v/>
      </c>
      <c r="V656" t="str" cm="1">
        <f t="array" ref="V656">IF($BA656="","",IF(INDEX(tblServicios[Conductor],$BA656)=$T$2,"Conductor",IF(INDEX(tblServicios[Personal adicional],$BA656)=$T$2,"Personal adicional","")))</f>
        <v/>
      </c>
      <c r="BA656" s="33" t="str" cm="1">
        <f t="array" ref="BA6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adicional]=$T$2))&gt;0)),ROW(A658)),"")</f>
        <v/>
      </c>
    </row>
    <row r="657" spans="15:53" x14ac:dyDescent="0.35">
      <c r="O657" s="1" t="str" cm="1">
        <f t="array" ref="O657">IF($BA657="","",INDEX(tblServicios[Fecha],$BA657))</f>
        <v/>
      </c>
      <c r="P657" t="str" cm="1">
        <f t="array" ref="P657">IF($BA657="","",INDEX(tblServicios[Contrato],$BA657))</f>
        <v/>
      </c>
      <c r="Q657" t="str" cm="1">
        <f t="array" ref="Q657">IF($BA657="","",INDEX(tblServicios[Vehículo],$BA657))</f>
        <v/>
      </c>
      <c r="R657" s="34" t="str" cm="1">
        <f t="array" ref="R657">IF($BA657="","",INDEX(tblServicios[Base imponible (€)],$BA657)-INDEX(tblServicios[Imp. suplemento (€)],$BA657))</f>
        <v/>
      </c>
      <c r="S657" s="34" t="str" cm="1">
        <f t="array" ref="S657">IF($BA657="","",INDEX(tblServicios[Imp. suplemento (€)],$BA657))</f>
        <v/>
      </c>
      <c r="T657" t="str" cm="1">
        <f t="array" ref="T657">IF($BA657="","",INDEX(tblServicios[Tipo suplemento],$BA657))</f>
        <v/>
      </c>
      <c r="U657" s="2" t="str">
        <f t="shared" si="12"/>
        <v/>
      </c>
      <c r="V657" t="str" cm="1">
        <f t="array" ref="V657">IF($BA657="","",IF(INDEX(tblServicios[Conductor],$BA657)=$T$2,"Conductor",IF(INDEX(tblServicios[Personal adicional],$BA657)=$T$2,"Personal adicional","")))</f>
        <v/>
      </c>
      <c r="BA657" s="33" t="str" cm="1">
        <f t="array" ref="BA6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adicional]=$T$2))&gt;0)),ROW(A659)),"")</f>
        <v/>
      </c>
    </row>
    <row r="658" spans="15:53" x14ac:dyDescent="0.35">
      <c r="O658" s="1" t="str" cm="1">
        <f t="array" ref="O658">IF($BA658="","",INDEX(tblServicios[Fecha],$BA658))</f>
        <v/>
      </c>
      <c r="P658" t="str" cm="1">
        <f t="array" ref="P658">IF($BA658="","",INDEX(tblServicios[Contrato],$BA658))</f>
        <v/>
      </c>
      <c r="Q658" t="str" cm="1">
        <f t="array" ref="Q658">IF($BA658="","",INDEX(tblServicios[Vehículo],$BA658))</f>
        <v/>
      </c>
      <c r="R658" s="34" t="str" cm="1">
        <f t="array" ref="R658">IF($BA658="","",INDEX(tblServicios[Base imponible (€)],$BA658)-INDEX(tblServicios[Imp. suplemento (€)],$BA658))</f>
        <v/>
      </c>
      <c r="S658" s="34" t="str" cm="1">
        <f t="array" ref="S658">IF($BA658="","",INDEX(tblServicios[Imp. suplemento (€)],$BA658))</f>
        <v/>
      </c>
      <c r="T658" t="str" cm="1">
        <f t="array" ref="T658">IF($BA658="","",INDEX(tblServicios[Tipo suplemento],$BA658))</f>
        <v/>
      </c>
      <c r="U658" s="2" t="str">
        <f t="shared" si="12"/>
        <v/>
      </c>
      <c r="V658" t="str" cm="1">
        <f t="array" ref="V658">IF($BA658="","",IF(INDEX(tblServicios[Conductor],$BA658)=$T$2,"Conductor",IF(INDEX(tblServicios[Personal adicional],$BA658)=$T$2,"Personal adicional","")))</f>
        <v/>
      </c>
      <c r="BA658" s="33" t="str" cm="1">
        <f t="array" ref="BA6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adicional]=$T$2))&gt;0)),ROW(A660)),"")</f>
        <v/>
      </c>
    </row>
    <row r="659" spans="15:53" x14ac:dyDescent="0.35">
      <c r="O659" s="1" t="str" cm="1">
        <f t="array" ref="O659">IF($BA659="","",INDEX(tblServicios[Fecha],$BA659))</f>
        <v/>
      </c>
      <c r="P659" t="str" cm="1">
        <f t="array" ref="P659">IF($BA659="","",INDEX(tblServicios[Contrato],$BA659))</f>
        <v/>
      </c>
      <c r="Q659" t="str" cm="1">
        <f t="array" ref="Q659">IF($BA659="","",INDEX(tblServicios[Vehículo],$BA659))</f>
        <v/>
      </c>
      <c r="R659" s="34" t="str" cm="1">
        <f t="array" ref="R659">IF($BA659="","",INDEX(tblServicios[Base imponible (€)],$BA659)-INDEX(tblServicios[Imp. suplemento (€)],$BA659))</f>
        <v/>
      </c>
      <c r="S659" s="34" t="str" cm="1">
        <f t="array" ref="S659">IF($BA659="","",INDEX(tblServicios[Imp. suplemento (€)],$BA659))</f>
        <v/>
      </c>
      <c r="T659" t="str" cm="1">
        <f t="array" ref="T659">IF($BA659="","",INDEX(tblServicios[Tipo suplemento],$BA659))</f>
        <v/>
      </c>
      <c r="U659" s="2" t="str">
        <f t="shared" si="12"/>
        <v/>
      </c>
      <c r="V659" t="str" cm="1">
        <f t="array" ref="V659">IF($BA659="","",IF(INDEX(tblServicios[Conductor],$BA659)=$T$2,"Conductor",IF(INDEX(tblServicios[Personal adicional],$BA659)=$T$2,"Personal adicional","")))</f>
        <v/>
      </c>
      <c r="BA659" s="33" t="str" cm="1">
        <f t="array" ref="BA6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adicional]=$T$2))&gt;0)),ROW(A661)),"")</f>
        <v/>
      </c>
    </row>
    <row r="660" spans="15:53" x14ac:dyDescent="0.35">
      <c r="O660" s="1" t="str" cm="1">
        <f t="array" ref="O660">IF($BA660="","",INDEX(tblServicios[Fecha],$BA660))</f>
        <v/>
      </c>
      <c r="P660" t="str" cm="1">
        <f t="array" ref="P660">IF($BA660="","",INDEX(tblServicios[Contrato],$BA660))</f>
        <v/>
      </c>
      <c r="Q660" t="str" cm="1">
        <f t="array" ref="Q660">IF($BA660="","",INDEX(tblServicios[Vehículo],$BA660))</f>
        <v/>
      </c>
      <c r="R660" s="34" t="str" cm="1">
        <f t="array" ref="R660">IF($BA660="","",INDEX(tblServicios[Base imponible (€)],$BA660)-INDEX(tblServicios[Imp. suplemento (€)],$BA660))</f>
        <v/>
      </c>
      <c r="S660" s="34" t="str" cm="1">
        <f t="array" ref="S660">IF($BA660="","",INDEX(tblServicios[Imp. suplemento (€)],$BA660))</f>
        <v/>
      </c>
      <c r="T660" t="str" cm="1">
        <f t="array" ref="T660">IF($BA660="","",INDEX(tblServicios[Tipo suplemento],$BA660))</f>
        <v/>
      </c>
      <c r="U660" s="2" t="str">
        <f t="shared" si="12"/>
        <v/>
      </c>
      <c r="V660" t="str" cm="1">
        <f t="array" ref="V660">IF($BA660="","",IF(INDEX(tblServicios[Conductor],$BA660)=$T$2,"Conductor",IF(INDEX(tblServicios[Personal adicional],$BA660)=$T$2,"Personal adicional","")))</f>
        <v/>
      </c>
      <c r="BA660" s="33" t="str" cm="1">
        <f t="array" ref="BA6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adicional]=$T$2))&gt;0)),ROW(A662)),"")</f>
        <v/>
      </c>
    </row>
    <row r="661" spans="15:53" x14ac:dyDescent="0.35">
      <c r="O661" s="1" t="str" cm="1">
        <f t="array" ref="O661">IF($BA661="","",INDEX(tblServicios[Fecha],$BA661))</f>
        <v/>
      </c>
      <c r="P661" t="str" cm="1">
        <f t="array" ref="P661">IF($BA661="","",INDEX(tblServicios[Contrato],$BA661))</f>
        <v/>
      </c>
      <c r="Q661" t="str" cm="1">
        <f t="array" ref="Q661">IF($BA661="","",INDEX(tblServicios[Vehículo],$BA661))</f>
        <v/>
      </c>
      <c r="R661" s="34" t="str" cm="1">
        <f t="array" ref="R661">IF($BA661="","",INDEX(tblServicios[Base imponible (€)],$BA661)-INDEX(tblServicios[Imp. suplemento (€)],$BA661))</f>
        <v/>
      </c>
      <c r="S661" s="34" t="str" cm="1">
        <f t="array" ref="S661">IF($BA661="","",INDEX(tblServicios[Imp. suplemento (€)],$BA661))</f>
        <v/>
      </c>
      <c r="T661" t="str" cm="1">
        <f t="array" ref="T661">IF($BA661="","",INDEX(tblServicios[Tipo suplemento],$BA661))</f>
        <v/>
      </c>
      <c r="U661" s="2" t="str">
        <f t="shared" si="12"/>
        <v/>
      </c>
      <c r="V661" t="str" cm="1">
        <f t="array" ref="V661">IF($BA661="","",IF(INDEX(tblServicios[Conductor],$BA661)=$T$2,"Conductor",IF(INDEX(tblServicios[Personal adicional],$BA661)=$T$2,"Personal adicional","")))</f>
        <v/>
      </c>
      <c r="BA661" s="33" t="str" cm="1">
        <f t="array" ref="BA6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adicional]=$T$2))&gt;0)),ROW(A663)),"")</f>
        <v/>
      </c>
    </row>
    <row r="662" spans="15:53" x14ac:dyDescent="0.35">
      <c r="O662" s="1" t="str" cm="1">
        <f t="array" ref="O662">IF($BA662="","",INDEX(tblServicios[Fecha],$BA662))</f>
        <v/>
      </c>
      <c r="P662" t="str" cm="1">
        <f t="array" ref="P662">IF($BA662="","",INDEX(tblServicios[Contrato],$BA662))</f>
        <v/>
      </c>
      <c r="Q662" t="str" cm="1">
        <f t="array" ref="Q662">IF($BA662="","",INDEX(tblServicios[Vehículo],$BA662))</f>
        <v/>
      </c>
      <c r="R662" s="34" t="str" cm="1">
        <f t="array" ref="R662">IF($BA662="","",INDEX(tblServicios[Base imponible (€)],$BA662)-INDEX(tblServicios[Imp. suplemento (€)],$BA662))</f>
        <v/>
      </c>
      <c r="S662" s="34" t="str" cm="1">
        <f t="array" ref="S662">IF($BA662="","",INDEX(tblServicios[Imp. suplemento (€)],$BA662))</f>
        <v/>
      </c>
      <c r="T662" t="str" cm="1">
        <f t="array" ref="T662">IF($BA662="","",INDEX(tblServicios[Tipo suplemento],$BA662))</f>
        <v/>
      </c>
      <c r="U662" s="2" t="str">
        <f t="shared" si="12"/>
        <v/>
      </c>
      <c r="V662" t="str" cm="1">
        <f t="array" ref="V662">IF($BA662="","",IF(INDEX(tblServicios[Conductor],$BA662)=$T$2,"Conductor",IF(INDEX(tblServicios[Personal adicional],$BA662)=$T$2,"Personal adicional","")))</f>
        <v/>
      </c>
      <c r="BA662" s="33" t="str" cm="1">
        <f t="array" ref="BA6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adicional]=$T$2))&gt;0)),ROW(A664)),"")</f>
        <v/>
      </c>
    </row>
    <row r="663" spans="15:53" x14ac:dyDescent="0.35">
      <c r="O663" s="1" t="str" cm="1">
        <f t="array" ref="O663">IF($BA663="","",INDEX(tblServicios[Fecha],$BA663))</f>
        <v/>
      </c>
      <c r="P663" t="str" cm="1">
        <f t="array" ref="P663">IF($BA663="","",INDEX(tblServicios[Contrato],$BA663))</f>
        <v/>
      </c>
      <c r="Q663" t="str" cm="1">
        <f t="array" ref="Q663">IF($BA663="","",INDEX(tblServicios[Vehículo],$BA663))</f>
        <v/>
      </c>
      <c r="R663" s="34" t="str" cm="1">
        <f t="array" ref="R663">IF($BA663="","",INDEX(tblServicios[Base imponible (€)],$BA663)-INDEX(tblServicios[Imp. suplemento (€)],$BA663))</f>
        <v/>
      </c>
      <c r="S663" s="34" t="str" cm="1">
        <f t="array" ref="S663">IF($BA663="","",INDEX(tblServicios[Imp. suplemento (€)],$BA663))</f>
        <v/>
      </c>
      <c r="T663" t="str" cm="1">
        <f t="array" ref="T663">IF($BA663="","",INDEX(tblServicios[Tipo suplemento],$BA663))</f>
        <v/>
      </c>
      <c r="U663" s="2" t="str">
        <f t="shared" si="12"/>
        <v/>
      </c>
      <c r="V663" t="str" cm="1">
        <f t="array" ref="V663">IF($BA663="","",IF(INDEX(tblServicios[Conductor],$BA663)=$T$2,"Conductor",IF(INDEX(tblServicios[Personal adicional],$BA663)=$T$2,"Personal adicional","")))</f>
        <v/>
      </c>
      <c r="BA663" s="33" t="str" cm="1">
        <f t="array" ref="BA6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adicional]=$T$2))&gt;0)),ROW(A665)),"")</f>
        <v/>
      </c>
    </row>
    <row r="664" spans="15:53" x14ac:dyDescent="0.35">
      <c r="O664" s="1" t="str" cm="1">
        <f t="array" ref="O664">IF($BA664="","",INDEX(tblServicios[Fecha],$BA664))</f>
        <v/>
      </c>
      <c r="P664" t="str" cm="1">
        <f t="array" ref="P664">IF($BA664="","",INDEX(tblServicios[Contrato],$BA664))</f>
        <v/>
      </c>
      <c r="Q664" t="str" cm="1">
        <f t="array" ref="Q664">IF($BA664="","",INDEX(tblServicios[Vehículo],$BA664))</f>
        <v/>
      </c>
      <c r="R664" s="34" t="str" cm="1">
        <f t="array" ref="R664">IF($BA664="","",INDEX(tblServicios[Base imponible (€)],$BA664)-INDEX(tblServicios[Imp. suplemento (€)],$BA664))</f>
        <v/>
      </c>
      <c r="S664" s="34" t="str" cm="1">
        <f t="array" ref="S664">IF($BA664="","",INDEX(tblServicios[Imp. suplemento (€)],$BA664))</f>
        <v/>
      </c>
      <c r="T664" t="str" cm="1">
        <f t="array" ref="T664">IF($BA664="","",INDEX(tblServicios[Tipo suplemento],$BA664))</f>
        <v/>
      </c>
      <c r="U664" s="2" t="str">
        <f t="shared" si="12"/>
        <v/>
      </c>
      <c r="V664" t="str" cm="1">
        <f t="array" ref="V664">IF($BA664="","",IF(INDEX(tblServicios[Conductor],$BA664)=$T$2,"Conductor",IF(INDEX(tblServicios[Personal adicional],$BA664)=$T$2,"Personal adicional","")))</f>
        <v/>
      </c>
      <c r="BA664" s="33" t="str" cm="1">
        <f t="array" ref="BA6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adicional]=$T$2))&gt;0)),ROW(A666)),"")</f>
        <v/>
      </c>
    </row>
    <row r="665" spans="15:53" x14ac:dyDescent="0.35">
      <c r="O665" s="1" t="str" cm="1">
        <f t="array" ref="O665">IF($BA665="","",INDEX(tblServicios[Fecha],$BA665))</f>
        <v/>
      </c>
      <c r="P665" t="str" cm="1">
        <f t="array" ref="P665">IF($BA665="","",INDEX(tblServicios[Contrato],$BA665))</f>
        <v/>
      </c>
      <c r="Q665" t="str" cm="1">
        <f t="array" ref="Q665">IF($BA665="","",INDEX(tblServicios[Vehículo],$BA665))</f>
        <v/>
      </c>
      <c r="R665" s="34" t="str" cm="1">
        <f t="array" ref="R665">IF($BA665="","",INDEX(tblServicios[Base imponible (€)],$BA665)-INDEX(tblServicios[Imp. suplemento (€)],$BA665))</f>
        <v/>
      </c>
      <c r="S665" s="34" t="str" cm="1">
        <f t="array" ref="S665">IF($BA665="","",INDEX(tblServicios[Imp. suplemento (€)],$BA665))</f>
        <v/>
      </c>
      <c r="T665" t="str" cm="1">
        <f t="array" ref="T665">IF($BA665="","",INDEX(tblServicios[Tipo suplemento],$BA665))</f>
        <v/>
      </c>
      <c r="U665" s="2" t="str">
        <f t="shared" si="12"/>
        <v/>
      </c>
      <c r="V665" t="str" cm="1">
        <f t="array" ref="V665">IF($BA665="","",IF(INDEX(tblServicios[Conductor],$BA665)=$T$2,"Conductor",IF(INDEX(tblServicios[Personal adicional],$BA665)=$T$2,"Personal adicional","")))</f>
        <v/>
      </c>
      <c r="BA665" s="33" t="str" cm="1">
        <f t="array" ref="BA6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adicional]=$T$2))&gt;0)),ROW(A667)),"")</f>
        <v/>
      </c>
    </row>
    <row r="666" spans="15:53" x14ac:dyDescent="0.35">
      <c r="O666" s="1" t="str" cm="1">
        <f t="array" ref="O666">IF($BA666="","",INDEX(tblServicios[Fecha],$BA666))</f>
        <v/>
      </c>
      <c r="P666" t="str" cm="1">
        <f t="array" ref="P666">IF($BA666="","",INDEX(tblServicios[Contrato],$BA666))</f>
        <v/>
      </c>
      <c r="Q666" t="str" cm="1">
        <f t="array" ref="Q666">IF($BA666="","",INDEX(tblServicios[Vehículo],$BA666))</f>
        <v/>
      </c>
      <c r="R666" s="34" t="str" cm="1">
        <f t="array" ref="R666">IF($BA666="","",INDEX(tblServicios[Base imponible (€)],$BA666)-INDEX(tblServicios[Imp. suplemento (€)],$BA666))</f>
        <v/>
      </c>
      <c r="S666" s="34" t="str" cm="1">
        <f t="array" ref="S666">IF($BA666="","",INDEX(tblServicios[Imp. suplemento (€)],$BA666))</f>
        <v/>
      </c>
      <c r="T666" t="str" cm="1">
        <f t="array" ref="T666">IF($BA666="","",INDEX(tblServicios[Tipo suplemento],$BA666))</f>
        <v/>
      </c>
      <c r="U666" s="2" t="str">
        <f t="shared" si="12"/>
        <v/>
      </c>
      <c r="V666" t="str" cm="1">
        <f t="array" ref="V666">IF($BA666="","",IF(INDEX(tblServicios[Conductor],$BA666)=$T$2,"Conductor",IF(INDEX(tblServicios[Personal adicional],$BA666)=$T$2,"Personal adicional","")))</f>
        <v/>
      </c>
      <c r="BA666" s="33" t="str" cm="1">
        <f t="array" ref="BA6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adicional]=$T$2))&gt;0)),ROW(A668)),"")</f>
        <v/>
      </c>
    </row>
    <row r="667" spans="15:53" x14ac:dyDescent="0.35">
      <c r="O667" s="1" t="str" cm="1">
        <f t="array" ref="O667">IF($BA667="","",INDEX(tblServicios[Fecha],$BA667))</f>
        <v/>
      </c>
      <c r="P667" t="str" cm="1">
        <f t="array" ref="P667">IF($BA667="","",INDEX(tblServicios[Contrato],$BA667))</f>
        <v/>
      </c>
      <c r="Q667" t="str" cm="1">
        <f t="array" ref="Q667">IF($BA667="","",INDEX(tblServicios[Vehículo],$BA667))</f>
        <v/>
      </c>
      <c r="R667" s="34" t="str" cm="1">
        <f t="array" ref="R667">IF($BA667="","",INDEX(tblServicios[Base imponible (€)],$BA667)-INDEX(tblServicios[Imp. suplemento (€)],$BA667))</f>
        <v/>
      </c>
      <c r="S667" s="34" t="str" cm="1">
        <f t="array" ref="S667">IF($BA667="","",INDEX(tblServicios[Imp. suplemento (€)],$BA667))</f>
        <v/>
      </c>
      <c r="T667" t="str" cm="1">
        <f t="array" ref="T667">IF($BA667="","",INDEX(tblServicios[Tipo suplemento],$BA667))</f>
        <v/>
      </c>
      <c r="U667" s="2" t="str">
        <f t="shared" si="12"/>
        <v/>
      </c>
      <c r="V667" t="str" cm="1">
        <f t="array" ref="V667">IF($BA667="","",IF(INDEX(tblServicios[Conductor],$BA667)=$T$2,"Conductor",IF(INDEX(tblServicios[Personal adicional],$BA667)=$T$2,"Personal adicional","")))</f>
        <v/>
      </c>
      <c r="BA667" s="33" t="str" cm="1">
        <f t="array" ref="BA6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adicional]=$T$2))&gt;0)),ROW(A669)),"")</f>
        <v/>
      </c>
    </row>
    <row r="668" spans="15:53" x14ac:dyDescent="0.35">
      <c r="O668" s="1" t="str" cm="1">
        <f t="array" ref="O668">IF($BA668="","",INDEX(tblServicios[Fecha],$BA668))</f>
        <v/>
      </c>
      <c r="P668" t="str" cm="1">
        <f t="array" ref="P668">IF($BA668="","",INDEX(tblServicios[Contrato],$BA668))</f>
        <v/>
      </c>
      <c r="Q668" t="str" cm="1">
        <f t="array" ref="Q668">IF($BA668="","",INDEX(tblServicios[Vehículo],$BA668))</f>
        <v/>
      </c>
      <c r="R668" s="34" t="str" cm="1">
        <f t="array" ref="R668">IF($BA668="","",INDEX(tblServicios[Base imponible (€)],$BA668)-INDEX(tblServicios[Imp. suplemento (€)],$BA668))</f>
        <v/>
      </c>
      <c r="S668" s="34" t="str" cm="1">
        <f t="array" ref="S668">IF($BA668="","",INDEX(tblServicios[Imp. suplemento (€)],$BA668))</f>
        <v/>
      </c>
      <c r="T668" t="str" cm="1">
        <f t="array" ref="T668">IF($BA668="","",INDEX(tblServicios[Tipo suplemento],$BA668))</f>
        <v/>
      </c>
      <c r="U668" s="2" t="str">
        <f t="shared" si="12"/>
        <v/>
      </c>
      <c r="V668" t="str" cm="1">
        <f t="array" ref="V668">IF($BA668="","",IF(INDEX(tblServicios[Conductor],$BA668)=$T$2,"Conductor",IF(INDEX(tblServicios[Personal adicional],$BA668)=$T$2,"Personal adicional","")))</f>
        <v/>
      </c>
      <c r="BA668" s="33" t="str" cm="1">
        <f t="array" ref="BA6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adicional]=$T$2))&gt;0)),ROW(A670)),"")</f>
        <v/>
      </c>
    </row>
    <row r="669" spans="15:53" x14ac:dyDescent="0.35">
      <c r="O669" s="1" t="str" cm="1">
        <f t="array" ref="O669">IF($BA669="","",INDEX(tblServicios[Fecha],$BA669))</f>
        <v/>
      </c>
      <c r="P669" t="str" cm="1">
        <f t="array" ref="P669">IF($BA669="","",INDEX(tblServicios[Contrato],$BA669))</f>
        <v/>
      </c>
      <c r="Q669" t="str" cm="1">
        <f t="array" ref="Q669">IF($BA669="","",INDEX(tblServicios[Vehículo],$BA669))</f>
        <v/>
      </c>
      <c r="R669" s="34" t="str" cm="1">
        <f t="array" ref="R669">IF($BA669="","",INDEX(tblServicios[Base imponible (€)],$BA669)-INDEX(tblServicios[Imp. suplemento (€)],$BA669))</f>
        <v/>
      </c>
      <c r="S669" s="34" t="str" cm="1">
        <f t="array" ref="S669">IF($BA669="","",INDEX(tblServicios[Imp. suplemento (€)],$BA669))</f>
        <v/>
      </c>
      <c r="T669" t="str" cm="1">
        <f t="array" ref="T669">IF($BA669="","",INDEX(tblServicios[Tipo suplemento],$BA669))</f>
        <v/>
      </c>
      <c r="U669" s="2" t="str">
        <f t="shared" si="12"/>
        <v/>
      </c>
      <c r="V669" t="str" cm="1">
        <f t="array" ref="V669">IF($BA669="","",IF(INDEX(tblServicios[Conductor],$BA669)=$T$2,"Conductor",IF(INDEX(tblServicios[Personal adicional],$BA669)=$T$2,"Personal adicional","")))</f>
        <v/>
      </c>
      <c r="BA669" s="33" t="str" cm="1">
        <f t="array" ref="BA6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adicional]=$T$2))&gt;0)),ROW(A671)),"")</f>
        <v/>
      </c>
    </row>
    <row r="670" spans="15:53" x14ac:dyDescent="0.35">
      <c r="O670" s="1" t="str" cm="1">
        <f t="array" ref="O670">IF($BA670="","",INDEX(tblServicios[Fecha],$BA670))</f>
        <v/>
      </c>
      <c r="P670" t="str" cm="1">
        <f t="array" ref="P670">IF($BA670="","",INDEX(tblServicios[Contrato],$BA670))</f>
        <v/>
      </c>
      <c r="Q670" t="str" cm="1">
        <f t="array" ref="Q670">IF($BA670="","",INDEX(tblServicios[Vehículo],$BA670))</f>
        <v/>
      </c>
      <c r="R670" s="34" t="str" cm="1">
        <f t="array" ref="R670">IF($BA670="","",INDEX(tblServicios[Base imponible (€)],$BA670)-INDEX(tblServicios[Imp. suplemento (€)],$BA670))</f>
        <v/>
      </c>
      <c r="S670" s="34" t="str" cm="1">
        <f t="array" ref="S670">IF($BA670="","",INDEX(tblServicios[Imp. suplemento (€)],$BA670))</f>
        <v/>
      </c>
      <c r="T670" t="str" cm="1">
        <f t="array" ref="T670">IF($BA670="","",INDEX(tblServicios[Tipo suplemento],$BA670))</f>
        <v/>
      </c>
      <c r="U670" s="2" t="str">
        <f t="shared" si="12"/>
        <v/>
      </c>
      <c r="V670" t="str" cm="1">
        <f t="array" ref="V670">IF($BA670="","",IF(INDEX(tblServicios[Conductor],$BA670)=$T$2,"Conductor",IF(INDEX(tblServicios[Personal adicional],$BA670)=$T$2,"Personal adicional","")))</f>
        <v/>
      </c>
      <c r="BA670" s="33" t="str" cm="1">
        <f t="array" ref="BA6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adicional]=$T$2))&gt;0)),ROW(A672)),"")</f>
        <v/>
      </c>
    </row>
    <row r="671" spans="15:53" x14ac:dyDescent="0.35">
      <c r="O671" s="1" t="str" cm="1">
        <f t="array" ref="O671">IF($BA671="","",INDEX(tblServicios[Fecha],$BA671))</f>
        <v/>
      </c>
      <c r="P671" t="str" cm="1">
        <f t="array" ref="P671">IF($BA671="","",INDEX(tblServicios[Contrato],$BA671))</f>
        <v/>
      </c>
      <c r="Q671" t="str" cm="1">
        <f t="array" ref="Q671">IF($BA671="","",INDEX(tblServicios[Vehículo],$BA671))</f>
        <v/>
      </c>
      <c r="R671" s="34" t="str" cm="1">
        <f t="array" ref="R671">IF($BA671="","",INDEX(tblServicios[Base imponible (€)],$BA671)-INDEX(tblServicios[Imp. suplemento (€)],$BA671))</f>
        <v/>
      </c>
      <c r="S671" s="34" t="str" cm="1">
        <f t="array" ref="S671">IF($BA671="","",INDEX(tblServicios[Imp. suplemento (€)],$BA671))</f>
        <v/>
      </c>
      <c r="T671" t="str" cm="1">
        <f t="array" ref="T671">IF($BA671="","",INDEX(tblServicios[Tipo suplemento],$BA671))</f>
        <v/>
      </c>
      <c r="U671" s="2" t="str">
        <f t="shared" si="12"/>
        <v/>
      </c>
      <c r="V671" t="str" cm="1">
        <f t="array" ref="V671">IF($BA671="","",IF(INDEX(tblServicios[Conductor],$BA671)=$T$2,"Conductor",IF(INDEX(tblServicios[Personal adicional],$BA671)=$T$2,"Personal adicional","")))</f>
        <v/>
      </c>
      <c r="BA671" s="33" t="str" cm="1">
        <f t="array" ref="BA6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adicional]=$T$2))&gt;0)),ROW(A673)),"")</f>
        <v/>
      </c>
    </row>
    <row r="672" spans="15:53" x14ac:dyDescent="0.35">
      <c r="O672" s="1" t="str" cm="1">
        <f t="array" ref="O672">IF($BA672="","",INDEX(tblServicios[Fecha],$BA672))</f>
        <v/>
      </c>
      <c r="P672" t="str" cm="1">
        <f t="array" ref="P672">IF($BA672="","",INDEX(tblServicios[Contrato],$BA672))</f>
        <v/>
      </c>
      <c r="Q672" t="str" cm="1">
        <f t="array" ref="Q672">IF($BA672="","",INDEX(tblServicios[Vehículo],$BA672))</f>
        <v/>
      </c>
      <c r="R672" s="34" t="str" cm="1">
        <f t="array" ref="R672">IF($BA672="","",INDEX(tblServicios[Base imponible (€)],$BA672)-INDEX(tblServicios[Imp. suplemento (€)],$BA672))</f>
        <v/>
      </c>
      <c r="S672" s="34" t="str" cm="1">
        <f t="array" ref="S672">IF($BA672="","",INDEX(tblServicios[Imp. suplemento (€)],$BA672))</f>
        <v/>
      </c>
      <c r="T672" t="str" cm="1">
        <f t="array" ref="T672">IF($BA672="","",INDEX(tblServicios[Tipo suplemento],$BA672))</f>
        <v/>
      </c>
      <c r="U672" s="2" t="str">
        <f t="shared" si="12"/>
        <v/>
      </c>
      <c r="V672" t="str" cm="1">
        <f t="array" ref="V672">IF($BA672="","",IF(INDEX(tblServicios[Conductor],$BA672)=$T$2,"Conductor",IF(INDEX(tblServicios[Personal adicional],$BA672)=$T$2,"Personal adicional","")))</f>
        <v/>
      </c>
      <c r="BA672" s="33" t="str" cm="1">
        <f t="array" ref="BA6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adicional]=$T$2))&gt;0)),ROW(A674)),"")</f>
        <v/>
      </c>
    </row>
    <row r="673" spans="15:53" x14ac:dyDescent="0.35">
      <c r="O673" s="1" t="str" cm="1">
        <f t="array" ref="O673">IF($BA673="","",INDEX(tblServicios[Fecha],$BA673))</f>
        <v/>
      </c>
      <c r="P673" t="str" cm="1">
        <f t="array" ref="P673">IF($BA673="","",INDEX(tblServicios[Contrato],$BA673))</f>
        <v/>
      </c>
      <c r="Q673" t="str" cm="1">
        <f t="array" ref="Q673">IF($BA673="","",INDEX(tblServicios[Vehículo],$BA673))</f>
        <v/>
      </c>
      <c r="R673" s="34" t="str" cm="1">
        <f t="array" ref="R673">IF($BA673="","",INDEX(tblServicios[Base imponible (€)],$BA673)-INDEX(tblServicios[Imp. suplemento (€)],$BA673))</f>
        <v/>
      </c>
      <c r="S673" s="34" t="str" cm="1">
        <f t="array" ref="S673">IF($BA673="","",INDEX(tblServicios[Imp. suplemento (€)],$BA673))</f>
        <v/>
      </c>
      <c r="T673" t="str" cm="1">
        <f t="array" ref="T673">IF($BA673="","",INDEX(tblServicios[Tipo suplemento],$BA673))</f>
        <v/>
      </c>
      <c r="U673" s="2" t="str">
        <f t="shared" si="12"/>
        <v/>
      </c>
      <c r="V673" t="str" cm="1">
        <f t="array" ref="V673">IF($BA673="","",IF(INDEX(tblServicios[Conductor],$BA673)=$T$2,"Conductor",IF(INDEX(tblServicios[Personal adicional],$BA673)=$T$2,"Personal adicional","")))</f>
        <v/>
      </c>
      <c r="BA673" s="33" t="str" cm="1">
        <f t="array" ref="BA6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adicional]=$T$2))&gt;0)),ROW(A675)),"")</f>
        <v/>
      </c>
    </row>
    <row r="674" spans="15:53" x14ac:dyDescent="0.35">
      <c r="O674" s="1" t="str" cm="1">
        <f t="array" ref="O674">IF($BA674="","",INDEX(tblServicios[Fecha],$BA674))</f>
        <v/>
      </c>
      <c r="P674" t="str" cm="1">
        <f t="array" ref="P674">IF($BA674="","",INDEX(tblServicios[Contrato],$BA674))</f>
        <v/>
      </c>
      <c r="Q674" t="str" cm="1">
        <f t="array" ref="Q674">IF($BA674="","",INDEX(tblServicios[Vehículo],$BA674))</f>
        <v/>
      </c>
      <c r="R674" s="34" t="str" cm="1">
        <f t="array" ref="R674">IF($BA674="","",INDEX(tblServicios[Base imponible (€)],$BA674)-INDEX(tblServicios[Imp. suplemento (€)],$BA674))</f>
        <v/>
      </c>
      <c r="S674" s="34" t="str" cm="1">
        <f t="array" ref="S674">IF($BA674="","",INDEX(tblServicios[Imp. suplemento (€)],$BA674))</f>
        <v/>
      </c>
      <c r="T674" t="str" cm="1">
        <f t="array" ref="T674">IF($BA674="","",INDEX(tblServicios[Tipo suplemento],$BA674))</f>
        <v/>
      </c>
      <c r="U674" s="2" t="str">
        <f t="shared" si="12"/>
        <v/>
      </c>
      <c r="V674" t="str" cm="1">
        <f t="array" ref="V674">IF($BA674="","",IF(INDEX(tblServicios[Conductor],$BA674)=$T$2,"Conductor",IF(INDEX(tblServicios[Personal adicional],$BA674)=$T$2,"Personal adicional","")))</f>
        <v/>
      </c>
      <c r="BA674" s="33" t="str" cm="1">
        <f t="array" ref="BA6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adicional]=$T$2))&gt;0)),ROW(A676)),"")</f>
        <v/>
      </c>
    </row>
    <row r="675" spans="15:53" x14ac:dyDescent="0.35">
      <c r="O675" s="1" t="str" cm="1">
        <f t="array" ref="O675">IF($BA675="","",INDEX(tblServicios[Fecha],$BA675))</f>
        <v/>
      </c>
      <c r="P675" t="str" cm="1">
        <f t="array" ref="P675">IF($BA675="","",INDEX(tblServicios[Contrato],$BA675))</f>
        <v/>
      </c>
      <c r="Q675" t="str" cm="1">
        <f t="array" ref="Q675">IF($BA675="","",INDEX(tblServicios[Vehículo],$BA675))</f>
        <v/>
      </c>
      <c r="R675" s="34" t="str" cm="1">
        <f t="array" ref="R675">IF($BA675="","",INDEX(tblServicios[Base imponible (€)],$BA675)-INDEX(tblServicios[Imp. suplemento (€)],$BA675))</f>
        <v/>
      </c>
      <c r="S675" s="34" t="str" cm="1">
        <f t="array" ref="S675">IF($BA675="","",INDEX(tblServicios[Imp. suplemento (€)],$BA675))</f>
        <v/>
      </c>
      <c r="T675" t="str" cm="1">
        <f t="array" ref="T675">IF($BA675="","",INDEX(tblServicios[Tipo suplemento],$BA675))</f>
        <v/>
      </c>
      <c r="U675" s="2" t="str">
        <f t="shared" si="12"/>
        <v/>
      </c>
      <c r="V675" t="str" cm="1">
        <f t="array" ref="V675">IF($BA675="","",IF(INDEX(tblServicios[Conductor],$BA675)=$T$2,"Conductor",IF(INDEX(tblServicios[Personal adicional],$BA675)=$T$2,"Personal adicional","")))</f>
        <v/>
      </c>
      <c r="BA675" s="33" t="str" cm="1">
        <f t="array" ref="BA6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adicional]=$T$2))&gt;0)),ROW(A677)),"")</f>
        <v/>
      </c>
    </row>
    <row r="676" spans="15:53" x14ac:dyDescent="0.35">
      <c r="O676" s="1" t="str" cm="1">
        <f t="array" ref="O676">IF($BA676="","",INDEX(tblServicios[Fecha],$BA676))</f>
        <v/>
      </c>
      <c r="P676" t="str" cm="1">
        <f t="array" ref="P676">IF($BA676="","",INDEX(tblServicios[Contrato],$BA676))</f>
        <v/>
      </c>
      <c r="Q676" t="str" cm="1">
        <f t="array" ref="Q676">IF($BA676="","",INDEX(tblServicios[Vehículo],$BA676))</f>
        <v/>
      </c>
      <c r="R676" s="34" t="str" cm="1">
        <f t="array" ref="R676">IF($BA676="","",INDEX(tblServicios[Base imponible (€)],$BA676)-INDEX(tblServicios[Imp. suplemento (€)],$BA676))</f>
        <v/>
      </c>
      <c r="S676" s="34" t="str" cm="1">
        <f t="array" ref="S676">IF($BA676="","",INDEX(tblServicios[Imp. suplemento (€)],$BA676))</f>
        <v/>
      </c>
      <c r="T676" t="str" cm="1">
        <f t="array" ref="T676">IF($BA676="","",INDEX(tblServicios[Tipo suplemento],$BA676))</f>
        <v/>
      </c>
      <c r="U676" s="2" t="str">
        <f t="shared" si="12"/>
        <v/>
      </c>
      <c r="V676" t="str" cm="1">
        <f t="array" ref="V676">IF($BA676="","",IF(INDEX(tblServicios[Conductor],$BA676)=$T$2,"Conductor",IF(INDEX(tblServicios[Personal adicional],$BA676)=$T$2,"Personal adicional","")))</f>
        <v/>
      </c>
      <c r="BA676" s="33" t="str" cm="1">
        <f t="array" ref="BA6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adicional]=$T$2))&gt;0)),ROW(A678)),"")</f>
        <v/>
      </c>
    </row>
    <row r="677" spans="15:53" x14ac:dyDescent="0.35">
      <c r="O677" s="1" t="str" cm="1">
        <f t="array" ref="O677">IF($BA677="","",INDEX(tblServicios[Fecha],$BA677))</f>
        <v/>
      </c>
      <c r="P677" t="str" cm="1">
        <f t="array" ref="P677">IF($BA677="","",INDEX(tblServicios[Contrato],$BA677))</f>
        <v/>
      </c>
      <c r="Q677" t="str" cm="1">
        <f t="array" ref="Q677">IF($BA677="","",INDEX(tblServicios[Vehículo],$BA677))</f>
        <v/>
      </c>
      <c r="R677" s="34" t="str" cm="1">
        <f t="array" ref="R677">IF($BA677="","",INDEX(tblServicios[Base imponible (€)],$BA677)-INDEX(tblServicios[Imp. suplemento (€)],$BA677))</f>
        <v/>
      </c>
      <c r="S677" s="34" t="str" cm="1">
        <f t="array" ref="S677">IF($BA677="","",INDEX(tblServicios[Imp. suplemento (€)],$BA677))</f>
        <v/>
      </c>
      <c r="T677" t="str" cm="1">
        <f t="array" ref="T677">IF($BA677="","",INDEX(tblServicios[Tipo suplemento],$BA677))</f>
        <v/>
      </c>
      <c r="U677" s="2" t="str">
        <f t="shared" si="12"/>
        <v/>
      </c>
      <c r="V677" t="str" cm="1">
        <f t="array" ref="V677">IF($BA677="","",IF(INDEX(tblServicios[Conductor],$BA677)=$T$2,"Conductor",IF(INDEX(tblServicios[Personal adicional],$BA677)=$T$2,"Personal adicional","")))</f>
        <v/>
      </c>
      <c r="BA677" s="33" t="str" cm="1">
        <f t="array" ref="BA6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adicional]=$T$2))&gt;0)),ROW(A679)),"")</f>
        <v/>
      </c>
    </row>
    <row r="678" spans="15:53" x14ac:dyDescent="0.35">
      <c r="O678" s="1" t="str" cm="1">
        <f t="array" ref="O678">IF($BA678="","",INDEX(tblServicios[Fecha],$BA678))</f>
        <v/>
      </c>
      <c r="P678" t="str" cm="1">
        <f t="array" ref="P678">IF($BA678="","",INDEX(tblServicios[Contrato],$BA678))</f>
        <v/>
      </c>
      <c r="Q678" t="str" cm="1">
        <f t="array" ref="Q678">IF($BA678="","",INDEX(tblServicios[Vehículo],$BA678))</f>
        <v/>
      </c>
      <c r="R678" s="34" t="str" cm="1">
        <f t="array" ref="R678">IF($BA678="","",INDEX(tblServicios[Base imponible (€)],$BA678)-INDEX(tblServicios[Imp. suplemento (€)],$BA678))</f>
        <v/>
      </c>
      <c r="S678" s="34" t="str" cm="1">
        <f t="array" ref="S678">IF($BA678="","",INDEX(tblServicios[Imp. suplemento (€)],$BA678))</f>
        <v/>
      </c>
      <c r="T678" t="str" cm="1">
        <f t="array" ref="T678">IF($BA678="","",INDEX(tblServicios[Tipo suplemento],$BA678))</f>
        <v/>
      </c>
      <c r="U678" s="2" t="str">
        <f t="shared" si="12"/>
        <v/>
      </c>
      <c r="V678" t="str" cm="1">
        <f t="array" ref="V678">IF($BA678="","",IF(INDEX(tblServicios[Conductor],$BA678)=$T$2,"Conductor",IF(INDEX(tblServicios[Personal adicional],$BA678)=$T$2,"Personal adicional","")))</f>
        <v/>
      </c>
      <c r="BA678" s="33" t="str" cm="1">
        <f t="array" ref="BA6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adicional]=$T$2))&gt;0)),ROW(A680)),"")</f>
        <v/>
      </c>
    </row>
    <row r="679" spans="15:53" x14ac:dyDescent="0.35">
      <c r="O679" s="1" t="str" cm="1">
        <f t="array" ref="O679">IF($BA679="","",INDEX(tblServicios[Fecha],$BA679))</f>
        <v/>
      </c>
      <c r="P679" t="str" cm="1">
        <f t="array" ref="P679">IF($BA679="","",INDEX(tblServicios[Contrato],$BA679))</f>
        <v/>
      </c>
      <c r="Q679" t="str" cm="1">
        <f t="array" ref="Q679">IF($BA679="","",INDEX(tblServicios[Vehículo],$BA679))</f>
        <v/>
      </c>
      <c r="R679" s="34" t="str" cm="1">
        <f t="array" ref="R679">IF($BA679="","",INDEX(tblServicios[Base imponible (€)],$BA679)-INDEX(tblServicios[Imp. suplemento (€)],$BA679))</f>
        <v/>
      </c>
      <c r="S679" s="34" t="str" cm="1">
        <f t="array" ref="S679">IF($BA679="","",INDEX(tblServicios[Imp. suplemento (€)],$BA679))</f>
        <v/>
      </c>
      <c r="T679" t="str" cm="1">
        <f t="array" ref="T679">IF($BA679="","",INDEX(tblServicios[Tipo suplemento],$BA679))</f>
        <v/>
      </c>
      <c r="U679" s="2" t="str">
        <f t="shared" si="12"/>
        <v/>
      </c>
      <c r="V679" t="str" cm="1">
        <f t="array" ref="V679">IF($BA679="","",IF(INDEX(tblServicios[Conductor],$BA679)=$T$2,"Conductor",IF(INDEX(tblServicios[Personal adicional],$BA679)=$T$2,"Personal adicional","")))</f>
        <v/>
      </c>
      <c r="BA679" s="33" t="str" cm="1">
        <f t="array" ref="BA6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adicional]=$T$2))&gt;0)),ROW(A681)),"")</f>
        <v/>
      </c>
    </row>
    <row r="680" spans="15:53" x14ac:dyDescent="0.35">
      <c r="O680" s="1" t="str" cm="1">
        <f t="array" ref="O680">IF($BA680="","",INDEX(tblServicios[Fecha],$BA680))</f>
        <v/>
      </c>
      <c r="P680" t="str" cm="1">
        <f t="array" ref="P680">IF($BA680="","",INDEX(tblServicios[Contrato],$BA680))</f>
        <v/>
      </c>
      <c r="Q680" t="str" cm="1">
        <f t="array" ref="Q680">IF($BA680="","",INDEX(tblServicios[Vehículo],$BA680))</f>
        <v/>
      </c>
      <c r="R680" s="34" t="str" cm="1">
        <f t="array" ref="R680">IF($BA680="","",INDEX(tblServicios[Base imponible (€)],$BA680)-INDEX(tblServicios[Imp. suplemento (€)],$BA680))</f>
        <v/>
      </c>
      <c r="S680" s="34" t="str" cm="1">
        <f t="array" ref="S680">IF($BA680="","",INDEX(tblServicios[Imp. suplemento (€)],$BA680))</f>
        <v/>
      </c>
      <c r="T680" t="str" cm="1">
        <f t="array" ref="T680">IF($BA680="","",INDEX(tblServicios[Tipo suplemento],$BA680))</f>
        <v/>
      </c>
      <c r="U680" s="2" t="str">
        <f t="shared" si="12"/>
        <v/>
      </c>
      <c r="V680" t="str" cm="1">
        <f t="array" ref="V680">IF($BA680="","",IF(INDEX(tblServicios[Conductor],$BA680)=$T$2,"Conductor",IF(INDEX(tblServicios[Personal adicional],$BA680)=$T$2,"Personal adicional","")))</f>
        <v/>
      </c>
      <c r="BA680" s="33" t="str" cm="1">
        <f t="array" ref="BA6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adicional]=$T$2))&gt;0)),ROW(A682)),"")</f>
        <v/>
      </c>
    </row>
    <row r="681" spans="15:53" x14ac:dyDescent="0.35">
      <c r="O681" s="1" t="str" cm="1">
        <f t="array" ref="O681">IF($BA681="","",INDEX(tblServicios[Fecha],$BA681))</f>
        <v/>
      </c>
      <c r="P681" t="str" cm="1">
        <f t="array" ref="P681">IF($BA681="","",INDEX(tblServicios[Contrato],$BA681))</f>
        <v/>
      </c>
      <c r="Q681" t="str" cm="1">
        <f t="array" ref="Q681">IF($BA681="","",INDEX(tblServicios[Vehículo],$BA681))</f>
        <v/>
      </c>
      <c r="R681" s="34" t="str" cm="1">
        <f t="array" ref="R681">IF($BA681="","",INDEX(tblServicios[Base imponible (€)],$BA681)-INDEX(tblServicios[Imp. suplemento (€)],$BA681))</f>
        <v/>
      </c>
      <c r="S681" s="34" t="str" cm="1">
        <f t="array" ref="S681">IF($BA681="","",INDEX(tblServicios[Imp. suplemento (€)],$BA681))</f>
        <v/>
      </c>
      <c r="T681" t="str" cm="1">
        <f t="array" ref="T681">IF($BA681="","",INDEX(tblServicios[Tipo suplemento],$BA681))</f>
        <v/>
      </c>
      <c r="U681" s="2" t="str">
        <f t="shared" si="12"/>
        <v/>
      </c>
      <c r="V681" t="str" cm="1">
        <f t="array" ref="V681">IF($BA681="","",IF(INDEX(tblServicios[Conductor],$BA681)=$T$2,"Conductor",IF(INDEX(tblServicios[Personal adicional],$BA681)=$T$2,"Personal adicional","")))</f>
        <v/>
      </c>
      <c r="BA681" s="33" t="str" cm="1">
        <f t="array" ref="BA6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adicional]=$T$2))&gt;0)),ROW(A683)),"")</f>
        <v/>
      </c>
    </row>
    <row r="682" spans="15:53" x14ac:dyDescent="0.35">
      <c r="O682" s="1" t="str" cm="1">
        <f t="array" ref="O682">IF($BA682="","",INDEX(tblServicios[Fecha],$BA682))</f>
        <v/>
      </c>
      <c r="P682" t="str" cm="1">
        <f t="array" ref="P682">IF($BA682="","",INDEX(tblServicios[Contrato],$BA682))</f>
        <v/>
      </c>
      <c r="Q682" t="str" cm="1">
        <f t="array" ref="Q682">IF($BA682="","",INDEX(tblServicios[Vehículo],$BA682))</f>
        <v/>
      </c>
      <c r="R682" s="34" t="str" cm="1">
        <f t="array" ref="R682">IF($BA682="","",INDEX(tblServicios[Base imponible (€)],$BA682)-INDEX(tblServicios[Imp. suplemento (€)],$BA682))</f>
        <v/>
      </c>
      <c r="S682" s="34" t="str" cm="1">
        <f t="array" ref="S682">IF($BA682="","",INDEX(tblServicios[Imp. suplemento (€)],$BA682))</f>
        <v/>
      </c>
      <c r="T682" t="str" cm="1">
        <f t="array" ref="T682">IF($BA682="","",INDEX(tblServicios[Tipo suplemento],$BA682))</f>
        <v/>
      </c>
      <c r="U682" s="2" t="str">
        <f t="shared" si="12"/>
        <v/>
      </c>
      <c r="V682" t="str" cm="1">
        <f t="array" ref="V682">IF($BA682="","",IF(INDEX(tblServicios[Conductor],$BA682)=$T$2,"Conductor",IF(INDEX(tblServicios[Personal adicional],$BA682)=$T$2,"Personal adicional","")))</f>
        <v/>
      </c>
      <c r="BA682" s="33" t="str" cm="1">
        <f t="array" ref="BA6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adicional]=$T$2))&gt;0)),ROW(A684)),"")</f>
        <v/>
      </c>
    </row>
    <row r="683" spans="15:53" x14ac:dyDescent="0.35">
      <c r="O683" s="1" t="str" cm="1">
        <f t="array" ref="O683">IF($BA683="","",INDEX(tblServicios[Fecha],$BA683))</f>
        <v/>
      </c>
      <c r="P683" t="str" cm="1">
        <f t="array" ref="P683">IF($BA683="","",INDEX(tblServicios[Contrato],$BA683))</f>
        <v/>
      </c>
      <c r="Q683" t="str" cm="1">
        <f t="array" ref="Q683">IF($BA683="","",INDEX(tblServicios[Vehículo],$BA683))</f>
        <v/>
      </c>
      <c r="R683" s="34" t="str" cm="1">
        <f t="array" ref="R683">IF($BA683="","",INDEX(tblServicios[Base imponible (€)],$BA683)-INDEX(tblServicios[Imp. suplemento (€)],$BA683))</f>
        <v/>
      </c>
      <c r="S683" s="34" t="str" cm="1">
        <f t="array" ref="S683">IF($BA683="","",INDEX(tblServicios[Imp. suplemento (€)],$BA683))</f>
        <v/>
      </c>
      <c r="T683" t="str" cm="1">
        <f t="array" ref="T683">IF($BA683="","",INDEX(tblServicios[Tipo suplemento],$BA683))</f>
        <v/>
      </c>
      <c r="U683" s="2" t="str">
        <f t="shared" si="12"/>
        <v/>
      </c>
      <c r="V683" t="str" cm="1">
        <f t="array" ref="V683">IF($BA683="","",IF(INDEX(tblServicios[Conductor],$BA683)=$T$2,"Conductor",IF(INDEX(tblServicios[Personal adicional],$BA683)=$T$2,"Personal adicional","")))</f>
        <v/>
      </c>
      <c r="BA683" s="33" t="str" cm="1">
        <f t="array" ref="BA6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adicional]=$T$2))&gt;0)),ROW(A685)),"")</f>
        <v/>
      </c>
    </row>
    <row r="684" spans="15:53" x14ac:dyDescent="0.35">
      <c r="O684" s="1" t="str" cm="1">
        <f t="array" ref="O684">IF($BA684="","",INDEX(tblServicios[Fecha],$BA684))</f>
        <v/>
      </c>
      <c r="P684" t="str" cm="1">
        <f t="array" ref="P684">IF($BA684="","",INDEX(tblServicios[Contrato],$BA684))</f>
        <v/>
      </c>
      <c r="Q684" t="str" cm="1">
        <f t="array" ref="Q684">IF($BA684="","",INDEX(tblServicios[Vehículo],$BA684))</f>
        <v/>
      </c>
      <c r="R684" s="34" t="str" cm="1">
        <f t="array" ref="R684">IF($BA684="","",INDEX(tblServicios[Base imponible (€)],$BA684)-INDEX(tblServicios[Imp. suplemento (€)],$BA684))</f>
        <v/>
      </c>
      <c r="S684" s="34" t="str" cm="1">
        <f t="array" ref="S684">IF($BA684="","",INDEX(tblServicios[Imp. suplemento (€)],$BA684))</f>
        <v/>
      </c>
      <c r="T684" t="str" cm="1">
        <f t="array" ref="T684">IF($BA684="","",INDEX(tblServicios[Tipo suplemento],$BA684))</f>
        <v/>
      </c>
      <c r="U684" s="2" t="str">
        <f t="shared" si="12"/>
        <v/>
      </c>
      <c r="V684" t="str" cm="1">
        <f t="array" ref="V684">IF($BA684="","",IF(INDEX(tblServicios[Conductor],$BA684)=$T$2,"Conductor",IF(INDEX(tblServicios[Personal adicional],$BA684)=$T$2,"Personal adicional","")))</f>
        <v/>
      </c>
      <c r="BA684" s="33" t="str" cm="1">
        <f t="array" ref="BA6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adicional]=$T$2))&gt;0)),ROW(A686)),"")</f>
        <v/>
      </c>
    </row>
    <row r="685" spans="15:53" x14ac:dyDescent="0.35">
      <c r="O685" s="1" t="str" cm="1">
        <f t="array" ref="O685">IF($BA685="","",INDEX(tblServicios[Fecha],$BA685))</f>
        <v/>
      </c>
      <c r="P685" t="str" cm="1">
        <f t="array" ref="P685">IF($BA685="","",INDEX(tblServicios[Contrato],$BA685))</f>
        <v/>
      </c>
      <c r="Q685" t="str" cm="1">
        <f t="array" ref="Q685">IF($BA685="","",INDEX(tblServicios[Vehículo],$BA685))</f>
        <v/>
      </c>
      <c r="R685" s="34" t="str" cm="1">
        <f t="array" ref="R685">IF($BA685="","",INDEX(tblServicios[Base imponible (€)],$BA685)-INDEX(tblServicios[Imp. suplemento (€)],$BA685))</f>
        <v/>
      </c>
      <c r="S685" s="34" t="str" cm="1">
        <f t="array" ref="S685">IF($BA685="","",INDEX(tblServicios[Imp. suplemento (€)],$BA685))</f>
        <v/>
      </c>
      <c r="T685" t="str" cm="1">
        <f t="array" ref="T685">IF($BA685="","",INDEX(tblServicios[Tipo suplemento],$BA685))</f>
        <v/>
      </c>
      <c r="U685" s="2" t="str">
        <f t="shared" si="12"/>
        <v/>
      </c>
      <c r="V685" t="str" cm="1">
        <f t="array" ref="V685">IF($BA685="","",IF(INDEX(tblServicios[Conductor],$BA685)=$T$2,"Conductor",IF(INDEX(tblServicios[Personal adicional],$BA685)=$T$2,"Personal adicional","")))</f>
        <v/>
      </c>
      <c r="BA685" s="33" t="str" cm="1">
        <f t="array" ref="BA6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adicional]=$T$2))&gt;0)),ROW(A687)),"")</f>
        <v/>
      </c>
    </row>
    <row r="686" spans="15:53" x14ac:dyDescent="0.35">
      <c r="O686" s="1" t="str" cm="1">
        <f t="array" ref="O686">IF($BA686="","",INDEX(tblServicios[Fecha],$BA686))</f>
        <v/>
      </c>
      <c r="P686" t="str" cm="1">
        <f t="array" ref="P686">IF($BA686="","",INDEX(tblServicios[Contrato],$BA686))</f>
        <v/>
      </c>
      <c r="Q686" t="str" cm="1">
        <f t="array" ref="Q686">IF($BA686="","",INDEX(tblServicios[Vehículo],$BA686))</f>
        <v/>
      </c>
      <c r="R686" s="34" t="str" cm="1">
        <f t="array" ref="R686">IF($BA686="","",INDEX(tblServicios[Base imponible (€)],$BA686)-INDEX(tblServicios[Imp. suplemento (€)],$BA686))</f>
        <v/>
      </c>
      <c r="S686" s="34" t="str" cm="1">
        <f t="array" ref="S686">IF($BA686="","",INDEX(tblServicios[Imp. suplemento (€)],$BA686))</f>
        <v/>
      </c>
      <c r="T686" t="str" cm="1">
        <f t="array" ref="T686">IF($BA686="","",INDEX(tblServicios[Tipo suplemento],$BA686))</f>
        <v/>
      </c>
      <c r="U686" s="2" t="str">
        <f t="shared" si="12"/>
        <v/>
      </c>
      <c r="V686" t="str" cm="1">
        <f t="array" ref="V686">IF($BA686="","",IF(INDEX(tblServicios[Conductor],$BA686)=$T$2,"Conductor",IF(INDEX(tblServicios[Personal adicional],$BA686)=$T$2,"Personal adicional","")))</f>
        <v/>
      </c>
      <c r="BA686" s="33" t="str" cm="1">
        <f t="array" ref="BA6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adicional]=$T$2))&gt;0)),ROW(A688)),"")</f>
        <v/>
      </c>
    </row>
    <row r="687" spans="15:53" x14ac:dyDescent="0.35">
      <c r="O687" s="1" t="str" cm="1">
        <f t="array" ref="O687">IF($BA687="","",INDEX(tblServicios[Fecha],$BA687))</f>
        <v/>
      </c>
      <c r="P687" t="str" cm="1">
        <f t="array" ref="P687">IF($BA687="","",INDEX(tblServicios[Contrato],$BA687))</f>
        <v/>
      </c>
      <c r="Q687" t="str" cm="1">
        <f t="array" ref="Q687">IF($BA687="","",INDEX(tblServicios[Vehículo],$BA687))</f>
        <v/>
      </c>
      <c r="R687" s="34" t="str" cm="1">
        <f t="array" ref="R687">IF($BA687="","",INDEX(tblServicios[Base imponible (€)],$BA687)-INDEX(tblServicios[Imp. suplemento (€)],$BA687))</f>
        <v/>
      </c>
      <c r="S687" s="34" t="str" cm="1">
        <f t="array" ref="S687">IF($BA687="","",INDEX(tblServicios[Imp. suplemento (€)],$BA687))</f>
        <v/>
      </c>
      <c r="T687" t="str" cm="1">
        <f t="array" ref="T687">IF($BA687="","",INDEX(tblServicios[Tipo suplemento],$BA687))</f>
        <v/>
      </c>
      <c r="U687" s="2" t="str">
        <f t="shared" si="12"/>
        <v/>
      </c>
      <c r="V687" t="str" cm="1">
        <f t="array" ref="V687">IF($BA687="","",IF(INDEX(tblServicios[Conductor],$BA687)=$T$2,"Conductor",IF(INDEX(tblServicios[Personal adicional],$BA687)=$T$2,"Personal adicional","")))</f>
        <v/>
      </c>
      <c r="BA687" s="33" t="str" cm="1">
        <f t="array" ref="BA6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adicional]=$T$2))&gt;0)),ROW(A689)),"")</f>
        <v/>
      </c>
    </row>
    <row r="688" spans="15:53" x14ac:dyDescent="0.35">
      <c r="O688" s="1" t="str" cm="1">
        <f t="array" ref="O688">IF($BA688="","",INDEX(tblServicios[Fecha],$BA688))</f>
        <v/>
      </c>
      <c r="P688" t="str" cm="1">
        <f t="array" ref="P688">IF($BA688="","",INDEX(tblServicios[Contrato],$BA688))</f>
        <v/>
      </c>
      <c r="Q688" t="str" cm="1">
        <f t="array" ref="Q688">IF($BA688="","",INDEX(tblServicios[Vehículo],$BA688))</f>
        <v/>
      </c>
      <c r="R688" s="34" t="str" cm="1">
        <f t="array" ref="R688">IF($BA688="","",INDEX(tblServicios[Base imponible (€)],$BA688)-INDEX(tblServicios[Imp. suplemento (€)],$BA688))</f>
        <v/>
      </c>
      <c r="S688" s="34" t="str" cm="1">
        <f t="array" ref="S688">IF($BA688="","",INDEX(tblServicios[Imp. suplemento (€)],$BA688))</f>
        <v/>
      </c>
      <c r="T688" t="str" cm="1">
        <f t="array" ref="T688">IF($BA688="","",INDEX(tblServicios[Tipo suplemento],$BA688))</f>
        <v/>
      </c>
      <c r="U688" s="2" t="str">
        <f t="shared" si="12"/>
        <v/>
      </c>
      <c r="V688" t="str" cm="1">
        <f t="array" ref="V688">IF($BA688="","",IF(INDEX(tblServicios[Conductor],$BA688)=$T$2,"Conductor",IF(INDEX(tblServicios[Personal adicional],$BA688)=$T$2,"Personal adicional","")))</f>
        <v/>
      </c>
      <c r="BA688" s="33" t="str" cm="1">
        <f t="array" ref="BA6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adicional]=$T$2))&gt;0)),ROW(A690)),"")</f>
        <v/>
      </c>
    </row>
    <row r="689" spans="15:53" x14ac:dyDescent="0.35">
      <c r="O689" s="1" t="str" cm="1">
        <f t="array" ref="O689">IF($BA689="","",INDEX(tblServicios[Fecha],$BA689))</f>
        <v/>
      </c>
      <c r="P689" t="str" cm="1">
        <f t="array" ref="P689">IF($BA689="","",INDEX(tblServicios[Contrato],$BA689))</f>
        <v/>
      </c>
      <c r="Q689" t="str" cm="1">
        <f t="array" ref="Q689">IF($BA689="","",INDEX(tblServicios[Vehículo],$BA689))</f>
        <v/>
      </c>
      <c r="R689" s="34" t="str" cm="1">
        <f t="array" ref="R689">IF($BA689="","",INDEX(tblServicios[Base imponible (€)],$BA689)-INDEX(tblServicios[Imp. suplemento (€)],$BA689))</f>
        <v/>
      </c>
      <c r="S689" s="34" t="str" cm="1">
        <f t="array" ref="S689">IF($BA689="","",INDEX(tblServicios[Imp. suplemento (€)],$BA689))</f>
        <v/>
      </c>
      <c r="T689" t="str" cm="1">
        <f t="array" ref="T689">IF($BA689="","",INDEX(tblServicios[Tipo suplemento],$BA689))</f>
        <v/>
      </c>
      <c r="U689" s="2" t="str">
        <f t="shared" si="12"/>
        <v/>
      </c>
      <c r="V689" t="str" cm="1">
        <f t="array" ref="V689">IF($BA689="","",IF(INDEX(tblServicios[Conductor],$BA689)=$T$2,"Conductor",IF(INDEX(tblServicios[Personal adicional],$BA689)=$T$2,"Personal adicional","")))</f>
        <v/>
      </c>
      <c r="BA689" s="33" t="str" cm="1">
        <f t="array" ref="BA6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adicional]=$T$2))&gt;0)),ROW(A691)),"")</f>
        <v/>
      </c>
    </row>
    <row r="690" spans="15:53" x14ac:dyDescent="0.35">
      <c r="O690" s="1" t="str" cm="1">
        <f t="array" ref="O690">IF($BA690="","",INDEX(tblServicios[Fecha],$BA690))</f>
        <v/>
      </c>
      <c r="P690" t="str" cm="1">
        <f t="array" ref="P690">IF($BA690="","",INDEX(tblServicios[Contrato],$BA690))</f>
        <v/>
      </c>
      <c r="Q690" t="str" cm="1">
        <f t="array" ref="Q690">IF($BA690="","",INDEX(tblServicios[Vehículo],$BA690))</f>
        <v/>
      </c>
      <c r="R690" s="34" t="str" cm="1">
        <f t="array" ref="R690">IF($BA690="","",INDEX(tblServicios[Base imponible (€)],$BA690)-INDEX(tblServicios[Imp. suplemento (€)],$BA690))</f>
        <v/>
      </c>
      <c r="S690" s="34" t="str" cm="1">
        <f t="array" ref="S690">IF($BA690="","",INDEX(tblServicios[Imp. suplemento (€)],$BA690))</f>
        <v/>
      </c>
      <c r="T690" t="str" cm="1">
        <f t="array" ref="T690">IF($BA690="","",INDEX(tblServicios[Tipo suplemento],$BA690))</f>
        <v/>
      </c>
      <c r="U690" s="2" t="str">
        <f t="shared" si="12"/>
        <v/>
      </c>
      <c r="V690" t="str" cm="1">
        <f t="array" ref="V690">IF($BA690="","",IF(INDEX(tblServicios[Conductor],$BA690)=$T$2,"Conductor",IF(INDEX(tblServicios[Personal adicional],$BA690)=$T$2,"Personal adicional","")))</f>
        <v/>
      </c>
      <c r="BA690" s="33" t="str" cm="1">
        <f t="array" ref="BA6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adicional]=$T$2))&gt;0)),ROW(A692)),"")</f>
        <v/>
      </c>
    </row>
    <row r="691" spans="15:53" x14ac:dyDescent="0.35">
      <c r="O691" s="1" t="str" cm="1">
        <f t="array" ref="O691">IF($BA691="","",INDEX(tblServicios[Fecha],$BA691))</f>
        <v/>
      </c>
      <c r="P691" t="str" cm="1">
        <f t="array" ref="P691">IF($BA691="","",INDEX(tblServicios[Contrato],$BA691))</f>
        <v/>
      </c>
      <c r="Q691" t="str" cm="1">
        <f t="array" ref="Q691">IF($BA691="","",INDEX(tblServicios[Vehículo],$BA691))</f>
        <v/>
      </c>
      <c r="R691" s="34" t="str" cm="1">
        <f t="array" ref="R691">IF($BA691="","",INDEX(tblServicios[Base imponible (€)],$BA691)-INDEX(tblServicios[Imp. suplemento (€)],$BA691))</f>
        <v/>
      </c>
      <c r="S691" s="34" t="str" cm="1">
        <f t="array" ref="S691">IF($BA691="","",INDEX(tblServicios[Imp. suplemento (€)],$BA691))</f>
        <v/>
      </c>
      <c r="T691" t="str" cm="1">
        <f t="array" ref="T691">IF($BA691="","",INDEX(tblServicios[Tipo suplemento],$BA691))</f>
        <v/>
      </c>
      <c r="U691" s="2" t="str">
        <f t="shared" si="12"/>
        <v/>
      </c>
      <c r="V691" t="str" cm="1">
        <f t="array" ref="V691">IF($BA691="","",IF(INDEX(tblServicios[Conductor],$BA691)=$T$2,"Conductor",IF(INDEX(tblServicios[Personal adicional],$BA691)=$T$2,"Personal adicional","")))</f>
        <v/>
      </c>
      <c r="BA691" s="33" t="str" cm="1">
        <f t="array" ref="BA6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adicional]=$T$2))&gt;0)),ROW(A693)),"")</f>
        <v/>
      </c>
    </row>
    <row r="692" spans="15:53" x14ac:dyDescent="0.35">
      <c r="O692" s="1" t="str" cm="1">
        <f t="array" ref="O692">IF($BA692="","",INDEX(tblServicios[Fecha],$BA692))</f>
        <v/>
      </c>
      <c r="P692" t="str" cm="1">
        <f t="array" ref="P692">IF($BA692="","",INDEX(tblServicios[Contrato],$BA692))</f>
        <v/>
      </c>
      <c r="Q692" t="str" cm="1">
        <f t="array" ref="Q692">IF($BA692="","",INDEX(tblServicios[Vehículo],$BA692))</f>
        <v/>
      </c>
      <c r="R692" s="34" t="str" cm="1">
        <f t="array" ref="R692">IF($BA692="","",INDEX(tblServicios[Base imponible (€)],$BA692)-INDEX(tblServicios[Imp. suplemento (€)],$BA692))</f>
        <v/>
      </c>
      <c r="S692" s="34" t="str" cm="1">
        <f t="array" ref="S692">IF($BA692="","",INDEX(tblServicios[Imp. suplemento (€)],$BA692))</f>
        <v/>
      </c>
      <c r="T692" t="str" cm="1">
        <f t="array" ref="T692">IF($BA692="","",INDEX(tblServicios[Tipo suplemento],$BA692))</f>
        <v/>
      </c>
      <c r="U692" s="2" t="str">
        <f t="shared" si="12"/>
        <v/>
      </c>
      <c r="V692" t="str" cm="1">
        <f t="array" ref="V692">IF($BA692="","",IF(INDEX(tblServicios[Conductor],$BA692)=$T$2,"Conductor",IF(INDEX(tblServicios[Personal adicional],$BA692)=$T$2,"Personal adicional","")))</f>
        <v/>
      </c>
      <c r="BA692" s="33" t="str" cm="1">
        <f t="array" ref="BA6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adicional]=$T$2))&gt;0)),ROW(A694)),"")</f>
        <v/>
      </c>
    </row>
    <row r="693" spans="15:53" x14ac:dyDescent="0.35">
      <c r="O693" s="1" t="str" cm="1">
        <f t="array" ref="O693">IF($BA693="","",INDEX(tblServicios[Fecha],$BA693))</f>
        <v/>
      </c>
      <c r="P693" t="str" cm="1">
        <f t="array" ref="P693">IF($BA693="","",INDEX(tblServicios[Contrato],$BA693))</f>
        <v/>
      </c>
      <c r="Q693" t="str" cm="1">
        <f t="array" ref="Q693">IF($BA693="","",INDEX(tblServicios[Vehículo],$BA693))</f>
        <v/>
      </c>
      <c r="R693" s="34" t="str" cm="1">
        <f t="array" ref="R693">IF($BA693="","",INDEX(tblServicios[Base imponible (€)],$BA693)-INDEX(tblServicios[Imp. suplemento (€)],$BA693))</f>
        <v/>
      </c>
      <c r="S693" s="34" t="str" cm="1">
        <f t="array" ref="S693">IF($BA693="","",INDEX(tblServicios[Imp. suplemento (€)],$BA693))</f>
        <v/>
      </c>
      <c r="T693" t="str" cm="1">
        <f t="array" ref="T693">IF($BA693="","",INDEX(tblServicios[Tipo suplemento],$BA693))</f>
        <v/>
      </c>
      <c r="U693" s="2" t="str">
        <f t="shared" si="12"/>
        <v/>
      </c>
      <c r="V693" t="str" cm="1">
        <f t="array" ref="V693">IF($BA693="","",IF(INDEX(tblServicios[Conductor],$BA693)=$T$2,"Conductor",IF(INDEX(tblServicios[Personal adicional],$BA693)=$T$2,"Personal adicional","")))</f>
        <v/>
      </c>
      <c r="BA693" s="33" t="str" cm="1">
        <f t="array" ref="BA6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adicional]=$T$2))&gt;0)),ROW(A695)),"")</f>
        <v/>
      </c>
    </row>
    <row r="694" spans="15:53" x14ac:dyDescent="0.35">
      <c r="O694" s="1" t="str" cm="1">
        <f t="array" ref="O694">IF($BA694="","",INDEX(tblServicios[Fecha],$BA694))</f>
        <v/>
      </c>
      <c r="P694" t="str" cm="1">
        <f t="array" ref="P694">IF($BA694="","",INDEX(tblServicios[Contrato],$BA694))</f>
        <v/>
      </c>
      <c r="Q694" t="str" cm="1">
        <f t="array" ref="Q694">IF($BA694="","",INDEX(tblServicios[Vehículo],$BA694))</f>
        <v/>
      </c>
      <c r="R694" s="34" t="str" cm="1">
        <f t="array" ref="R694">IF($BA694="","",INDEX(tblServicios[Base imponible (€)],$BA694)-INDEX(tblServicios[Imp. suplemento (€)],$BA694))</f>
        <v/>
      </c>
      <c r="S694" s="34" t="str" cm="1">
        <f t="array" ref="S694">IF($BA694="","",INDEX(tblServicios[Imp. suplemento (€)],$BA694))</f>
        <v/>
      </c>
      <c r="T694" t="str" cm="1">
        <f t="array" ref="T694">IF($BA694="","",INDEX(tblServicios[Tipo suplemento],$BA694))</f>
        <v/>
      </c>
      <c r="U694" s="2" t="str">
        <f t="shared" si="12"/>
        <v/>
      </c>
      <c r="V694" t="str" cm="1">
        <f t="array" ref="V694">IF($BA694="","",IF(INDEX(tblServicios[Conductor],$BA694)=$T$2,"Conductor",IF(INDEX(tblServicios[Personal adicional],$BA694)=$T$2,"Personal adicional","")))</f>
        <v/>
      </c>
      <c r="BA694" s="33" t="str" cm="1">
        <f t="array" ref="BA6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adicional]=$T$2))&gt;0)),ROW(A696)),"")</f>
        <v/>
      </c>
    </row>
    <row r="695" spans="15:53" x14ac:dyDescent="0.35">
      <c r="O695" s="1" t="str" cm="1">
        <f t="array" ref="O695">IF($BA695="","",INDEX(tblServicios[Fecha],$BA695))</f>
        <v/>
      </c>
      <c r="P695" t="str" cm="1">
        <f t="array" ref="P695">IF($BA695="","",INDEX(tblServicios[Contrato],$BA695))</f>
        <v/>
      </c>
      <c r="Q695" t="str" cm="1">
        <f t="array" ref="Q695">IF($BA695="","",INDEX(tblServicios[Vehículo],$BA695))</f>
        <v/>
      </c>
      <c r="R695" s="34" t="str" cm="1">
        <f t="array" ref="R695">IF($BA695="","",INDEX(tblServicios[Base imponible (€)],$BA695)-INDEX(tblServicios[Imp. suplemento (€)],$BA695))</f>
        <v/>
      </c>
      <c r="S695" s="34" t="str" cm="1">
        <f t="array" ref="S695">IF($BA695="","",INDEX(tblServicios[Imp. suplemento (€)],$BA695))</f>
        <v/>
      </c>
      <c r="T695" t="str" cm="1">
        <f t="array" ref="T695">IF($BA695="","",INDEX(tblServicios[Tipo suplemento],$BA695))</f>
        <v/>
      </c>
      <c r="U695" s="2" t="str">
        <f t="shared" si="12"/>
        <v/>
      </c>
      <c r="V695" t="str" cm="1">
        <f t="array" ref="V695">IF($BA695="","",IF(INDEX(tblServicios[Conductor],$BA695)=$T$2,"Conductor",IF(INDEX(tblServicios[Personal adicional],$BA695)=$T$2,"Personal adicional","")))</f>
        <v/>
      </c>
      <c r="BA695" s="33" t="str" cm="1">
        <f t="array" ref="BA6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adicional]=$T$2))&gt;0)),ROW(A697)),"")</f>
        <v/>
      </c>
    </row>
    <row r="696" spans="15:53" x14ac:dyDescent="0.35">
      <c r="O696" s="1" t="str" cm="1">
        <f t="array" ref="O696">IF($BA696="","",INDEX(tblServicios[Fecha],$BA696))</f>
        <v/>
      </c>
      <c r="P696" t="str" cm="1">
        <f t="array" ref="P696">IF($BA696="","",INDEX(tblServicios[Contrato],$BA696))</f>
        <v/>
      </c>
      <c r="Q696" t="str" cm="1">
        <f t="array" ref="Q696">IF($BA696="","",INDEX(tblServicios[Vehículo],$BA696))</f>
        <v/>
      </c>
      <c r="R696" s="34" t="str" cm="1">
        <f t="array" ref="R696">IF($BA696="","",INDEX(tblServicios[Base imponible (€)],$BA696)-INDEX(tblServicios[Imp. suplemento (€)],$BA696))</f>
        <v/>
      </c>
      <c r="S696" s="34" t="str" cm="1">
        <f t="array" ref="S696">IF($BA696="","",INDEX(tblServicios[Imp. suplemento (€)],$BA696))</f>
        <v/>
      </c>
      <c r="T696" t="str" cm="1">
        <f t="array" ref="T696">IF($BA696="","",INDEX(tblServicios[Tipo suplemento],$BA696))</f>
        <v/>
      </c>
      <c r="U696" s="2" t="str">
        <f t="shared" si="12"/>
        <v/>
      </c>
      <c r="V696" t="str" cm="1">
        <f t="array" ref="V696">IF($BA696="","",IF(INDEX(tblServicios[Conductor],$BA696)=$T$2,"Conductor",IF(INDEX(tblServicios[Personal adicional],$BA696)=$T$2,"Personal adicional","")))</f>
        <v/>
      </c>
      <c r="BA696" s="33" t="str" cm="1">
        <f t="array" ref="BA6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adicional]=$T$2))&gt;0)),ROW(A698)),"")</f>
        <v/>
      </c>
    </row>
    <row r="697" spans="15:53" x14ac:dyDescent="0.35">
      <c r="O697" s="1" t="str" cm="1">
        <f t="array" ref="O697">IF($BA697="","",INDEX(tblServicios[Fecha],$BA697))</f>
        <v/>
      </c>
      <c r="P697" t="str" cm="1">
        <f t="array" ref="P697">IF($BA697="","",INDEX(tblServicios[Contrato],$BA697))</f>
        <v/>
      </c>
      <c r="Q697" t="str" cm="1">
        <f t="array" ref="Q697">IF($BA697="","",INDEX(tblServicios[Vehículo],$BA697))</f>
        <v/>
      </c>
      <c r="R697" s="34" t="str" cm="1">
        <f t="array" ref="R697">IF($BA697="","",INDEX(tblServicios[Base imponible (€)],$BA697)-INDEX(tblServicios[Imp. suplemento (€)],$BA697))</f>
        <v/>
      </c>
      <c r="S697" s="34" t="str" cm="1">
        <f t="array" ref="S697">IF($BA697="","",INDEX(tblServicios[Imp. suplemento (€)],$BA697))</f>
        <v/>
      </c>
      <c r="T697" t="str" cm="1">
        <f t="array" ref="T697">IF($BA697="","",INDEX(tblServicios[Tipo suplemento],$BA697))</f>
        <v/>
      </c>
      <c r="U697" s="2" t="str">
        <f t="shared" si="12"/>
        <v/>
      </c>
      <c r="V697" t="str" cm="1">
        <f t="array" ref="V697">IF($BA697="","",IF(INDEX(tblServicios[Conductor],$BA697)=$T$2,"Conductor",IF(INDEX(tblServicios[Personal adicional],$BA697)=$T$2,"Personal adicional","")))</f>
        <v/>
      </c>
      <c r="BA697" s="33" t="str" cm="1">
        <f t="array" ref="BA6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adicional]=$T$2))&gt;0)),ROW(A699)),"")</f>
        <v/>
      </c>
    </row>
    <row r="698" spans="15:53" x14ac:dyDescent="0.35">
      <c r="O698" s="1" t="str" cm="1">
        <f t="array" ref="O698">IF($BA698="","",INDEX(tblServicios[Fecha],$BA698))</f>
        <v/>
      </c>
      <c r="P698" t="str" cm="1">
        <f t="array" ref="P698">IF($BA698="","",INDEX(tblServicios[Contrato],$BA698))</f>
        <v/>
      </c>
      <c r="Q698" t="str" cm="1">
        <f t="array" ref="Q698">IF($BA698="","",INDEX(tblServicios[Vehículo],$BA698))</f>
        <v/>
      </c>
      <c r="R698" s="34" t="str" cm="1">
        <f t="array" ref="R698">IF($BA698="","",INDEX(tblServicios[Base imponible (€)],$BA698)-INDEX(tblServicios[Imp. suplemento (€)],$BA698))</f>
        <v/>
      </c>
      <c r="S698" s="34" t="str" cm="1">
        <f t="array" ref="S698">IF($BA698="","",INDEX(tblServicios[Imp. suplemento (€)],$BA698))</f>
        <v/>
      </c>
      <c r="T698" t="str" cm="1">
        <f t="array" ref="T698">IF($BA698="","",INDEX(tblServicios[Tipo suplemento],$BA698))</f>
        <v/>
      </c>
      <c r="U698" s="2" t="str">
        <f t="shared" si="12"/>
        <v/>
      </c>
      <c r="V698" t="str" cm="1">
        <f t="array" ref="V698">IF($BA698="","",IF(INDEX(tblServicios[Conductor],$BA698)=$T$2,"Conductor",IF(INDEX(tblServicios[Personal adicional],$BA698)=$T$2,"Personal adicional","")))</f>
        <v/>
      </c>
      <c r="BA698" s="33" t="str" cm="1">
        <f t="array" ref="BA6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adicional]=$T$2))&gt;0)),ROW(A700)),"")</f>
        <v/>
      </c>
    </row>
    <row r="699" spans="15:53" x14ac:dyDescent="0.35">
      <c r="O699" s="1" t="str" cm="1">
        <f t="array" ref="O699">IF($BA699="","",INDEX(tblServicios[Fecha],$BA699))</f>
        <v/>
      </c>
      <c r="P699" t="str" cm="1">
        <f t="array" ref="P699">IF($BA699="","",INDEX(tblServicios[Contrato],$BA699))</f>
        <v/>
      </c>
      <c r="Q699" t="str" cm="1">
        <f t="array" ref="Q699">IF($BA699="","",INDEX(tblServicios[Vehículo],$BA699))</f>
        <v/>
      </c>
      <c r="R699" s="34" t="str" cm="1">
        <f t="array" ref="R699">IF($BA699="","",INDEX(tblServicios[Base imponible (€)],$BA699)-INDEX(tblServicios[Imp. suplemento (€)],$BA699))</f>
        <v/>
      </c>
      <c r="S699" s="34" t="str" cm="1">
        <f t="array" ref="S699">IF($BA699="","",INDEX(tblServicios[Imp. suplemento (€)],$BA699))</f>
        <v/>
      </c>
      <c r="T699" t="str" cm="1">
        <f t="array" ref="T699">IF($BA699="","",INDEX(tblServicios[Tipo suplemento],$BA699))</f>
        <v/>
      </c>
      <c r="U699" s="2" t="str">
        <f t="shared" si="12"/>
        <v/>
      </c>
      <c r="V699" t="str" cm="1">
        <f t="array" ref="V699">IF($BA699="","",IF(INDEX(tblServicios[Conductor],$BA699)=$T$2,"Conductor",IF(INDEX(tblServicios[Personal adicional],$BA699)=$T$2,"Personal adicional","")))</f>
        <v/>
      </c>
      <c r="BA699" s="33" t="str" cm="1">
        <f t="array" ref="BA6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adicional]=$T$2))&gt;0)),ROW(A701)),"")</f>
        <v/>
      </c>
    </row>
    <row r="700" spans="15:53" x14ac:dyDescent="0.35">
      <c r="O700" s="1" t="str" cm="1">
        <f t="array" ref="O700">IF($BA700="","",INDEX(tblServicios[Fecha],$BA700))</f>
        <v/>
      </c>
      <c r="P700" t="str" cm="1">
        <f t="array" ref="P700">IF($BA700="","",INDEX(tblServicios[Contrato],$BA700))</f>
        <v/>
      </c>
      <c r="Q700" t="str" cm="1">
        <f t="array" ref="Q700">IF($BA700="","",INDEX(tblServicios[Vehículo],$BA700))</f>
        <v/>
      </c>
      <c r="R700" s="34" t="str" cm="1">
        <f t="array" ref="R700">IF($BA700="","",INDEX(tblServicios[Base imponible (€)],$BA700)-INDEX(tblServicios[Imp. suplemento (€)],$BA700))</f>
        <v/>
      </c>
      <c r="S700" s="34" t="str" cm="1">
        <f t="array" ref="S700">IF($BA700="","",INDEX(tblServicios[Imp. suplemento (€)],$BA700))</f>
        <v/>
      </c>
      <c r="T700" t="str" cm="1">
        <f t="array" ref="T700">IF($BA700="","",INDEX(tblServicios[Tipo suplemento],$BA700))</f>
        <v/>
      </c>
      <c r="U700" s="2" t="str">
        <f t="shared" si="12"/>
        <v/>
      </c>
      <c r="V700" t="str" cm="1">
        <f t="array" ref="V700">IF($BA700="","",IF(INDEX(tblServicios[Conductor],$BA700)=$T$2,"Conductor",IF(INDEX(tblServicios[Personal adicional],$BA700)=$T$2,"Personal adicional","")))</f>
        <v/>
      </c>
      <c r="BA700" s="33" t="str" cm="1">
        <f t="array" ref="BA7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adicional]=$T$2))&gt;0)),ROW(A702)),"")</f>
        <v/>
      </c>
    </row>
    <row r="701" spans="15:53" x14ac:dyDescent="0.35">
      <c r="O701" s="1" t="str" cm="1">
        <f t="array" ref="O701">IF($BA701="","",INDEX(tblServicios[Fecha],$BA701))</f>
        <v/>
      </c>
      <c r="P701" t="str" cm="1">
        <f t="array" ref="P701">IF($BA701="","",INDEX(tblServicios[Contrato],$BA701))</f>
        <v/>
      </c>
      <c r="Q701" t="str" cm="1">
        <f t="array" ref="Q701">IF($BA701="","",INDEX(tblServicios[Vehículo],$BA701))</f>
        <v/>
      </c>
      <c r="R701" s="34" t="str" cm="1">
        <f t="array" ref="R701">IF($BA701="","",INDEX(tblServicios[Base imponible (€)],$BA701)-INDEX(tblServicios[Imp. suplemento (€)],$BA701))</f>
        <v/>
      </c>
      <c r="S701" s="34" t="str" cm="1">
        <f t="array" ref="S701">IF($BA701="","",INDEX(tblServicios[Imp. suplemento (€)],$BA701))</f>
        <v/>
      </c>
      <c r="T701" t="str" cm="1">
        <f t="array" ref="T701">IF($BA701="","",INDEX(tblServicios[Tipo suplemento],$BA701))</f>
        <v/>
      </c>
      <c r="U701" s="2" t="str">
        <f t="shared" si="12"/>
        <v/>
      </c>
      <c r="V701" t="str" cm="1">
        <f t="array" ref="V701">IF($BA701="","",IF(INDEX(tblServicios[Conductor],$BA701)=$T$2,"Conductor",IF(INDEX(tblServicios[Personal adicional],$BA701)=$T$2,"Personal adicional","")))</f>
        <v/>
      </c>
      <c r="BA701" s="33" t="str" cm="1">
        <f t="array" ref="BA7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adicional]=$T$2))&gt;0)),ROW(A703)),"")</f>
        <v/>
      </c>
    </row>
    <row r="702" spans="15:53" x14ac:dyDescent="0.35">
      <c r="O702" s="1" t="str" cm="1">
        <f t="array" ref="O702">IF($BA702="","",INDEX(tblServicios[Fecha],$BA702))</f>
        <v/>
      </c>
      <c r="P702" t="str" cm="1">
        <f t="array" ref="P702">IF($BA702="","",INDEX(tblServicios[Contrato],$BA702))</f>
        <v/>
      </c>
      <c r="Q702" t="str" cm="1">
        <f t="array" ref="Q702">IF($BA702="","",INDEX(tblServicios[Vehículo],$BA702))</f>
        <v/>
      </c>
      <c r="R702" s="34" t="str" cm="1">
        <f t="array" ref="R702">IF($BA702="","",INDEX(tblServicios[Base imponible (€)],$BA702)-INDEX(tblServicios[Imp. suplemento (€)],$BA702))</f>
        <v/>
      </c>
      <c r="S702" s="34" t="str" cm="1">
        <f t="array" ref="S702">IF($BA702="","",INDEX(tblServicios[Imp. suplemento (€)],$BA702))</f>
        <v/>
      </c>
      <c r="T702" t="str" cm="1">
        <f t="array" ref="T702">IF($BA702="","",INDEX(tblServicios[Tipo suplemento],$BA702))</f>
        <v/>
      </c>
      <c r="U702" s="2" t="str">
        <f t="shared" si="12"/>
        <v/>
      </c>
      <c r="V702" t="str" cm="1">
        <f t="array" ref="V702">IF($BA702="","",IF(INDEX(tblServicios[Conductor],$BA702)=$T$2,"Conductor",IF(INDEX(tblServicios[Personal adicional],$BA702)=$T$2,"Personal adicional","")))</f>
        <v/>
      </c>
      <c r="BA702" s="33" t="str" cm="1">
        <f t="array" ref="BA7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adicional]=$T$2))&gt;0)),ROW(A704)),"")</f>
        <v/>
      </c>
    </row>
    <row r="703" spans="15:53" x14ac:dyDescent="0.35">
      <c r="O703" s="1" t="str" cm="1">
        <f t="array" ref="O703">IF($BA703="","",INDEX(tblServicios[Fecha],$BA703))</f>
        <v/>
      </c>
      <c r="P703" t="str" cm="1">
        <f t="array" ref="P703">IF($BA703="","",INDEX(tblServicios[Contrato],$BA703))</f>
        <v/>
      </c>
      <c r="Q703" t="str" cm="1">
        <f t="array" ref="Q703">IF($BA703="","",INDEX(tblServicios[Vehículo],$BA703))</f>
        <v/>
      </c>
      <c r="R703" s="34" t="str" cm="1">
        <f t="array" ref="R703">IF($BA703="","",INDEX(tblServicios[Base imponible (€)],$BA703)-INDEX(tblServicios[Imp. suplemento (€)],$BA703))</f>
        <v/>
      </c>
      <c r="S703" s="34" t="str" cm="1">
        <f t="array" ref="S703">IF($BA703="","",INDEX(tblServicios[Imp. suplemento (€)],$BA703))</f>
        <v/>
      </c>
      <c r="T703" t="str" cm="1">
        <f t="array" ref="T703">IF($BA703="","",INDEX(tblServicios[Tipo suplemento],$BA703))</f>
        <v/>
      </c>
      <c r="U703" s="2" t="str">
        <f t="shared" si="12"/>
        <v/>
      </c>
      <c r="V703" t="str" cm="1">
        <f t="array" ref="V703">IF($BA703="","",IF(INDEX(tblServicios[Conductor],$BA703)=$T$2,"Conductor",IF(INDEX(tblServicios[Personal adicional],$BA703)=$T$2,"Personal adicional","")))</f>
        <v/>
      </c>
      <c r="BA703" s="33" t="str" cm="1">
        <f t="array" ref="BA7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adicional]=$T$2))&gt;0)),ROW(A705)),"")</f>
        <v/>
      </c>
    </row>
    <row r="704" spans="15:53" x14ac:dyDescent="0.35">
      <c r="O704" s="1" t="str" cm="1">
        <f t="array" ref="O704">IF($BA704="","",INDEX(tblServicios[Fecha],$BA704))</f>
        <v/>
      </c>
      <c r="P704" t="str" cm="1">
        <f t="array" ref="P704">IF($BA704="","",INDEX(tblServicios[Contrato],$BA704))</f>
        <v/>
      </c>
      <c r="Q704" t="str" cm="1">
        <f t="array" ref="Q704">IF($BA704="","",INDEX(tblServicios[Vehículo],$BA704))</f>
        <v/>
      </c>
      <c r="R704" s="34" t="str" cm="1">
        <f t="array" ref="R704">IF($BA704="","",INDEX(tblServicios[Base imponible (€)],$BA704)-INDEX(tblServicios[Imp. suplemento (€)],$BA704))</f>
        <v/>
      </c>
      <c r="S704" s="34" t="str" cm="1">
        <f t="array" ref="S704">IF($BA704="","",INDEX(tblServicios[Imp. suplemento (€)],$BA704))</f>
        <v/>
      </c>
      <c r="T704" t="str" cm="1">
        <f t="array" ref="T704">IF($BA704="","",INDEX(tblServicios[Tipo suplemento],$BA704))</f>
        <v/>
      </c>
      <c r="U704" s="2" t="str">
        <f t="shared" si="12"/>
        <v/>
      </c>
      <c r="V704" t="str" cm="1">
        <f t="array" ref="V704">IF($BA704="","",IF(INDEX(tblServicios[Conductor],$BA704)=$T$2,"Conductor",IF(INDEX(tblServicios[Personal adicional],$BA704)=$T$2,"Personal adicional","")))</f>
        <v/>
      </c>
      <c r="BA704" s="33" t="str" cm="1">
        <f t="array" ref="BA7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adicional]=$T$2))&gt;0)),ROW(A706)),"")</f>
        <v/>
      </c>
    </row>
    <row r="705" spans="15:53" x14ac:dyDescent="0.35">
      <c r="O705" s="1" t="str" cm="1">
        <f t="array" ref="O705">IF($BA705="","",INDEX(tblServicios[Fecha],$BA705))</f>
        <v/>
      </c>
      <c r="P705" t="str" cm="1">
        <f t="array" ref="P705">IF($BA705="","",INDEX(tblServicios[Contrato],$BA705))</f>
        <v/>
      </c>
      <c r="Q705" t="str" cm="1">
        <f t="array" ref="Q705">IF($BA705="","",INDEX(tblServicios[Vehículo],$BA705))</f>
        <v/>
      </c>
      <c r="R705" s="34" t="str" cm="1">
        <f t="array" ref="R705">IF($BA705="","",INDEX(tblServicios[Base imponible (€)],$BA705)-INDEX(tblServicios[Imp. suplemento (€)],$BA705))</f>
        <v/>
      </c>
      <c r="S705" s="34" t="str" cm="1">
        <f t="array" ref="S705">IF($BA705="","",INDEX(tblServicios[Imp. suplemento (€)],$BA705))</f>
        <v/>
      </c>
      <c r="T705" t="str" cm="1">
        <f t="array" ref="T705">IF($BA705="","",INDEX(tblServicios[Tipo suplemento],$BA705))</f>
        <v/>
      </c>
      <c r="U705" s="2" t="str">
        <f t="shared" si="12"/>
        <v/>
      </c>
      <c r="V705" t="str" cm="1">
        <f t="array" ref="V705">IF($BA705="","",IF(INDEX(tblServicios[Conductor],$BA705)=$T$2,"Conductor",IF(INDEX(tblServicios[Personal adicional],$BA705)=$T$2,"Personal adicional","")))</f>
        <v/>
      </c>
      <c r="BA705" s="33" t="str" cm="1">
        <f t="array" ref="BA7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adicional]=$T$2))&gt;0)),ROW(A707)),"")</f>
        <v/>
      </c>
    </row>
    <row r="706" spans="15:53" x14ac:dyDescent="0.35">
      <c r="O706" s="1" t="str" cm="1">
        <f t="array" ref="O706">IF($BA706="","",INDEX(tblServicios[Fecha],$BA706))</f>
        <v/>
      </c>
      <c r="P706" t="str" cm="1">
        <f t="array" ref="P706">IF($BA706="","",INDEX(tblServicios[Contrato],$BA706))</f>
        <v/>
      </c>
      <c r="Q706" t="str" cm="1">
        <f t="array" ref="Q706">IF($BA706="","",INDEX(tblServicios[Vehículo],$BA706))</f>
        <v/>
      </c>
      <c r="R706" s="34" t="str" cm="1">
        <f t="array" ref="R706">IF($BA706="","",INDEX(tblServicios[Base imponible (€)],$BA706)-INDEX(tblServicios[Imp. suplemento (€)],$BA706))</f>
        <v/>
      </c>
      <c r="S706" s="34" t="str" cm="1">
        <f t="array" ref="S706">IF($BA706="","",INDEX(tblServicios[Imp. suplemento (€)],$BA706))</f>
        <v/>
      </c>
      <c r="T706" t="str" cm="1">
        <f t="array" ref="T706">IF($BA706="","",INDEX(tblServicios[Tipo suplemento],$BA706))</f>
        <v/>
      </c>
      <c r="U706" s="2" t="str">
        <f t="shared" si="12"/>
        <v/>
      </c>
      <c r="V706" t="str" cm="1">
        <f t="array" ref="V706">IF($BA706="","",IF(INDEX(tblServicios[Conductor],$BA706)=$T$2,"Conductor",IF(INDEX(tblServicios[Personal adicional],$BA706)=$T$2,"Personal adicional","")))</f>
        <v/>
      </c>
      <c r="BA706" s="33" t="str" cm="1">
        <f t="array" ref="BA7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adicional]=$T$2))&gt;0)),ROW(A708)),"")</f>
        <v/>
      </c>
    </row>
    <row r="707" spans="15:53" x14ac:dyDescent="0.35">
      <c r="O707" s="1" t="str" cm="1">
        <f t="array" ref="O707">IF($BA707="","",INDEX(tblServicios[Fecha],$BA707))</f>
        <v/>
      </c>
      <c r="P707" t="str" cm="1">
        <f t="array" ref="P707">IF($BA707="","",INDEX(tblServicios[Contrato],$BA707))</f>
        <v/>
      </c>
      <c r="Q707" t="str" cm="1">
        <f t="array" ref="Q707">IF($BA707="","",INDEX(tblServicios[Vehículo],$BA707))</f>
        <v/>
      </c>
      <c r="R707" s="34" t="str" cm="1">
        <f t="array" ref="R707">IF($BA707="","",INDEX(tblServicios[Base imponible (€)],$BA707)-INDEX(tblServicios[Imp. suplemento (€)],$BA707))</f>
        <v/>
      </c>
      <c r="S707" s="34" t="str" cm="1">
        <f t="array" ref="S707">IF($BA707="","",INDEX(tblServicios[Imp. suplemento (€)],$BA707))</f>
        <v/>
      </c>
      <c r="T707" t="str" cm="1">
        <f t="array" ref="T707">IF($BA707="","",INDEX(tblServicios[Tipo suplemento],$BA707))</f>
        <v/>
      </c>
      <c r="U707" s="2" t="str">
        <f t="shared" si="12"/>
        <v/>
      </c>
      <c r="V707" t="str" cm="1">
        <f t="array" ref="V707">IF($BA707="","",IF(INDEX(tblServicios[Conductor],$BA707)=$T$2,"Conductor",IF(INDEX(tblServicios[Personal adicional],$BA707)=$T$2,"Personal adicional","")))</f>
        <v/>
      </c>
      <c r="BA707" s="33" t="str" cm="1">
        <f t="array" ref="BA7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adicional]=$T$2))&gt;0)),ROW(A709)),"")</f>
        <v/>
      </c>
    </row>
    <row r="708" spans="15:53" x14ac:dyDescent="0.35">
      <c r="O708" s="1" t="str" cm="1">
        <f t="array" ref="O708">IF($BA708="","",INDEX(tblServicios[Fecha],$BA708))</f>
        <v/>
      </c>
      <c r="P708" t="str" cm="1">
        <f t="array" ref="P708">IF($BA708="","",INDEX(tblServicios[Contrato],$BA708))</f>
        <v/>
      </c>
      <c r="Q708" t="str" cm="1">
        <f t="array" ref="Q708">IF($BA708="","",INDEX(tblServicios[Vehículo],$BA708))</f>
        <v/>
      </c>
      <c r="R708" s="34" t="str" cm="1">
        <f t="array" ref="R708">IF($BA708="","",INDEX(tblServicios[Base imponible (€)],$BA708)-INDEX(tblServicios[Imp. suplemento (€)],$BA708))</f>
        <v/>
      </c>
      <c r="S708" s="34" t="str" cm="1">
        <f t="array" ref="S708">IF($BA708="","",INDEX(tblServicios[Imp. suplemento (€)],$BA708))</f>
        <v/>
      </c>
      <c r="T708" t="str" cm="1">
        <f t="array" ref="T708">IF($BA708="","",INDEX(tblServicios[Tipo suplemento],$BA708))</f>
        <v/>
      </c>
      <c r="U708" s="2" t="str">
        <f t="shared" si="12"/>
        <v/>
      </c>
      <c r="V708" t="str" cm="1">
        <f t="array" ref="V708">IF($BA708="","",IF(INDEX(tblServicios[Conductor],$BA708)=$T$2,"Conductor",IF(INDEX(tblServicios[Personal adicional],$BA708)=$T$2,"Personal adicional","")))</f>
        <v/>
      </c>
      <c r="BA708" s="33" t="str" cm="1">
        <f t="array" ref="BA7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adicional]=$T$2))&gt;0)),ROW(A710)),"")</f>
        <v/>
      </c>
    </row>
    <row r="709" spans="15:53" x14ac:dyDescent="0.35">
      <c r="O709" s="1" t="str" cm="1">
        <f t="array" ref="O709">IF($BA709="","",INDEX(tblServicios[Fecha],$BA709))</f>
        <v/>
      </c>
      <c r="P709" t="str" cm="1">
        <f t="array" ref="P709">IF($BA709="","",INDEX(tblServicios[Contrato],$BA709))</f>
        <v/>
      </c>
      <c r="Q709" t="str" cm="1">
        <f t="array" ref="Q709">IF($BA709="","",INDEX(tblServicios[Vehículo],$BA709))</f>
        <v/>
      </c>
      <c r="R709" s="34" t="str" cm="1">
        <f t="array" ref="R709">IF($BA709="","",INDEX(tblServicios[Base imponible (€)],$BA709)-INDEX(tblServicios[Imp. suplemento (€)],$BA709))</f>
        <v/>
      </c>
      <c r="S709" s="34" t="str" cm="1">
        <f t="array" ref="S709">IF($BA709="","",INDEX(tblServicios[Imp. suplemento (€)],$BA709))</f>
        <v/>
      </c>
      <c r="T709" t="str" cm="1">
        <f t="array" ref="T709">IF($BA709="","",INDEX(tblServicios[Tipo suplemento],$BA709))</f>
        <v/>
      </c>
      <c r="U709" s="2" t="str">
        <f t="shared" si="12"/>
        <v/>
      </c>
      <c r="V709" t="str" cm="1">
        <f t="array" ref="V709">IF($BA709="","",IF(INDEX(tblServicios[Conductor],$BA709)=$T$2,"Conductor",IF(INDEX(tblServicios[Personal adicional],$BA709)=$T$2,"Personal adicional","")))</f>
        <v/>
      </c>
      <c r="BA709" s="33" t="str" cm="1">
        <f t="array" ref="BA7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adicional]=$T$2))&gt;0)),ROW(A711)),"")</f>
        <v/>
      </c>
    </row>
    <row r="710" spans="15:53" x14ac:dyDescent="0.35">
      <c r="O710" s="1" t="str" cm="1">
        <f t="array" ref="O710">IF($BA710="","",INDEX(tblServicios[Fecha],$BA710))</f>
        <v/>
      </c>
      <c r="P710" t="str" cm="1">
        <f t="array" ref="P710">IF($BA710="","",INDEX(tblServicios[Contrato],$BA710))</f>
        <v/>
      </c>
      <c r="Q710" t="str" cm="1">
        <f t="array" ref="Q710">IF($BA710="","",INDEX(tblServicios[Vehículo],$BA710))</f>
        <v/>
      </c>
      <c r="R710" s="34" t="str" cm="1">
        <f t="array" ref="R710">IF($BA710="","",INDEX(tblServicios[Base imponible (€)],$BA710)-INDEX(tblServicios[Imp. suplemento (€)],$BA710))</f>
        <v/>
      </c>
      <c r="S710" s="34" t="str" cm="1">
        <f t="array" ref="S710">IF($BA710="","",INDEX(tblServicios[Imp. suplemento (€)],$BA710))</f>
        <v/>
      </c>
      <c r="T710" t="str" cm="1">
        <f t="array" ref="T710">IF($BA710="","",INDEX(tblServicios[Tipo suplemento],$BA710))</f>
        <v/>
      </c>
      <c r="U710" s="2" t="str">
        <f t="shared" si="12"/>
        <v/>
      </c>
      <c r="V710" t="str" cm="1">
        <f t="array" ref="V710">IF($BA710="","",IF(INDEX(tblServicios[Conductor],$BA710)=$T$2,"Conductor",IF(INDEX(tblServicios[Personal adicional],$BA710)=$T$2,"Personal adicional","")))</f>
        <v/>
      </c>
      <c r="BA710" s="33" t="str" cm="1">
        <f t="array" ref="BA7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adicional]=$T$2))&gt;0)),ROW(A712)),"")</f>
        <v/>
      </c>
    </row>
    <row r="711" spans="15:53" x14ac:dyDescent="0.35">
      <c r="O711" s="1" t="str" cm="1">
        <f t="array" ref="O711">IF($BA711="","",INDEX(tblServicios[Fecha],$BA711))</f>
        <v/>
      </c>
      <c r="P711" t="str" cm="1">
        <f t="array" ref="P711">IF($BA711="","",INDEX(tblServicios[Contrato],$BA711))</f>
        <v/>
      </c>
      <c r="Q711" t="str" cm="1">
        <f t="array" ref="Q711">IF($BA711="","",INDEX(tblServicios[Vehículo],$BA711))</f>
        <v/>
      </c>
      <c r="R711" s="34" t="str" cm="1">
        <f t="array" ref="R711">IF($BA711="","",INDEX(tblServicios[Base imponible (€)],$BA711)-INDEX(tblServicios[Imp. suplemento (€)],$BA711))</f>
        <v/>
      </c>
      <c r="S711" s="34" t="str" cm="1">
        <f t="array" ref="S711">IF($BA711="","",INDEX(tblServicios[Imp. suplemento (€)],$BA711))</f>
        <v/>
      </c>
      <c r="T711" t="str" cm="1">
        <f t="array" ref="T711">IF($BA711="","",INDEX(tblServicios[Tipo suplemento],$BA711))</f>
        <v/>
      </c>
      <c r="U711" s="2" t="str">
        <f t="shared" ref="U711:U774" si="13">IF($BA711="","",R711+S711)</f>
        <v/>
      </c>
      <c r="V711" t="str" cm="1">
        <f t="array" ref="V711">IF($BA711="","",IF(INDEX(tblServicios[Conductor],$BA711)=$T$2,"Conductor",IF(INDEX(tblServicios[Personal adicional],$BA711)=$T$2,"Personal adicional","")))</f>
        <v/>
      </c>
      <c r="BA711" s="33" t="str" cm="1">
        <f t="array" ref="BA7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adicional]=$T$2))&gt;0)),ROW(A713)),"")</f>
        <v/>
      </c>
    </row>
    <row r="712" spans="15:53" x14ac:dyDescent="0.35">
      <c r="O712" s="1" t="str" cm="1">
        <f t="array" ref="O712">IF($BA712="","",INDEX(tblServicios[Fecha],$BA712))</f>
        <v/>
      </c>
      <c r="P712" t="str" cm="1">
        <f t="array" ref="P712">IF($BA712="","",INDEX(tblServicios[Contrato],$BA712))</f>
        <v/>
      </c>
      <c r="Q712" t="str" cm="1">
        <f t="array" ref="Q712">IF($BA712="","",INDEX(tblServicios[Vehículo],$BA712))</f>
        <v/>
      </c>
      <c r="R712" s="34" t="str" cm="1">
        <f t="array" ref="R712">IF($BA712="","",INDEX(tblServicios[Base imponible (€)],$BA712)-INDEX(tblServicios[Imp. suplemento (€)],$BA712))</f>
        <v/>
      </c>
      <c r="S712" s="34" t="str" cm="1">
        <f t="array" ref="S712">IF($BA712="","",INDEX(tblServicios[Imp. suplemento (€)],$BA712))</f>
        <v/>
      </c>
      <c r="T712" t="str" cm="1">
        <f t="array" ref="T712">IF($BA712="","",INDEX(tblServicios[Tipo suplemento],$BA712))</f>
        <v/>
      </c>
      <c r="U712" s="2" t="str">
        <f t="shared" si="13"/>
        <v/>
      </c>
      <c r="V712" t="str" cm="1">
        <f t="array" ref="V712">IF($BA712="","",IF(INDEX(tblServicios[Conductor],$BA712)=$T$2,"Conductor",IF(INDEX(tblServicios[Personal adicional],$BA712)=$T$2,"Personal adicional","")))</f>
        <v/>
      </c>
      <c r="BA712" s="33" t="str" cm="1">
        <f t="array" ref="BA7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adicional]=$T$2))&gt;0)),ROW(A714)),"")</f>
        <v/>
      </c>
    </row>
    <row r="713" spans="15:53" x14ac:dyDescent="0.35">
      <c r="O713" s="1" t="str" cm="1">
        <f t="array" ref="O713">IF($BA713="","",INDEX(tblServicios[Fecha],$BA713))</f>
        <v/>
      </c>
      <c r="P713" t="str" cm="1">
        <f t="array" ref="P713">IF($BA713="","",INDEX(tblServicios[Contrato],$BA713))</f>
        <v/>
      </c>
      <c r="Q713" t="str" cm="1">
        <f t="array" ref="Q713">IF($BA713="","",INDEX(tblServicios[Vehículo],$BA713))</f>
        <v/>
      </c>
      <c r="R713" s="34" t="str" cm="1">
        <f t="array" ref="R713">IF($BA713="","",INDEX(tblServicios[Base imponible (€)],$BA713)-INDEX(tblServicios[Imp. suplemento (€)],$BA713))</f>
        <v/>
      </c>
      <c r="S713" s="34" t="str" cm="1">
        <f t="array" ref="S713">IF($BA713="","",INDEX(tblServicios[Imp. suplemento (€)],$BA713))</f>
        <v/>
      </c>
      <c r="T713" t="str" cm="1">
        <f t="array" ref="T713">IF($BA713="","",INDEX(tblServicios[Tipo suplemento],$BA713))</f>
        <v/>
      </c>
      <c r="U713" s="2" t="str">
        <f t="shared" si="13"/>
        <v/>
      </c>
      <c r="V713" t="str" cm="1">
        <f t="array" ref="V713">IF($BA713="","",IF(INDEX(tblServicios[Conductor],$BA713)=$T$2,"Conductor",IF(INDEX(tblServicios[Personal adicional],$BA713)=$T$2,"Personal adicional","")))</f>
        <v/>
      </c>
      <c r="BA713" s="33" t="str" cm="1">
        <f t="array" ref="BA7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adicional]=$T$2))&gt;0)),ROW(A715)),"")</f>
        <v/>
      </c>
    </row>
    <row r="714" spans="15:53" x14ac:dyDescent="0.35">
      <c r="O714" s="1" t="str" cm="1">
        <f t="array" ref="O714">IF($BA714="","",INDEX(tblServicios[Fecha],$BA714))</f>
        <v/>
      </c>
      <c r="P714" t="str" cm="1">
        <f t="array" ref="P714">IF($BA714="","",INDEX(tblServicios[Contrato],$BA714))</f>
        <v/>
      </c>
      <c r="Q714" t="str" cm="1">
        <f t="array" ref="Q714">IF($BA714="","",INDEX(tblServicios[Vehículo],$BA714))</f>
        <v/>
      </c>
      <c r="R714" s="34" t="str" cm="1">
        <f t="array" ref="R714">IF($BA714="","",INDEX(tblServicios[Base imponible (€)],$BA714)-INDEX(tblServicios[Imp. suplemento (€)],$BA714))</f>
        <v/>
      </c>
      <c r="S714" s="34" t="str" cm="1">
        <f t="array" ref="S714">IF($BA714="","",INDEX(tblServicios[Imp. suplemento (€)],$BA714))</f>
        <v/>
      </c>
      <c r="T714" t="str" cm="1">
        <f t="array" ref="T714">IF($BA714="","",INDEX(tblServicios[Tipo suplemento],$BA714))</f>
        <v/>
      </c>
      <c r="U714" s="2" t="str">
        <f t="shared" si="13"/>
        <v/>
      </c>
      <c r="V714" t="str" cm="1">
        <f t="array" ref="V714">IF($BA714="","",IF(INDEX(tblServicios[Conductor],$BA714)=$T$2,"Conductor",IF(INDEX(tblServicios[Personal adicional],$BA714)=$T$2,"Personal adicional","")))</f>
        <v/>
      </c>
      <c r="BA714" s="33" t="str" cm="1">
        <f t="array" ref="BA7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adicional]=$T$2))&gt;0)),ROW(A716)),"")</f>
        <v/>
      </c>
    </row>
    <row r="715" spans="15:53" x14ac:dyDescent="0.35">
      <c r="O715" s="1" t="str" cm="1">
        <f t="array" ref="O715">IF($BA715="","",INDEX(tblServicios[Fecha],$BA715))</f>
        <v/>
      </c>
      <c r="P715" t="str" cm="1">
        <f t="array" ref="P715">IF($BA715="","",INDEX(tblServicios[Contrato],$BA715))</f>
        <v/>
      </c>
      <c r="Q715" t="str" cm="1">
        <f t="array" ref="Q715">IF($BA715="","",INDEX(tblServicios[Vehículo],$BA715))</f>
        <v/>
      </c>
      <c r="R715" s="34" t="str" cm="1">
        <f t="array" ref="R715">IF($BA715="","",INDEX(tblServicios[Base imponible (€)],$BA715)-INDEX(tblServicios[Imp. suplemento (€)],$BA715))</f>
        <v/>
      </c>
      <c r="S715" s="34" t="str" cm="1">
        <f t="array" ref="S715">IF($BA715="","",INDEX(tblServicios[Imp. suplemento (€)],$BA715))</f>
        <v/>
      </c>
      <c r="T715" t="str" cm="1">
        <f t="array" ref="T715">IF($BA715="","",INDEX(tblServicios[Tipo suplemento],$BA715))</f>
        <v/>
      </c>
      <c r="U715" s="2" t="str">
        <f t="shared" si="13"/>
        <v/>
      </c>
      <c r="V715" t="str" cm="1">
        <f t="array" ref="V715">IF($BA715="","",IF(INDEX(tblServicios[Conductor],$BA715)=$T$2,"Conductor",IF(INDEX(tblServicios[Personal adicional],$BA715)=$T$2,"Personal adicional","")))</f>
        <v/>
      </c>
      <c r="BA715" s="33" t="str" cm="1">
        <f t="array" ref="BA7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adicional]=$T$2))&gt;0)),ROW(A717)),"")</f>
        <v/>
      </c>
    </row>
    <row r="716" spans="15:53" x14ac:dyDescent="0.35">
      <c r="O716" s="1" t="str" cm="1">
        <f t="array" ref="O716">IF($BA716="","",INDEX(tblServicios[Fecha],$BA716))</f>
        <v/>
      </c>
      <c r="P716" t="str" cm="1">
        <f t="array" ref="P716">IF($BA716="","",INDEX(tblServicios[Contrato],$BA716))</f>
        <v/>
      </c>
      <c r="Q716" t="str" cm="1">
        <f t="array" ref="Q716">IF($BA716="","",INDEX(tblServicios[Vehículo],$BA716))</f>
        <v/>
      </c>
      <c r="R716" s="34" t="str" cm="1">
        <f t="array" ref="R716">IF($BA716="","",INDEX(tblServicios[Base imponible (€)],$BA716)-INDEX(tblServicios[Imp. suplemento (€)],$BA716))</f>
        <v/>
      </c>
      <c r="S716" s="34" t="str" cm="1">
        <f t="array" ref="S716">IF($BA716="","",INDEX(tblServicios[Imp. suplemento (€)],$BA716))</f>
        <v/>
      </c>
      <c r="T716" t="str" cm="1">
        <f t="array" ref="T716">IF($BA716="","",INDEX(tblServicios[Tipo suplemento],$BA716))</f>
        <v/>
      </c>
      <c r="U716" s="2" t="str">
        <f t="shared" si="13"/>
        <v/>
      </c>
      <c r="V716" t="str" cm="1">
        <f t="array" ref="V716">IF($BA716="","",IF(INDEX(tblServicios[Conductor],$BA716)=$T$2,"Conductor",IF(INDEX(tblServicios[Personal adicional],$BA716)=$T$2,"Personal adicional","")))</f>
        <v/>
      </c>
      <c r="BA716" s="33" t="str" cm="1">
        <f t="array" ref="BA7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adicional]=$T$2))&gt;0)),ROW(A718)),"")</f>
        <v/>
      </c>
    </row>
    <row r="717" spans="15:53" x14ac:dyDescent="0.35">
      <c r="O717" s="1" t="str" cm="1">
        <f t="array" ref="O717">IF($BA717="","",INDEX(tblServicios[Fecha],$BA717))</f>
        <v/>
      </c>
      <c r="P717" t="str" cm="1">
        <f t="array" ref="P717">IF($BA717="","",INDEX(tblServicios[Contrato],$BA717))</f>
        <v/>
      </c>
      <c r="Q717" t="str" cm="1">
        <f t="array" ref="Q717">IF($BA717="","",INDEX(tblServicios[Vehículo],$BA717))</f>
        <v/>
      </c>
      <c r="R717" s="34" t="str" cm="1">
        <f t="array" ref="R717">IF($BA717="","",INDEX(tblServicios[Base imponible (€)],$BA717)-INDEX(tblServicios[Imp. suplemento (€)],$BA717))</f>
        <v/>
      </c>
      <c r="S717" s="34" t="str" cm="1">
        <f t="array" ref="S717">IF($BA717="","",INDEX(tblServicios[Imp. suplemento (€)],$BA717))</f>
        <v/>
      </c>
      <c r="T717" t="str" cm="1">
        <f t="array" ref="T717">IF($BA717="","",INDEX(tblServicios[Tipo suplemento],$BA717))</f>
        <v/>
      </c>
      <c r="U717" s="2" t="str">
        <f t="shared" si="13"/>
        <v/>
      </c>
      <c r="V717" t="str" cm="1">
        <f t="array" ref="V717">IF($BA717="","",IF(INDEX(tblServicios[Conductor],$BA717)=$T$2,"Conductor",IF(INDEX(tblServicios[Personal adicional],$BA717)=$T$2,"Personal adicional","")))</f>
        <v/>
      </c>
      <c r="BA717" s="33" t="str" cm="1">
        <f t="array" ref="BA7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adicional]=$T$2))&gt;0)),ROW(A719)),"")</f>
        <v/>
      </c>
    </row>
    <row r="718" spans="15:53" x14ac:dyDescent="0.35">
      <c r="O718" s="1" t="str" cm="1">
        <f t="array" ref="O718">IF($BA718="","",INDEX(tblServicios[Fecha],$BA718))</f>
        <v/>
      </c>
      <c r="P718" t="str" cm="1">
        <f t="array" ref="P718">IF($BA718="","",INDEX(tblServicios[Contrato],$BA718))</f>
        <v/>
      </c>
      <c r="Q718" t="str" cm="1">
        <f t="array" ref="Q718">IF($BA718="","",INDEX(tblServicios[Vehículo],$BA718))</f>
        <v/>
      </c>
      <c r="R718" s="34" t="str" cm="1">
        <f t="array" ref="R718">IF($BA718="","",INDEX(tblServicios[Base imponible (€)],$BA718)-INDEX(tblServicios[Imp. suplemento (€)],$BA718))</f>
        <v/>
      </c>
      <c r="S718" s="34" t="str" cm="1">
        <f t="array" ref="S718">IF($BA718="","",INDEX(tblServicios[Imp. suplemento (€)],$BA718))</f>
        <v/>
      </c>
      <c r="T718" t="str" cm="1">
        <f t="array" ref="T718">IF($BA718="","",INDEX(tblServicios[Tipo suplemento],$BA718))</f>
        <v/>
      </c>
      <c r="U718" s="2" t="str">
        <f t="shared" si="13"/>
        <v/>
      </c>
      <c r="V718" t="str" cm="1">
        <f t="array" ref="V718">IF($BA718="","",IF(INDEX(tblServicios[Conductor],$BA718)=$T$2,"Conductor",IF(INDEX(tblServicios[Personal adicional],$BA718)=$T$2,"Personal adicional","")))</f>
        <v/>
      </c>
      <c r="BA718" s="33" t="str" cm="1">
        <f t="array" ref="BA7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adicional]=$T$2))&gt;0)),ROW(A720)),"")</f>
        <v/>
      </c>
    </row>
    <row r="719" spans="15:53" x14ac:dyDescent="0.35">
      <c r="O719" s="1" t="str" cm="1">
        <f t="array" ref="O719">IF($BA719="","",INDEX(tblServicios[Fecha],$BA719))</f>
        <v/>
      </c>
      <c r="P719" t="str" cm="1">
        <f t="array" ref="P719">IF($BA719="","",INDEX(tblServicios[Contrato],$BA719))</f>
        <v/>
      </c>
      <c r="Q719" t="str" cm="1">
        <f t="array" ref="Q719">IF($BA719="","",INDEX(tblServicios[Vehículo],$BA719))</f>
        <v/>
      </c>
      <c r="R719" s="34" t="str" cm="1">
        <f t="array" ref="R719">IF($BA719="","",INDEX(tblServicios[Base imponible (€)],$BA719)-INDEX(tblServicios[Imp. suplemento (€)],$BA719))</f>
        <v/>
      </c>
      <c r="S719" s="34" t="str" cm="1">
        <f t="array" ref="S719">IF($BA719="","",INDEX(tblServicios[Imp. suplemento (€)],$BA719))</f>
        <v/>
      </c>
      <c r="T719" t="str" cm="1">
        <f t="array" ref="T719">IF($BA719="","",INDEX(tblServicios[Tipo suplemento],$BA719))</f>
        <v/>
      </c>
      <c r="U719" s="2" t="str">
        <f t="shared" si="13"/>
        <v/>
      </c>
      <c r="V719" t="str" cm="1">
        <f t="array" ref="V719">IF($BA719="","",IF(INDEX(tblServicios[Conductor],$BA719)=$T$2,"Conductor",IF(INDEX(tblServicios[Personal adicional],$BA719)=$T$2,"Personal adicional","")))</f>
        <v/>
      </c>
      <c r="BA719" s="33" t="str" cm="1">
        <f t="array" ref="BA7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adicional]=$T$2))&gt;0)),ROW(A721)),"")</f>
        <v/>
      </c>
    </row>
    <row r="720" spans="15:53" x14ac:dyDescent="0.35">
      <c r="O720" s="1" t="str" cm="1">
        <f t="array" ref="O720">IF($BA720="","",INDEX(tblServicios[Fecha],$BA720))</f>
        <v/>
      </c>
      <c r="P720" t="str" cm="1">
        <f t="array" ref="P720">IF($BA720="","",INDEX(tblServicios[Contrato],$BA720))</f>
        <v/>
      </c>
      <c r="Q720" t="str" cm="1">
        <f t="array" ref="Q720">IF($BA720="","",INDEX(tblServicios[Vehículo],$BA720))</f>
        <v/>
      </c>
      <c r="R720" s="34" t="str" cm="1">
        <f t="array" ref="R720">IF($BA720="","",INDEX(tblServicios[Base imponible (€)],$BA720)-INDEX(tblServicios[Imp. suplemento (€)],$BA720))</f>
        <v/>
      </c>
      <c r="S720" s="34" t="str" cm="1">
        <f t="array" ref="S720">IF($BA720="","",INDEX(tblServicios[Imp. suplemento (€)],$BA720))</f>
        <v/>
      </c>
      <c r="T720" t="str" cm="1">
        <f t="array" ref="T720">IF($BA720="","",INDEX(tblServicios[Tipo suplemento],$BA720))</f>
        <v/>
      </c>
      <c r="U720" s="2" t="str">
        <f t="shared" si="13"/>
        <v/>
      </c>
      <c r="V720" t="str" cm="1">
        <f t="array" ref="V720">IF($BA720="","",IF(INDEX(tblServicios[Conductor],$BA720)=$T$2,"Conductor",IF(INDEX(tblServicios[Personal adicional],$BA720)=$T$2,"Personal adicional","")))</f>
        <v/>
      </c>
      <c r="BA720" s="33" t="str" cm="1">
        <f t="array" ref="BA7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adicional]=$T$2))&gt;0)),ROW(A722)),"")</f>
        <v/>
      </c>
    </row>
    <row r="721" spans="15:53" x14ac:dyDescent="0.35">
      <c r="O721" s="1" t="str" cm="1">
        <f t="array" ref="O721">IF($BA721="","",INDEX(tblServicios[Fecha],$BA721))</f>
        <v/>
      </c>
      <c r="P721" t="str" cm="1">
        <f t="array" ref="P721">IF($BA721="","",INDEX(tblServicios[Contrato],$BA721))</f>
        <v/>
      </c>
      <c r="Q721" t="str" cm="1">
        <f t="array" ref="Q721">IF($BA721="","",INDEX(tblServicios[Vehículo],$BA721))</f>
        <v/>
      </c>
      <c r="R721" s="34" t="str" cm="1">
        <f t="array" ref="R721">IF($BA721="","",INDEX(tblServicios[Base imponible (€)],$BA721)-INDEX(tblServicios[Imp. suplemento (€)],$BA721))</f>
        <v/>
      </c>
      <c r="S721" s="34" t="str" cm="1">
        <f t="array" ref="S721">IF($BA721="","",INDEX(tblServicios[Imp. suplemento (€)],$BA721))</f>
        <v/>
      </c>
      <c r="T721" t="str" cm="1">
        <f t="array" ref="T721">IF($BA721="","",INDEX(tblServicios[Tipo suplemento],$BA721))</f>
        <v/>
      </c>
      <c r="U721" s="2" t="str">
        <f t="shared" si="13"/>
        <v/>
      </c>
      <c r="V721" t="str" cm="1">
        <f t="array" ref="V721">IF($BA721="","",IF(INDEX(tblServicios[Conductor],$BA721)=$T$2,"Conductor",IF(INDEX(tblServicios[Personal adicional],$BA721)=$T$2,"Personal adicional","")))</f>
        <v/>
      </c>
      <c r="BA721" s="33" t="str" cm="1">
        <f t="array" ref="BA7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adicional]=$T$2))&gt;0)),ROW(A723)),"")</f>
        <v/>
      </c>
    </row>
    <row r="722" spans="15:53" x14ac:dyDescent="0.35">
      <c r="O722" s="1" t="str" cm="1">
        <f t="array" ref="O722">IF($BA722="","",INDEX(tblServicios[Fecha],$BA722))</f>
        <v/>
      </c>
      <c r="P722" t="str" cm="1">
        <f t="array" ref="P722">IF($BA722="","",INDEX(tblServicios[Contrato],$BA722))</f>
        <v/>
      </c>
      <c r="Q722" t="str" cm="1">
        <f t="array" ref="Q722">IF($BA722="","",INDEX(tblServicios[Vehículo],$BA722))</f>
        <v/>
      </c>
      <c r="R722" s="34" t="str" cm="1">
        <f t="array" ref="R722">IF($BA722="","",INDEX(tblServicios[Base imponible (€)],$BA722)-INDEX(tblServicios[Imp. suplemento (€)],$BA722))</f>
        <v/>
      </c>
      <c r="S722" s="34" t="str" cm="1">
        <f t="array" ref="S722">IF($BA722="","",INDEX(tblServicios[Imp. suplemento (€)],$BA722))</f>
        <v/>
      </c>
      <c r="T722" t="str" cm="1">
        <f t="array" ref="T722">IF($BA722="","",INDEX(tblServicios[Tipo suplemento],$BA722))</f>
        <v/>
      </c>
      <c r="U722" s="2" t="str">
        <f t="shared" si="13"/>
        <v/>
      </c>
      <c r="V722" t="str" cm="1">
        <f t="array" ref="V722">IF($BA722="","",IF(INDEX(tblServicios[Conductor],$BA722)=$T$2,"Conductor",IF(INDEX(tblServicios[Personal adicional],$BA722)=$T$2,"Personal adicional","")))</f>
        <v/>
      </c>
      <c r="BA722" s="33" t="str" cm="1">
        <f t="array" ref="BA7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adicional]=$T$2))&gt;0)),ROW(A724)),"")</f>
        <v/>
      </c>
    </row>
    <row r="723" spans="15:53" x14ac:dyDescent="0.35">
      <c r="O723" s="1" t="str" cm="1">
        <f t="array" ref="O723">IF($BA723="","",INDEX(tblServicios[Fecha],$BA723))</f>
        <v/>
      </c>
      <c r="P723" t="str" cm="1">
        <f t="array" ref="P723">IF($BA723="","",INDEX(tblServicios[Contrato],$BA723))</f>
        <v/>
      </c>
      <c r="Q723" t="str" cm="1">
        <f t="array" ref="Q723">IF($BA723="","",INDEX(tblServicios[Vehículo],$BA723))</f>
        <v/>
      </c>
      <c r="R723" s="34" t="str" cm="1">
        <f t="array" ref="R723">IF($BA723="","",INDEX(tblServicios[Base imponible (€)],$BA723)-INDEX(tblServicios[Imp. suplemento (€)],$BA723))</f>
        <v/>
      </c>
      <c r="S723" s="34" t="str" cm="1">
        <f t="array" ref="S723">IF($BA723="","",INDEX(tblServicios[Imp. suplemento (€)],$BA723))</f>
        <v/>
      </c>
      <c r="T723" t="str" cm="1">
        <f t="array" ref="T723">IF($BA723="","",INDEX(tblServicios[Tipo suplemento],$BA723))</f>
        <v/>
      </c>
      <c r="U723" s="2" t="str">
        <f t="shared" si="13"/>
        <v/>
      </c>
      <c r="V723" t="str" cm="1">
        <f t="array" ref="V723">IF($BA723="","",IF(INDEX(tblServicios[Conductor],$BA723)=$T$2,"Conductor",IF(INDEX(tblServicios[Personal adicional],$BA723)=$T$2,"Personal adicional","")))</f>
        <v/>
      </c>
      <c r="BA723" s="33" t="str" cm="1">
        <f t="array" ref="BA7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adicional]=$T$2))&gt;0)),ROW(A725)),"")</f>
        <v/>
      </c>
    </row>
    <row r="724" spans="15:53" x14ac:dyDescent="0.35">
      <c r="O724" s="1" t="str" cm="1">
        <f t="array" ref="O724">IF($BA724="","",INDEX(tblServicios[Fecha],$BA724))</f>
        <v/>
      </c>
      <c r="P724" t="str" cm="1">
        <f t="array" ref="P724">IF($BA724="","",INDEX(tblServicios[Contrato],$BA724))</f>
        <v/>
      </c>
      <c r="Q724" t="str" cm="1">
        <f t="array" ref="Q724">IF($BA724="","",INDEX(tblServicios[Vehículo],$BA724))</f>
        <v/>
      </c>
      <c r="R724" s="34" t="str" cm="1">
        <f t="array" ref="R724">IF($BA724="","",INDEX(tblServicios[Base imponible (€)],$BA724)-INDEX(tblServicios[Imp. suplemento (€)],$BA724))</f>
        <v/>
      </c>
      <c r="S724" s="34" t="str" cm="1">
        <f t="array" ref="S724">IF($BA724="","",INDEX(tblServicios[Imp. suplemento (€)],$BA724))</f>
        <v/>
      </c>
      <c r="T724" t="str" cm="1">
        <f t="array" ref="T724">IF($BA724="","",INDEX(tblServicios[Tipo suplemento],$BA724))</f>
        <v/>
      </c>
      <c r="U724" s="2" t="str">
        <f t="shared" si="13"/>
        <v/>
      </c>
      <c r="V724" t="str" cm="1">
        <f t="array" ref="V724">IF($BA724="","",IF(INDEX(tblServicios[Conductor],$BA724)=$T$2,"Conductor",IF(INDEX(tblServicios[Personal adicional],$BA724)=$T$2,"Personal adicional","")))</f>
        <v/>
      </c>
      <c r="BA724" s="33" t="str" cm="1">
        <f t="array" ref="BA7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adicional]=$T$2))&gt;0)),ROW(A726)),"")</f>
        <v/>
      </c>
    </row>
    <row r="725" spans="15:53" x14ac:dyDescent="0.35">
      <c r="O725" s="1" t="str" cm="1">
        <f t="array" ref="O725">IF($BA725="","",INDEX(tblServicios[Fecha],$BA725))</f>
        <v/>
      </c>
      <c r="P725" t="str" cm="1">
        <f t="array" ref="P725">IF($BA725="","",INDEX(tblServicios[Contrato],$BA725))</f>
        <v/>
      </c>
      <c r="Q725" t="str" cm="1">
        <f t="array" ref="Q725">IF($BA725="","",INDEX(tblServicios[Vehículo],$BA725))</f>
        <v/>
      </c>
      <c r="R725" s="34" t="str" cm="1">
        <f t="array" ref="R725">IF($BA725="","",INDEX(tblServicios[Base imponible (€)],$BA725)-INDEX(tblServicios[Imp. suplemento (€)],$BA725))</f>
        <v/>
      </c>
      <c r="S725" s="34" t="str" cm="1">
        <f t="array" ref="S725">IF($BA725="","",INDEX(tblServicios[Imp. suplemento (€)],$BA725))</f>
        <v/>
      </c>
      <c r="T725" t="str" cm="1">
        <f t="array" ref="T725">IF($BA725="","",INDEX(tblServicios[Tipo suplemento],$BA725))</f>
        <v/>
      </c>
      <c r="U725" s="2" t="str">
        <f t="shared" si="13"/>
        <v/>
      </c>
      <c r="V725" t="str" cm="1">
        <f t="array" ref="V725">IF($BA725="","",IF(INDEX(tblServicios[Conductor],$BA725)=$T$2,"Conductor",IF(INDEX(tblServicios[Personal adicional],$BA725)=$T$2,"Personal adicional","")))</f>
        <v/>
      </c>
      <c r="BA725" s="33" t="str" cm="1">
        <f t="array" ref="BA7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adicional]=$T$2))&gt;0)),ROW(A727)),"")</f>
        <v/>
      </c>
    </row>
    <row r="726" spans="15:53" x14ac:dyDescent="0.35">
      <c r="O726" s="1" t="str" cm="1">
        <f t="array" ref="O726">IF($BA726="","",INDEX(tblServicios[Fecha],$BA726))</f>
        <v/>
      </c>
      <c r="P726" t="str" cm="1">
        <f t="array" ref="P726">IF($BA726="","",INDEX(tblServicios[Contrato],$BA726))</f>
        <v/>
      </c>
      <c r="Q726" t="str" cm="1">
        <f t="array" ref="Q726">IF($BA726="","",INDEX(tblServicios[Vehículo],$BA726))</f>
        <v/>
      </c>
      <c r="R726" s="34" t="str" cm="1">
        <f t="array" ref="R726">IF($BA726="","",INDEX(tblServicios[Base imponible (€)],$BA726)-INDEX(tblServicios[Imp. suplemento (€)],$BA726))</f>
        <v/>
      </c>
      <c r="S726" s="34" t="str" cm="1">
        <f t="array" ref="S726">IF($BA726="","",INDEX(tblServicios[Imp. suplemento (€)],$BA726))</f>
        <v/>
      </c>
      <c r="T726" t="str" cm="1">
        <f t="array" ref="T726">IF($BA726="","",INDEX(tblServicios[Tipo suplemento],$BA726))</f>
        <v/>
      </c>
      <c r="U726" s="2" t="str">
        <f t="shared" si="13"/>
        <v/>
      </c>
      <c r="V726" t="str" cm="1">
        <f t="array" ref="V726">IF($BA726="","",IF(INDEX(tblServicios[Conductor],$BA726)=$T$2,"Conductor",IF(INDEX(tblServicios[Personal adicional],$BA726)=$T$2,"Personal adicional","")))</f>
        <v/>
      </c>
      <c r="BA726" s="33" t="str" cm="1">
        <f t="array" ref="BA7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adicional]=$T$2))&gt;0)),ROW(A728)),"")</f>
        <v/>
      </c>
    </row>
    <row r="727" spans="15:53" x14ac:dyDescent="0.35">
      <c r="O727" s="1" t="str" cm="1">
        <f t="array" ref="O727">IF($BA727="","",INDEX(tblServicios[Fecha],$BA727))</f>
        <v/>
      </c>
      <c r="P727" t="str" cm="1">
        <f t="array" ref="P727">IF($BA727="","",INDEX(tblServicios[Contrato],$BA727))</f>
        <v/>
      </c>
      <c r="Q727" t="str" cm="1">
        <f t="array" ref="Q727">IF($BA727="","",INDEX(tblServicios[Vehículo],$BA727))</f>
        <v/>
      </c>
      <c r="R727" s="34" t="str" cm="1">
        <f t="array" ref="R727">IF($BA727="","",INDEX(tblServicios[Base imponible (€)],$BA727)-INDEX(tblServicios[Imp. suplemento (€)],$BA727))</f>
        <v/>
      </c>
      <c r="S727" s="34" t="str" cm="1">
        <f t="array" ref="S727">IF($BA727="","",INDEX(tblServicios[Imp. suplemento (€)],$BA727))</f>
        <v/>
      </c>
      <c r="T727" t="str" cm="1">
        <f t="array" ref="T727">IF($BA727="","",INDEX(tblServicios[Tipo suplemento],$BA727))</f>
        <v/>
      </c>
      <c r="U727" s="2" t="str">
        <f t="shared" si="13"/>
        <v/>
      </c>
      <c r="V727" t="str" cm="1">
        <f t="array" ref="V727">IF($BA727="","",IF(INDEX(tblServicios[Conductor],$BA727)=$T$2,"Conductor",IF(INDEX(tblServicios[Personal adicional],$BA727)=$T$2,"Personal adicional","")))</f>
        <v/>
      </c>
      <c r="BA727" s="33" t="str" cm="1">
        <f t="array" ref="BA7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adicional]=$T$2))&gt;0)),ROW(A729)),"")</f>
        <v/>
      </c>
    </row>
    <row r="728" spans="15:53" x14ac:dyDescent="0.35">
      <c r="O728" s="1" t="str" cm="1">
        <f t="array" ref="O728">IF($BA728="","",INDEX(tblServicios[Fecha],$BA728))</f>
        <v/>
      </c>
      <c r="P728" t="str" cm="1">
        <f t="array" ref="P728">IF($BA728="","",INDEX(tblServicios[Contrato],$BA728))</f>
        <v/>
      </c>
      <c r="Q728" t="str" cm="1">
        <f t="array" ref="Q728">IF($BA728="","",INDEX(tblServicios[Vehículo],$BA728))</f>
        <v/>
      </c>
      <c r="R728" s="34" t="str" cm="1">
        <f t="array" ref="R728">IF($BA728="","",INDEX(tblServicios[Base imponible (€)],$BA728)-INDEX(tblServicios[Imp. suplemento (€)],$BA728))</f>
        <v/>
      </c>
      <c r="S728" s="34" t="str" cm="1">
        <f t="array" ref="S728">IF($BA728="","",INDEX(tblServicios[Imp. suplemento (€)],$BA728))</f>
        <v/>
      </c>
      <c r="T728" t="str" cm="1">
        <f t="array" ref="T728">IF($BA728="","",INDEX(tblServicios[Tipo suplemento],$BA728))</f>
        <v/>
      </c>
      <c r="U728" s="2" t="str">
        <f t="shared" si="13"/>
        <v/>
      </c>
      <c r="V728" t="str" cm="1">
        <f t="array" ref="V728">IF($BA728="","",IF(INDEX(tblServicios[Conductor],$BA728)=$T$2,"Conductor",IF(INDEX(tblServicios[Personal adicional],$BA728)=$T$2,"Personal adicional","")))</f>
        <v/>
      </c>
      <c r="BA728" s="33" t="str" cm="1">
        <f t="array" ref="BA7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adicional]=$T$2))&gt;0)),ROW(A730)),"")</f>
        <v/>
      </c>
    </row>
    <row r="729" spans="15:53" x14ac:dyDescent="0.35">
      <c r="O729" s="1" t="str" cm="1">
        <f t="array" ref="O729">IF($BA729="","",INDEX(tblServicios[Fecha],$BA729))</f>
        <v/>
      </c>
      <c r="P729" t="str" cm="1">
        <f t="array" ref="P729">IF($BA729="","",INDEX(tblServicios[Contrato],$BA729))</f>
        <v/>
      </c>
      <c r="Q729" t="str" cm="1">
        <f t="array" ref="Q729">IF($BA729="","",INDEX(tblServicios[Vehículo],$BA729))</f>
        <v/>
      </c>
      <c r="R729" s="34" t="str" cm="1">
        <f t="array" ref="R729">IF($BA729="","",INDEX(tblServicios[Base imponible (€)],$BA729)-INDEX(tblServicios[Imp. suplemento (€)],$BA729))</f>
        <v/>
      </c>
      <c r="S729" s="34" t="str" cm="1">
        <f t="array" ref="S729">IF($BA729="","",INDEX(tblServicios[Imp. suplemento (€)],$BA729))</f>
        <v/>
      </c>
      <c r="T729" t="str" cm="1">
        <f t="array" ref="T729">IF($BA729="","",INDEX(tblServicios[Tipo suplemento],$BA729))</f>
        <v/>
      </c>
      <c r="U729" s="2" t="str">
        <f t="shared" si="13"/>
        <v/>
      </c>
      <c r="V729" t="str" cm="1">
        <f t="array" ref="V729">IF($BA729="","",IF(INDEX(tblServicios[Conductor],$BA729)=$T$2,"Conductor",IF(INDEX(tblServicios[Personal adicional],$BA729)=$T$2,"Personal adicional","")))</f>
        <v/>
      </c>
      <c r="BA729" s="33" t="str" cm="1">
        <f t="array" ref="BA7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adicional]=$T$2))&gt;0)),ROW(A731)),"")</f>
        <v/>
      </c>
    </row>
    <row r="730" spans="15:53" x14ac:dyDescent="0.35">
      <c r="O730" s="1" t="str" cm="1">
        <f t="array" ref="O730">IF($BA730="","",INDEX(tblServicios[Fecha],$BA730))</f>
        <v/>
      </c>
      <c r="P730" t="str" cm="1">
        <f t="array" ref="P730">IF($BA730="","",INDEX(tblServicios[Contrato],$BA730))</f>
        <v/>
      </c>
      <c r="Q730" t="str" cm="1">
        <f t="array" ref="Q730">IF($BA730="","",INDEX(tblServicios[Vehículo],$BA730))</f>
        <v/>
      </c>
      <c r="R730" s="34" t="str" cm="1">
        <f t="array" ref="R730">IF($BA730="","",INDEX(tblServicios[Base imponible (€)],$BA730)-INDEX(tblServicios[Imp. suplemento (€)],$BA730))</f>
        <v/>
      </c>
      <c r="S730" s="34" t="str" cm="1">
        <f t="array" ref="S730">IF($BA730="","",INDEX(tblServicios[Imp. suplemento (€)],$BA730))</f>
        <v/>
      </c>
      <c r="T730" t="str" cm="1">
        <f t="array" ref="T730">IF($BA730="","",INDEX(tblServicios[Tipo suplemento],$BA730))</f>
        <v/>
      </c>
      <c r="U730" s="2" t="str">
        <f t="shared" si="13"/>
        <v/>
      </c>
      <c r="V730" t="str" cm="1">
        <f t="array" ref="V730">IF($BA730="","",IF(INDEX(tblServicios[Conductor],$BA730)=$T$2,"Conductor",IF(INDEX(tblServicios[Personal adicional],$BA730)=$T$2,"Personal adicional","")))</f>
        <v/>
      </c>
      <c r="BA730" s="33" t="str" cm="1">
        <f t="array" ref="BA7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adicional]=$T$2))&gt;0)),ROW(A732)),"")</f>
        <v/>
      </c>
    </row>
    <row r="731" spans="15:53" x14ac:dyDescent="0.35">
      <c r="O731" s="1" t="str" cm="1">
        <f t="array" ref="O731">IF($BA731="","",INDEX(tblServicios[Fecha],$BA731))</f>
        <v/>
      </c>
      <c r="P731" t="str" cm="1">
        <f t="array" ref="P731">IF($BA731="","",INDEX(tblServicios[Contrato],$BA731))</f>
        <v/>
      </c>
      <c r="Q731" t="str" cm="1">
        <f t="array" ref="Q731">IF($BA731="","",INDEX(tblServicios[Vehículo],$BA731))</f>
        <v/>
      </c>
      <c r="R731" s="34" t="str" cm="1">
        <f t="array" ref="R731">IF($BA731="","",INDEX(tblServicios[Base imponible (€)],$BA731)-INDEX(tblServicios[Imp. suplemento (€)],$BA731))</f>
        <v/>
      </c>
      <c r="S731" s="34" t="str" cm="1">
        <f t="array" ref="S731">IF($BA731="","",INDEX(tblServicios[Imp. suplemento (€)],$BA731))</f>
        <v/>
      </c>
      <c r="T731" t="str" cm="1">
        <f t="array" ref="T731">IF($BA731="","",INDEX(tblServicios[Tipo suplemento],$BA731))</f>
        <v/>
      </c>
      <c r="U731" s="2" t="str">
        <f t="shared" si="13"/>
        <v/>
      </c>
      <c r="V731" t="str" cm="1">
        <f t="array" ref="V731">IF($BA731="","",IF(INDEX(tblServicios[Conductor],$BA731)=$T$2,"Conductor",IF(INDEX(tblServicios[Personal adicional],$BA731)=$T$2,"Personal adicional","")))</f>
        <v/>
      </c>
      <c r="BA731" s="33" t="str" cm="1">
        <f t="array" ref="BA7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adicional]=$T$2))&gt;0)),ROW(A733)),"")</f>
        <v/>
      </c>
    </row>
    <row r="732" spans="15:53" x14ac:dyDescent="0.35">
      <c r="O732" s="1" t="str" cm="1">
        <f t="array" ref="O732">IF($BA732="","",INDEX(tblServicios[Fecha],$BA732))</f>
        <v/>
      </c>
      <c r="P732" t="str" cm="1">
        <f t="array" ref="P732">IF($BA732="","",INDEX(tblServicios[Contrato],$BA732))</f>
        <v/>
      </c>
      <c r="Q732" t="str" cm="1">
        <f t="array" ref="Q732">IF($BA732="","",INDEX(tblServicios[Vehículo],$BA732))</f>
        <v/>
      </c>
      <c r="R732" s="34" t="str" cm="1">
        <f t="array" ref="R732">IF($BA732="","",INDEX(tblServicios[Base imponible (€)],$BA732)-INDEX(tblServicios[Imp. suplemento (€)],$BA732))</f>
        <v/>
      </c>
      <c r="S732" s="34" t="str" cm="1">
        <f t="array" ref="S732">IF($BA732="","",INDEX(tblServicios[Imp. suplemento (€)],$BA732))</f>
        <v/>
      </c>
      <c r="T732" t="str" cm="1">
        <f t="array" ref="T732">IF($BA732="","",INDEX(tblServicios[Tipo suplemento],$BA732))</f>
        <v/>
      </c>
      <c r="U732" s="2" t="str">
        <f t="shared" si="13"/>
        <v/>
      </c>
      <c r="V732" t="str" cm="1">
        <f t="array" ref="V732">IF($BA732="","",IF(INDEX(tblServicios[Conductor],$BA732)=$T$2,"Conductor",IF(INDEX(tblServicios[Personal adicional],$BA732)=$T$2,"Personal adicional","")))</f>
        <v/>
      </c>
      <c r="BA732" s="33" t="str" cm="1">
        <f t="array" ref="BA7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adicional]=$T$2))&gt;0)),ROW(A734)),"")</f>
        <v/>
      </c>
    </row>
    <row r="733" spans="15:53" x14ac:dyDescent="0.35">
      <c r="O733" s="1" t="str" cm="1">
        <f t="array" ref="O733">IF($BA733="","",INDEX(tblServicios[Fecha],$BA733))</f>
        <v/>
      </c>
      <c r="P733" t="str" cm="1">
        <f t="array" ref="P733">IF($BA733="","",INDEX(tblServicios[Contrato],$BA733))</f>
        <v/>
      </c>
      <c r="Q733" t="str" cm="1">
        <f t="array" ref="Q733">IF($BA733="","",INDEX(tblServicios[Vehículo],$BA733))</f>
        <v/>
      </c>
      <c r="R733" s="34" t="str" cm="1">
        <f t="array" ref="R733">IF($BA733="","",INDEX(tblServicios[Base imponible (€)],$BA733)-INDEX(tblServicios[Imp. suplemento (€)],$BA733))</f>
        <v/>
      </c>
      <c r="S733" s="34" t="str" cm="1">
        <f t="array" ref="S733">IF($BA733="","",INDEX(tblServicios[Imp. suplemento (€)],$BA733))</f>
        <v/>
      </c>
      <c r="T733" t="str" cm="1">
        <f t="array" ref="T733">IF($BA733="","",INDEX(tblServicios[Tipo suplemento],$BA733))</f>
        <v/>
      </c>
      <c r="U733" s="2" t="str">
        <f t="shared" si="13"/>
        <v/>
      </c>
      <c r="V733" t="str" cm="1">
        <f t="array" ref="V733">IF($BA733="","",IF(INDEX(tblServicios[Conductor],$BA733)=$T$2,"Conductor",IF(INDEX(tblServicios[Personal adicional],$BA733)=$T$2,"Personal adicional","")))</f>
        <v/>
      </c>
      <c r="BA733" s="33" t="str" cm="1">
        <f t="array" ref="BA7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adicional]=$T$2))&gt;0)),ROW(A735)),"")</f>
        <v/>
      </c>
    </row>
    <row r="734" spans="15:53" x14ac:dyDescent="0.35">
      <c r="O734" s="1" t="str" cm="1">
        <f t="array" ref="O734">IF($BA734="","",INDEX(tblServicios[Fecha],$BA734))</f>
        <v/>
      </c>
      <c r="P734" t="str" cm="1">
        <f t="array" ref="P734">IF($BA734="","",INDEX(tblServicios[Contrato],$BA734))</f>
        <v/>
      </c>
      <c r="Q734" t="str" cm="1">
        <f t="array" ref="Q734">IF($BA734="","",INDEX(tblServicios[Vehículo],$BA734))</f>
        <v/>
      </c>
      <c r="R734" s="34" t="str" cm="1">
        <f t="array" ref="R734">IF($BA734="","",INDEX(tblServicios[Base imponible (€)],$BA734)-INDEX(tblServicios[Imp. suplemento (€)],$BA734))</f>
        <v/>
      </c>
      <c r="S734" s="34" t="str" cm="1">
        <f t="array" ref="S734">IF($BA734="","",INDEX(tblServicios[Imp. suplemento (€)],$BA734))</f>
        <v/>
      </c>
      <c r="T734" t="str" cm="1">
        <f t="array" ref="T734">IF($BA734="","",INDEX(tblServicios[Tipo suplemento],$BA734))</f>
        <v/>
      </c>
      <c r="U734" s="2" t="str">
        <f t="shared" si="13"/>
        <v/>
      </c>
      <c r="V734" t="str" cm="1">
        <f t="array" ref="V734">IF($BA734="","",IF(INDEX(tblServicios[Conductor],$BA734)=$T$2,"Conductor",IF(INDEX(tblServicios[Personal adicional],$BA734)=$T$2,"Personal adicional","")))</f>
        <v/>
      </c>
      <c r="BA734" s="33" t="str" cm="1">
        <f t="array" ref="BA7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adicional]=$T$2))&gt;0)),ROW(A736)),"")</f>
        <v/>
      </c>
    </row>
    <row r="735" spans="15:53" x14ac:dyDescent="0.35">
      <c r="O735" s="1" t="str" cm="1">
        <f t="array" ref="O735">IF($BA735="","",INDEX(tblServicios[Fecha],$BA735))</f>
        <v/>
      </c>
      <c r="P735" t="str" cm="1">
        <f t="array" ref="P735">IF($BA735="","",INDEX(tblServicios[Contrato],$BA735))</f>
        <v/>
      </c>
      <c r="Q735" t="str" cm="1">
        <f t="array" ref="Q735">IF($BA735="","",INDEX(tblServicios[Vehículo],$BA735))</f>
        <v/>
      </c>
      <c r="R735" s="34" t="str" cm="1">
        <f t="array" ref="R735">IF($BA735="","",INDEX(tblServicios[Base imponible (€)],$BA735)-INDEX(tblServicios[Imp. suplemento (€)],$BA735))</f>
        <v/>
      </c>
      <c r="S735" s="34" t="str" cm="1">
        <f t="array" ref="S735">IF($BA735="","",INDEX(tblServicios[Imp. suplemento (€)],$BA735))</f>
        <v/>
      </c>
      <c r="T735" t="str" cm="1">
        <f t="array" ref="T735">IF($BA735="","",INDEX(tblServicios[Tipo suplemento],$BA735))</f>
        <v/>
      </c>
      <c r="U735" s="2" t="str">
        <f t="shared" si="13"/>
        <v/>
      </c>
      <c r="V735" t="str" cm="1">
        <f t="array" ref="V735">IF($BA735="","",IF(INDEX(tblServicios[Conductor],$BA735)=$T$2,"Conductor",IF(INDEX(tblServicios[Personal adicional],$BA735)=$T$2,"Personal adicional","")))</f>
        <v/>
      </c>
      <c r="BA735" s="33" t="str" cm="1">
        <f t="array" ref="BA7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adicional]=$T$2))&gt;0)),ROW(A737)),"")</f>
        <v/>
      </c>
    </row>
    <row r="736" spans="15:53" x14ac:dyDescent="0.35">
      <c r="O736" s="1" t="str" cm="1">
        <f t="array" ref="O736">IF($BA736="","",INDEX(tblServicios[Fecha],$BA736))</f>
        <v/>
      </c>
      <c r="P736" t="str" cm="1">
        <f t="array" ref="P736">IF($BA736="","",INDEX(tblServicios[Contrato],$BA736))</f>
        <v/>
      </c>
      <c r="Q736" t="str" cm="1">
        <f t="array" ref="Q736">IF($BA736="","",INDEX(tblServicios[Vehículo],$BA736))</f>
        <v/>
      </c>
      <c r="R736" s="34" t="str" cm="1">
        <f t="array" ref="R736">IF($BA736="","",INDEX(tblServicios[Base imponible (€)],$BA736)-INDEX(tblServicios[Imp. suplemento (€)],$BA736))</f>
        <v/>
      </c>
      <c r="S736" s="34" t="str" cm="1">
        <f t="array" ref="S736">IF($BA736="","",INDEX(tblServicios[Imp. suplemento (€)],$BA736))</f>
        <v/>
      </c>
      <c r="T736" t="str" cm="1">
        <f t="array" ref="T736">IF($BA736="","",INDEX(tblServicios[Tipo suplemento],$BA736))</f>
        <v/>
      </c>
      <c r="U736" s="2" t="str">
        <f t="shared" si="13"/>
        <v/>
      </c>
      <c r="V736" t="str" cm="1">
        <f t="array" ref="V736">IF($BA736="","",IF(INDEX(tblServicios[Conductor],$BA736)=$T$2,"Conductor",IF(INDEX(tblServicios[Personal adicional],$BA736)=$T$2,"Personal adicional","")))</f>
        <v/>
      </c>
      <c r="BA736" s="33" t="str" cm="1">
        <f t="array" ref="BA7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adicional]=$T$2))&gt;0)),ROW(A738)),"")</f>
        <v/>
      </c>
    </row>
    <row r="737" spans="15:53" x14ac:dyDescent="0.35">
      <c r="O737" s="1" t="str" cm="1">
        <f t="array" ref="O737">IF($BA737="","",INDEX(tblServicios[Fecha],$BA737))</f>
        <v/>
      </c>
      <c r="P737" t="str" cm="1">
        <f t="array" ref="P737">IF($BA737="","",INDEX(tblServicios[Contrato],$BA737))</f>
        <v/>
      </c>
      <c r="Q737" t="str" cm="1">
        <f t="array" ref="Q737">IF($BA737="","",INDEX(tblServicios[Vehículo],$BA737))</f>
        <v/>
      </c>
      <c r="R737" s="34" t="str" cm="1">
        <f t="array" ref="R737">IF($BA737="","",INDEX(tblServicios[Base imponible (€)],$BA737)-INDEX(tblServicios[Imp. suplemento (€)],$BA737))</f>
        <v/>
      </c>
      <c r="S737" s="34" t="str" cm="1">
        <f t="array" ref="S737">IF($BA737="","",INDEX(tblServicios[Imp. suplemento (€)],$BA737))</f>
        <v/>
      </c>
      <c r="T737" t="str" cm="1">
        <f t="array" ref="T737">IF($BA737="","",INDEX(tblServicios[Tipo suplemento],$BA737))</f>
        <v/>
      </c>
      <c r="U737" s="2" t="str">
        <f t="shared" si="13"/>
        <v/>
      </c>
      <c r="V737" t="str" cm="1">
        <f t="array" ref="V737">IF($BA737="","",IF(INDEX(tblServicios[Conductor],$BA737)=$T$2,"Conductor",IF(INDEX(tblServicios[Personal adicional],$BA737)=$T$2,"Personal adicional","")))</f>
        <v/>
      </c>
      <c r="BA737" s="33" t="str" cm="1">
        <f t="array" ref="BA7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adicional]=$T$2))&gt;0)),ROW(A739)),"")</f>
        <v/>
      </c>
    </row>
    <row r="738" spans="15:53" x14ac:dyDescent="0.35">
      <c r="O738" s="1" t="str" cm="1">
        <f t="array" ref="O738">IF($BA738="","",INDEX(tblServicios[Fecha],$BA738))</f>
        <v/>
      </c>
      <c r="P738" t="str" cm="1">
        <f t="array" ref="P738">IF($BA738="","",INDEX(tblServicios[Contrato],$BA738))</f>
        <v/>
      </c>
      <c r="Q738" t="str" cm="1">
        <f t="array" ref="Q738">IF($BA738="","",INDEX(tblServicios[Vehículo],$BA738))</f>
        <v/>
      </c>
      <c r="R738" s="34" t="str" cm="1">
        <f t="array" ref="R738">IF($BA738="","",INDEX(tblServicios[Base imponible (€)],$BA738)-INDEX(tblServicios[Imp. suplemento (€)],$BA738))</f>
        <v/>
      </c>
      <c r="S738" s="34" t="str" cm="1">
        <f t="array" ref="S738">IF($BA738="","",INDEX(tblServicios[Imp. suplemento (€)],$BA738))</f>
        <v/>
      </c>
      <c r="T738" t="str" cm="1">
        <f t="array" ref="T738">IF($BA738="","",INDEX(tblServicios[Tipo suplemento],$BA738))</f>
        <v/>
      </c>
      <c r="U738" s="2" t="str">
        <f t="shared" si="13"/>
        <v/>
      </c>
      <c r="V738" t="str" cm="1">
        <f t="array" ref="V738">IF($BA738="","",IF(INDEX(tblServicios[Conductor],$BA738)=$T$2,"Conductor",IF(INDEX(tblServicios[Personal adicional],$BA738)=$T$2,"Personal adicional","")))</f>
        <v/>
      </c>
      <c r="BA738" s="33" t="str" cm="1">
        <f t="array" ref="BA7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adicional]=$T$2))&gt;0)),ROW(A740)),"")</f>
        <v/>
      </c>
    </row>
    <row r="739" spans="15:53" x14ac:dyDescent="0.35">
      <c r="O739" s="1" t="str" cm="1">
        <f t="array" ref="O739">IF($BA739="","",INDEX(tblServicios[Fecha],$BA739))</f>
        <v/>
      </c>
      <c r="P739" t="str" cm="1">
        <f t="array" ref="P739">IF($BA739="","",INDEX(tblServicios[Contrato],$BA739))</f>
        <v/>
      </c>
      <c r="Q739" t="str" cm="1">
        <f t="array" ref="Q739">IF($BA739="","",INDEX(tblServicios[Vehículo],$BA739))</f>
        <v/>
      </c>
      <c r="R739" s="34" t="str" cm="1">
        <f t="array" ref="R739">IF($BA739="","",INDEX(tblServicios[Base imponible (€)],$BA739)-INDEX(tblServicios[Imp. suplemento (€)],$BA739))</f>
        <v/>
      </c>
      <c r="S739" s="34" t="str" cm="1">
        <f t="array" ref="S739">IF($BA739="","",INDEX(tblServicios[Imp. suplemento (€)],$BA739))</f>
        <v/>
      </c>
      <c r="T739" t="str" cm="1">
        <f t="array" ref="T739">IF($BA739="","",INDEX(tblServicios[Tipo suplemento],$BA739))</f>
        <v/>
      </c>
      <c r="U739" s="2" t="str">
        <f t="shared" si="13"/>
        <v/>
      </c>
      <c r="V739" t="str" cm="1">
        <f t="array" ref="V739">IF($BA739="","",IF(INDEX(tblServicios[Conductor],$BA739)=$T$2,"Conductor",IF(INDEX(tblServicios[Personal adicional],$BA739)=$T$2,"Personal adicional","")))</f>
        <v/>
      </c>
      <c r="BA739" s="33" t="str" cm="1">
        <f t="array" ref="BA7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adicional]=$T$2))&gt;0)),ROW(A741)),"")</f>
        <v/>
      </c>
    </row>
    <row r="740" spans="15:53" x14ac:dyDescent="0.35">
      <c r="O740" s="1" t="str" cm="1">
        <f t="array" ref="O740">IF($BA740="","",INDEX(tblServicios[Fecha],$BA740))</f>
        <v/>
      </c>
      <c r="P740" t="str" cm="1">
        <f t="array" ref="P740">IF($BA740="","",INDEX(tblServicios[Contrato],$BA740))</f>
        <v/>
      </c>
      <c r="Q740" t="str" cm="1">
        <f t="array" ref="Q740">IF($BA740="","",INDEX(tblServicios[Vehículo],$BA740))</f>
        <v/>
      </c>
      <c r="R740" s="34" t="str" cm="1">
        <f t="array" ref="R740">IF($BA740="","",INDEX(tblServicios[Base imponible (€)],$BA740)-INDEX(tblServicios[Imp. suplemento (€)],$BA740))</f>
        <v/>
      </c>
      <c r="S740" s="34" t="str" cm="1">
        <f t="array" ref="S740">IF($BA740="","",INDEX(tblServicios[Imp. suplemento (€)],$BA740))</f>
        <v/>
      </c>
      <c r="T740" t="str" cm="1">
        <f t="array" ref="T740">IF($BA740="","",INDEX(tblServicios[Tipo suplemento],$BA740))</f>
        <v/>
      </c>
      <c r="U740" s="2" t="str">
        <f t="shared" si="13"/>
        <v/>
      </c>
      <c r="V740" t="str" cm="1">
        <f t="array" ref="V740">IF($BA740="","",IF(INDEX(tblServicios[Conductor],$BA740)=$T$2,"Conductor",IF(INDEX(tblServicios[Personal adicional],$BA740)=$T$2,"Personal adicional","")))</f>
        <v/>
      </c>
      <c r="BA740" s="33" t="str" cm="1">
        <f t="array" ref="BA7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adicional]=$T$2))&gt;0)),ROW(A742)),"")</f>
        <v/>
      </c>
    </row>
    <row r="741" spans="15:53" x14ac:dyDescent="0.35">
      <c r="O741" s="1" t="str" cm="1">
        <f t="array" ref="O741">IF($BA741="","",INDEX(tblServicios[Fecha],$BA741))</f>
        <v/>
      </c>
      <c r="P741" t="str" cm="1">
        <f t="array" ref="P741">IF($BA741="","",INDEX(tblServicios[Contrato],$BA741))</f>
        <v/>
      </c>
      <c r="Q741" t="str" cm="1">
        <f t="array" ref="Q741">IF($BA741="","",INDEX(tblServicios[Vehículo],$BA741))</f>
        <v/>
      </c>
      <c r="R741" s="34" t="str" cm="1">
        <f t="array" ref="R741">IF($BA741="","",INDEX(tblServicios[Base imponible (€)],$BA741)-INDEX(tblServicios[Imp. suplemento (€)],$BA741))</f>
        <v/>
      </c>
      <c r="S741" s="34" t="str" cm="1">
        <f t="array" ref="S741">IF($BA741="","",INDEX(tblServicios[Imp. suplemento (€)],$BA741))</f>
        <v/>
      </c>
      <c r="T741" t="str" cm="1">
        <f t="array" ref="T741">IF($BA741="","",INDEX(tblServicios[Tipo suplemento],$BA741))</f>
        <v/>
      </c>
      <c r="U741" s="2" t="str">
        <f t="shared" si="13"/>
        <v/>
      </c>
      <c r="V741" t="str" cm="1">
        <f t="array" ref="V741">IF($BA741="","",IF(INDEX(tblServicios[Conductor],$BA741)=$T$2,"Conductor",IF(INDEX(tblServicios[Personal adicional],$BA741)=$T$2,"Personal adicional","")))</f>
        <v/>
      </c>
      <c r="BA741" s="33" t="str" cm="1">
        <f t="array" ref="BA7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adicional]=$T$2))&gt;0)),ROW(A743)),"")</f>
        <v/>
      </c>
    </row>
    <row r="742" spans="15:53" x14ac:dyDescent="0.35">
      <c r="O742" s="1" t="str" cm="1">
        <f t="array" ref="O742">IF($BA742="","",INDEX(tblServicios[Fecha],$BA742))</f>
        <v/>
      </c>
      <c r="P742" t="str" cm="1">
        <f t="array" ref="P742">IF($BA742="","",INDEX(tblServicios[Contrato],$BA742))</f>
        <v/>
      </c>
      <c r="Q742" t="str" cm="1">
        <f t="array" ref="Q742">IF($BA742="","",INDEX(tblServicios[Vehículo],$BA742))</f>
        <v/>
      </c>
      <c r="R742" s="34" t="str" cm="1">
        <f t="array" ref="R742">IF($BA742="","",INDEX(tblServicios[Base imponible (€)],$BA742)-INDEX(tblServicios[Imp. suplemento (€)],$BA742))</f>
        <v/>
      </c>
      <c r="S742" s="34" t="str" cm="1">
        <f t="array" ref="S742">IF($BA742="","",INDEX(tblServicios[Imp. suplemento (€)],$BA742))</f>
        <v/>
      </c>
      <c r="T742" t="str" cm="1">
        <f t="array" ref="T742">IF($BA742="","",INDEX(tblServicios[Tipo suplemento],$BA742))</f>
        <v/>
      </c>
      <c r="U742" s="2" t="str">
        <f t="shared" si="13"/>
        <v/>
      </c>
      <c r="V742" t="str" cm="1">
        <f t="array" ref="V742">IF($BA742="","",IF(INDEX(tblServicios[Conductor],$BA742)=$T$2,"Conductor",IF(INDEX(tblServicios[Personal adicional],$BA742)=$T$2,"Personal adicional","")))</f>
        <v/>
      </c>
      <c r="BA742" s="33" t="str" cm="1">
        <f t="array" ref="BA7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adicional]=$T$2))&gt;0)),ROW(A744)),"")</f>
        <v/>
      </c>
    </row>
    <row r="743" spans="15:53" x14ac:dyDescent="0.35">
      <c r="O743" s="1" t="str" cm="1">
        <f t="array" ref="O743">IF($BA743="","",INDEX(tblServicios[Fecha],$BA743))</f>
        <v/>
      </c>
      <c r="P743" t="str" cm="1">
        <f t="array" ref="P743">IF($BA743="","",INDEX(tblServicios[Contrato],$BA743))</f>
        <v/>
      </c>
      <c r="Q743" t="str" cm="1">
        <f t="array" ref="Q743">IF($BA743="","",INDEX(tblServicios[Vehículo],$BA743))</f>
        <v/>
      </c>
      <c r="R743" s="34" t="str" cm="1">
        <f t="array" ref="R743">IF($BA743="","",INDEX(tblServicios[Base imponible (€)],$BA743)-INDEX(tblServicios[Imp. suplemento (€)],$BA743))</f>
        <v/>
      </c>
      <c r="S743" s="34" t="str" cm="1">
        <f t="array" ref="S743">IF($BA743="","",INDEX(tblServicios[Imp. suplemento (€)],$BA743))</f>
        <v/>
      </c>
      <c r="T743" t="str" cm="1">
        <f t="array" ref="T743">IF($BA743="","",INDEX(tblServicios[Tipo suplemento],$BA743))</f>
        <v/>
      </c>
      <c r="U743" s="2" t="str">
        <f t="shared" si="13"/>
        <v/>
      </c>
      <c r="V743" t="str" cm="1">
        <f t="array" ref="V743">IF($BA743="","",IF(INDEX(tblServicios[Conductor],$BA743)=$T$2,"Conductor",IF(INDEX(tblServicios[Personal adicional],$BA743)=$T$2,"Personal adicional","")))</f>
        <v/>
      </c>
      <c r="BA743" s="33" t="str" cm="1">
        <f t="array" ref="BA7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adicional]=$T$2))&gt;0)),ROW(A745)),"")</f>
        <v/>
      </c>
    </row>
    <row r="744" spans="15:53" x14ac:dyDescent="0.35">
      <c r="O744" s="1" t="str" cm="1">
        <f t="array" ref="O744">IF($BA744="","",INDEX(tblServicios[Fecha],$BA744))</f>
        <v/>
      </c>
      <c r="P744" t="str" cm="1">
        <f t="array" ref="P744">IF($BA744="","",INDEX(tblServicios[Contrato],$BA744))</f>
        <v/>
      </c>
      <c r="Q744" t="str" cm="1">
        <f t="array" ref="Q744">IF($BA744="","",INDEX(tblServicios[Vehículo],$BA744))</f>
        <v/>
      </c>
      <c r="R744" s="34" t="str" cm="1">
        <f t="array" ref="R744">IF($BA744="","",INDEX(tblServicios[Base imponible (€)],$BA744)-INDEX(tblServicios[Imp. suplemento (€)],$BA744))</f>
        <v/>
      </c>
      <c r="S744" s="34" t="str" cm="1">
        <f t="array" ref="S744">IF($BA744="","",INDEX(tblServicios[Imp. suplemento (€)],$BA744))</f>
        <v/>
      </c>
      <c r="T744" t="str" cm="1">
        <f t="array" ref="T744">IF($BA744="","",INDEX(tblServicios[Tipo suplemento],$BA744))</f>
        <v/>
      </c>
      <c r="U744" s="2" t="str">
        <f t="shared" si="13"/>
        <v/>
      </c>
      <c r="V744" t="str" cm="1">
        <f t="array" ref="V744">IF($BA744="","",IF(INDEX(tblServicios[Conductor],$BA744)=$T$2,"Conductor",IF(INDEX(tblServicios[Personal adicional],$BA744)=$T$2,"Personal adicional","")))</f>
        <v/>
      </c>
      <c r="BA744" s="33" t="str" cm="1">
        <f t="array" ref="BA7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adicional]=$T$2))&gt;0)),ROW(A746)),"")</f>
        <v/>
      </c>
    </row>
    <row r="745" spans="15:53" x14ac:dyDescent="0.35">
      <c r="O745" s="1" t="str" cm="1">
        <f t="array" ref="O745">IF($BA745="","",INDEX(tblServicios[Fecha],$BA745))</f>
        <v/>
      </c>
      <c r="P745" t="str" cm="1">
        <f t="array" ref="P745">IF($BA745="","",INDEX(tblServicios[Contrato],$BA745))</f>
        <v/>
      </c>
      <c r="Q745" t="str" cm="1">
        <f t="array" ref="Q745">IF($BA745="","",INDEX(tblServicios[Vehículo],$BA745))</f>
        <v/>
      </c>
      <c r="R745" s="34" t="str" cm="1">
        <f t="array" ref="R745">IF($BA745="","",INDEX(tblServicios[Base imponible (€)],$BA745)-INDEX(tblServicios[Imp. suplemento (€)],$BA745))</f>
        <v/>
      </c>
      <c r="S745" s="34" t="str" cm="1">
        <f t="array" ref="S745">IF($BA745="","",INDEX(tblServicios[Imp. suplemento (€)],$BA745))</f>
        <v/>
      </c>
      <c r="T745" t="str" cm="1">
        <f t="array" ref="T745">IF($BA745="","",INDEX(tblServicios[Tipo suplemento],$BA745))</f>
        <v/>
      </c>
      <c r="U745" s="2" t="str">
        <f t="shared" si="13"/>
        <v/>
      </c>
      <c r="V745" t="str" cm="1">
        <f t="array" ref="V745">IF($BA745="","",IF(INDEX(tblServicios[Conductor],$BA745)=$T$2,"Conductor",IF(INDEX(tblServicios[Personal adicional],$BA745)=$T$2,"Personal adicional","")))</f>
        <v/>
      </c>
      <c r="BA745" s="33" t="str" cm="1">
        <f t="array" ref="BA7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adicional]=$T$2))&gt;0)),ROW(A747)),"")</f>
        <v/>
      </c>
    </row>
    <row r="746" spans="15:53" x14ac:dyDescent="0.35">
      <c r="O746" s="1" t="str" cm="1">
        <f t="array" ref="O746">IF($BA746="","",INDEX(tblServicios[Fecha],$BA746))</f>
        <v/>
      </c>
      <c r="P746" t="str" cm="1">
        <f t="array" ref="P746">IF($BA746="","",INDEX(tblServicios[Contrato],$BA746))</f>
        <v/>
      </c>
      <c r="Q746" t="str" cm="1">
        <f t="array" ref="Q746">IF($BA746="","",INDEX(tblServicios[Vehículo],$BA746))</f>
        <v/>
      </c>
      <c r="R746" s="34" t="str" cm="1">
        <f t="array" ref="R746">IF($BA746="","",INDEX(tblServicios[Base imponible (€)],$BA746)-INDEX(tblServicios[Imp. suplemento (€)],$BA746))</f>
        <v/>
      </c>
      <c r="S746" s="34" t="str" cm="1">
        <f t="array" ref="S746">IF($BA746="","",INDEX(tblServicios[Imp. suplemento (€)],$BA746))</f>
        <v/>
      </c>
      <c r="T746" t="str" cm="1">
        <f t="array" ref="T746">IF($BA746="","",INDEX(tblServicios[Tipo suplemento],$BA746))</f>
        <v/>
      </c>
      <c r="U746" s="2" t="str">
        <f t="shared" si="13"/>
        <v/>
      </c>
      <c r="V746" t="str" cm="1">
        <f t="array" ref="V746">IF($BA746="","",IF(INDEX(tblServicios[Conductor],$BA746)=$T$2,"Conductor",IF(INDEX(tblServicios[Personal adicional],$BA746)=$T$2,"Personal adicional","")))</f>
        <v/>
      </c>
      <c r="BA746" s="33" t="str" cm="1">
        <f t="array" ref="BA7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adicional]=$T$2))&gt;0)),ROW(A748)),"")</f>
        <v/>
      </c>
    </row>
    <row r="747" spans="15:53" x14ac:dyDescent="0.35">
      <c r="O747" s="1" t="str" cm="1">
        <f t="array" ref="O747">IF($BA747="","",INDEX(tblServicios[Fecha],$BA747))</f>
        <v/>
      </c>
      <c r="P747" t="str" cm="1">
        <f t="array" ref="P747">IF($BA747="","",INDEX(tblServicios[Contrato],$BA747))</f>
        <v/>
      </c>
      <c r="Q747" t="str" cm="1">
        <f t="array" ref="Q747">IF($BA747="","",INDEX(tblServicios[Vehículo],$BA747))</f>
        <v/>
      </c>
      <c r="R747" s="34" t="str" cm="1">
        <f t="array" ref="R747">IF($BA747="","",INDEX(tblServicios[Base imponible (€)],$BA747)-INDEX(tblServicios[Imp. suplemento (€)],$BA747))</f>
        <v/>
      </c>
      <c r="S747" s="34" t="str" cm="1">
        <f t="array" ref="S747">IF($BA747="","",INDEX(tblServicios[Imp. suplemento (€)],$BA747))</f>
        <v/>
      </c>
      <c r="T747" t="str" cm="1">
        <f t="array" ref="T747">IF($BA747="","",INDEX(tblServicios[Tipo suplemento],$BA747))</f>
        <v/>
      </c>
      <c r="U747" s="2" t="str">
        <f t="shared" si="13"/>
        <v/>
      </c>
      <c r="V747" t="str" cm="1">
        <f t="array" ref="V747">IF($BA747="","",IF(INDEX(tblServicios[Conductor],$BA747)=$T$2,"Conductor",IF(INDEX(tblServicios[Personal adicional],$BA747)=$T$2,"Personal adicional","")))</f>
        <v/>
      </c>
      <c r="BA747" s="33" t="str" cm="1">
        <f t="array" ref="BA7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adicional]=$T$2))&gt;0)),ROW(A749)),"")</f>
        <v/>
      </c>
    </row>
    <row r="748" spans="15:53" x14ac:dyDescent="0.35">
      <c r="O748" s="1" t="str" cm="1">
        <f t="array" ref="O748">IF($BA748="","",INDEX(tblServicios[Fecha],$BA748))</f>
        <v/>
      </c>
      <c r="P748" t="str" cm="1">
        <f t="array" ref="P748">IF($BA748="","",INDEX(tblServicios[Contrato],$BA748))</f>
        <v/>
      </c>
      <c r="Q748" t="str" cm="1">
        <f t="array" ref="Q748">IF($BA748="","",INDEX(tblServicios[Vehículo],$BA748))</f>
        <v/>
      </c>
      <c r="R748" s="34" t="str" cm="1">
        <f t="array" ref="R748">IF($BA748="","",INDEX(tblServicios[Base imponible (€)],$BA748)-INDEX(tblServicios[Imp. suplemento (€)],$BA748))</f>
        <v/>
      </c>
      <c r="S748" s="34" t="str" cm="1">
        <f t="array" ref="S748">IF($BA748="","",INDEX(tblServicios[Imp. suplemento (€)],$BA748))</f>
        <v/>
      </c>
      <c r="T748" t="str" cm="1">
        <f t="array" ref="T748">IF($BA748="","",INDEX(tblServicios[Tipo suplemento],$BA748))</f>
        <v/>
      </c>
      <c r="U748" s="2" t="str">
        <f t="shared" si="13"/>
        <v/>
      </c>
      <c r="V748" t="str" cm="1">
        <f t="array" ref="V748">IF($BA748="","",IF(INDEX(tblServicios[Conductor],$BA748)=$T$2,"Conductor",IF(INDEX(tblServicios[Personal adicional],$BA748)=$T$2,"Personal adicional","")))</f>
        <v/>
      </c>
      <c r="BA748" s="33" t="str" cm="1">
        <f t="array" ref="BA7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adicional]=$T$2))&gt;0)),ROW(A750)),"")</f>
        <v/>
      </c>
    </row>
    <row r="749" spans="15:53" x14ac:dyDescent="0.35">
      <c r="O749" s="1" t="str" cm="1">
        <f t="array" ref="O749">IF($BA749="","",INDEX(tblServicios[Fecha],$BA749))</f>
        <v/>
      </c>
      <c r="P749" t="str" cm="1">
        <f t="array" ref="P749">IF($BA749="","",INDEX(tblServicios[Contrato],$BA749))</f>
        <v/>
      </c>
      <c r="Q749" t="str" cm="1">
        <f t="array" ref="Q749">IF($BA749="","",INDEX(tblServicios[Vehículo],$BA749))</f>
        <v/>
      </c>
      <c r="R749" s="34" t="str" cm="1">
        <f t="array" ref="R749">IF($BA749="","",INDEX(tblServicios[Base imponible (€)],$BA749)-INDEX(tblServicios[Imp. suplemento (€)],$BA749))</f>
        <v/>
      </c>
      <c r="S749" s="34" t="str" cm="1">
        <f t="array" ref="S749">IF($BA749="","",INDEX(tblServicios[Imp. suplemento (€)],$BA749))</f>
        <v/>
      </c>
      <c r="T749" t="str" cm="1">
        <f t="array" ref="T749">IF($BA749="","",INDEX(tblServicios[Tipo suplemento],$BA749))</f>
        <v/>
      </c>
      <c r="U749" s="2" t="str">
        <f t="shared" si="13"/>
        <v/>
      </c>
      <c r="V749" t="str" cm="1">
        <f t="array" ref="V749">IF($BA749="","",IF(INDEX(tblServicios[Conductor],$BA749)=$T$2,"Conductor",IF(INDEX(tblServicios[Personal adicional],$BA749)=$T$2,"Personal adicional","")))</f>
        <v/>
      </c>
      <c r="BA749" s="33" t="str" cm="1">
        <f t="array" ref="BA7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adicional]=$T$2))&gt;0)),ROW(A751)),"")</f>
        <v/>
      </c>
    </row>
    <row r="750" spans="15:53" x14ac:dyDescent="0.35">
      <c r="O750" s="1" t="str" cm="1">
        <f t="array" ref="O750">IF($BA750="","",INDEX(tblServicios[Fecha],$BA750))</f>
        <v/>
      </c>
      <c r="P750" t="str" cm="1">
        <f t="array" ref="P750">IF($BA750="","",INDEX(tblServicios[Contrato],$BA750))</f>
        <v/>
      </c>
      <c r="Q750" t="str" cm="1">
        <f t="array" ref="Q750">IF($BA750="","",INDEX(tblServicios[Vehículo],$BA750))</f>
        <v/>
      </c>
      <c r="R750" s="34" t="str" cm="1">
        <f t="array" ref="R750">IF($BA750="","",INDEX(tblServicios[Base imponible (€)],$BA750)-INDEX(tblServicios[Imp. suplemento (€)],$BA750))</f>
        <v/>
      </c>
      <c r="S750" s="34" t="str" cm="1">
        <f t="array" ref="S750">IF($BA750="","",INDEX(tblServicios[Imp. suplemento (€)],$BA750))</f>
        <v/>
      </c>
      <c r="T750" t="str" cm="1">
        <f t="array" ref="T750">IF($BA750="","",INDEX(tblServicios[Tipo suplemento],$BA750))</f>
        <v/>
      </c>
      <c r="U750" s="2" t="str">
        <f t="shared" si="13"/>
        <v/>
      </c>
      <c r="V750" t="str" cm="1">
        <f t="array" ref="V750">IF($BA750="","",IF(INDEX(tblServicios[Conductor],$BA750)=$T$2,"Conductor",IF(INDEX(tblServicios[Personal adicional],$BA750)=$T$2,"Personal adicional","")))</f>
        <v/>
      </c>
      <c r="BA750" s="33" t="str" cm="1">
        <f t="array" ref="BA7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adicional]=$T$2))&gt;0)),ROW(A752)),"")</f>
        <v/>
      </c>
    </row>
    <row r="751" spans="15:53" x14ac:dyDescent="0.35">
      <c r="O751" s="1" t="str" cm="1">
        <f t="array" ref="O751">IF($BA751="","",INDEX(tblServicios[Fecha],$BA751))</f>
        <v/>
      </c>
      <c r="P751" t="str" cm="1">
        <f t="array" ref="P751">IF($BA751="","",INDEX(tblServicios[Contrato],$BA751))</f>
        <v/>
      </c>
      <c r="Q751" t="str" cm="1">
        <f t="array" ref="Q751">IF($BA751="","",INDEX(tblServicios[Vehículo],$BA751))</f>
        <v/>
      </c>
      <c r="R751" s="34" t="str" cm="1">
        <f t="array" ref="R751">IF($BA751="","",INDEX(tblServicios[Base imponible (€)],$BA751)-INDEX(tblServicios[Imp. suplemento (€)],$BA751))</f>
        <v/>
      </c>
      <c r="S751" s="34" t="str" cm="1">
        <f t="array" ref="S751">IF($BA751="","",INDEX(tblServicios[Imp. suplemento (€)],$BA751))</f>
        <v/>
      </c>
      <c r="T751" t="str" cm="1">
        <f t="array" ref="T751">IF($BA751="","",INDEX(tblServicios[Tipo suplemento],$BA751))</f>
        <v/>
      </c>
      <c r="U751" s="2" t="str">
        <f t="shared" si="13"/>
        <v/>
      </c>
      <c r="V751" t="str" cm="1">
        <f t="array" ref="V751">IF($BA751="","",IF(INDEX(tblServicios[Conductor],$BA751)=$T$2,"Conductor",IF(INDEX(tblServicios[Personal adicional],$BA751)=$T$2,"Personal adicional","")))</f>
        <v/>
      </c>
      <c r="BA751" s="33" t="str" cm="1">
        <f t="array" ref="BA7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adicional]=$T$2))&gt;0)),ROW(A753)),"")</f>
        <v/>
      </c>
    </row>
    <row r="752" spans="15:53" x14ac:dyDescent="0.35">
      <c r="O752" s="1" t="str" cm="1">
        <f t="array" ref="O752">IF($BA752="","",INDEX(tblServicios[Fecha],$BA752))</f>
        <v/>
      </c>
      <c r="P752" t="str" cm="1">
        <f t="array" ref="P752">IF($BA752="","",INDEX(tblServicios[Contrato],$BA752))</f>
        <v/>
      </c>
      <c r="Q752" t="str" cm="1">
        <f t="array" ref="Q752">IF($BA752="","",INDEX(tblServicios[Vehículo],$BA752))</f>
        <v/>
      </c>
      <c r="R752" s="34" t="str" cm="1">
        <f t="array" ref="R752">IF($BA752="","",INDEX(tblServicios[Base imponible (€)],$BA752)-INDEX(tblServicios[Imp. suplemento (€)],$BA752))</f>
        <v/>
      </c>
      <c r="S752" s="34" t="str" cm="1">
        <f t="array" ref="S752">IF($BA752="","",INDEX(tblServicios[Imp. suplemento (€)],$BA752))</f>
        <v/>
      </c>
      <c r="T752" t="str" cm="1">
        <f t="array" ref="T752">IF($BA752="","",INDEX(tblServicios[Tipo suplemento],$BA752))</f>
        <v/>
      </c>
      <c r="U752" s="2" t="str">
        <f t="shared" si="13"/>
        <v/>
      </c>
      <c r="V752" t="str" cm="1">
        <f t="array" ref="V752">IF($BA752="","",IF(INDEX(tblServicios[Conductor],$BA752)=$T$2,"Conductor",IF(INDEX(tblServicios[Personal adicional],$BA752)=$T$2,"Personal adicional","")))</f>
        <v/>
      </c>
      <c r="BA752" s="33" t="str" cm="1">
        <f t="array" ref="BA7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adicional]=$T$2))&gt;0)),ROW(A754)),"")</f>
        <v/>
      </c>
    </row>
    <row r="753" spans="15:53" x14ac:dyDescent="0.35">
      <c r="O753" s="1" t="str" cm="1">
        <f t="array" ref="O753">IF($BA753="","",INDEX(tblServicios[Fecha],$BA753))</f>
        <v/>
      </c>
      <c r="P753" t="str" cm="1">
        <f t="array" ref="P753">IF($BA753="","",INDEX(tblServicios[Contrato],$BA753))</f>
        <v/>
      </c>
      <c r="Q753" t="str" cm="1">
        <f t="array" ref="Q753">IF($BA753="","",INDEX(tblServicios[Vehículo],$BA753))</f>
        <v/>
      </c>
      <c r="R753" s="34" t="str" cm="1">
        <f t="array" ref="R753">IF($BA753="","",INDEX(tblServicios[Base imponible (€)],$BA753)-INDEX(tblServicios[Imp. suplemento (€)],$BA753))</f>
        <v/>
      </c>
      <c r="S753" s="34" t="str" cm="1">
        <f t="array" ref="S753">IF($BA753="","",INDEX(tblServicios[Imp. suplemento (€)],$BA753))</f>
        <v/>
      </c>
      <c r="T753" t="str" cm="1">
        <f t="array" ref="T753">IF($BA753="","",INDEX(tblServicios[Tipo suplemento],$BA753))</f>
        <v/>
      </c>
      <c r="U753" s="2" t="str">
        <f t="shared" si="13"/>
        <v/>
      </c>
      <c r="V753" t="str" cm="1">
        <f t="array" ref="V753">IF($BA753="","",IF(INDEX(tblServicios[Conductor],$BA753)=$T$2,"Conductor",IF(INDEX(tblServicios[Personal adicional],$BA753)=$T$2,"Personal adicional","")))</f>
        <v/>
      </c>
      <c r="BA753" s="33" t="str" cm="1">
        <f t="array" ref="BA7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adicional]=$T$2))&gt;0)),ROW(A755)),"")</f>
        <v/>
      </c>
    </row>
    <row r="754" spans="15:53" x14ac:dyDescent="0.35">
      <c r="O754" s="1" t="str" cm="1">
        <f t="array" ref="O754">IF($BA754="","",INDEX(tblServicios[Fecha],$BA754))</f>
        <v/>
      </c>
      <c r="P754" t="str" cm="1">
        <f t="array" ref="P754">IF($BA754="","",INDEX(tblServicios[Contrato],$BA754))</f>
        <v/>
      </c>
      <c r="Q754" t="str" cm="1">
        <f t="array" ref="Q754">IF($BA754="","",INDEX(tblServicios[Vehículo],$BA754))</f>
        <v/>
      </c>
      <c r="R754" s="34" t="str" cm="1">
        <f t="array" ref="R754">IF($BA754="","",INDEX(tblServicios[Base imponible (€)],$BA754)-INDEX(tblServicios[Imp. suplemento (€)],$BA754))</f>
        <v/>
      </c>
      <c r="S754" s="34" t="str" cm="1">
        <f t="array" ref="S754">IF($BA754="","",INDEX(tblServicios[Imp. suplemento (€)],$BA754))</f>
        <v/>
      </c>
      <c r="T754" t="str" cm="1">
        <f t="array" ref="T754">IF($BA754="","",INDEX(tblServicios[Tipo suplemento],$BA754))</f>
        <v/>
      </c>
      <c r="U754" s="2" t="str">
        <f t="shared" si="13"/>
        <v/>
      </c>
      <c r="V754" t="str" cm="1">
        <f t="array" ref="V754">IF($BA754="","",IF(INDEX(tblServicios[Conductor],$BA754)=$T$2,"Conductor",IF(INDEX(tblServicios[Personal adicional],$BA754)=$T$2,"Personal adicional","")))</f>
        <v/>
      </c>
      <c r="BA754" s="33" t="str" cm="1">
        <f t="array" ref="BA7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adicional]=$T$2))&gt;0)),ROW(A756)),"")</f>
        <v/>
      </c>
    </row>
    <row r="755" spans="15:53" x14ac:dyDescent="0.35">
      <c r="O755" s="1" t="str" cm="1">
        <f t="array" ref="O755">IF($BA755="","",INDEX(tblServicios[Fecha],$BA755))</f>
        <v/>
      </c>
      <c r="P755" t="str" cm="1">
        <f t="array" ref="P755">IF($BA755="","",INDEX(tblServicios[Contrato],$BA755))</f>
        <v/>
      </c>
      <c r="Q755" t="str" cm="1">
        <f t="array" ref="Q755">IF($BA755="","",INDEX(tblServicios[Vehículo],$BA755))</f>
        <v/>
      </c>
      <c r="R755" s="34" t="str" cm="1">
        <f t="array" ref="R755">IF($BA755="","",INDEX(tblServicios[Base imponible (€)],$BA755)-INDEX(tblServicios[Imp. suplemento (€)],$BA755))</f>
        <v/>
      </c>
      <c r="S755" s="34" t="str" cm="1">
        <f t="array" ref="S755">IF($BA755="","",INDEX(tblServicios[Imp. suplemento (€)],$BA755))</f>
        <v/>
      </c>
      <c r="T755" t="str" cm="1">
        <f t="array" ref="T755">IF($BA755="","",INDEX(tblServicios[Tipo suplemento],$BA755))</f>
        <v/>
      </c>
      <c r="U755" s="2" t="str">
        <f t="shared" si="13"/>
        <v/>
      </c>
      <c r="V755" t="str" cm="1">
        <f t="array" ref="V755">IF($BA755="","",IF(INDEX(tblServicios[Conductor],$BA755)=$T$2,"Conductor",IF(INDEX(tblServicios[Personal adicional],$BA755)=$T$2,"Personal adicional","")))</f>
        <v/>
      </c>
      <c r="BA755" s="33" t="str" cm="1">
        <f t="array" ref="BA7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adicional]=$T$2))&gt;0)),ROW(A757)),"")</f>
        <v/>
      </c>
    </row>
    <row r="756" spans="15:53" x14ac:dyDescent="0.35">
      <c r="O756" s="1" t="str" cm="1">
        <f t="array" ref="O756">IF($BA756="","",INDEX(tblServicios[Fecha],$BA756))</f>
        <v/>
      </c>
      <c r="P756" t="str" cm="1">
        <f t="array" ref="P756">IF($BA756="","",INDEX(tblServicios[Contrato],$BA756))</f>
        <v/>
      </c>
      <c r="Q756" t="str" cm="1">
        <f t="array" ref="Q756">IF($BA756="","",INDEX(tblServicios[Vehículo],$BA756))</f>
        <v/>
      </c>
      <c r="R756" s="34" t="str" cm="1">
        <f t="array" ref="R756">IF($BA756="","",INDEX(tblServicios[Base imponible (€)],$BA756)-INDEX(tblServicios[Imp. suplemento (€)],$BA756))</f>
        <v/>
      </c>
      <c r="S756" s="34" t="str" cm="1">
        <f t="array" ref="S756">IF($BA756="","",INDEX(tblServicios[Imp. suplemento (€)],$BA756))</f>
        <v/>
      </c>
      <c r="T756" t="str" cm="1">
        <f t="array" ref="T756">IF($BA756="","",INDEX(tblServicios[Tipo suplemento],$BA756))</f>
        <v/>
      </c>
      <c r="U756" s="2" t="str">
        <f t="shared" si="13"/>
        <v/>
      </c>
      <c r="V756" t="str" cm="1">
        <f t="array" ref="V756">IF($BA756="","",IF(INDEX(tblServicios[Conductor],$BA756)=$T$2,"Conductor",IF(INDEX(tblServicios[Personal adicional],$BA756)=$T$2,"Personal adicional","")))</f>
        <v/>
      </c>
      <c r="BA756" s="33" t="str" cm="1">
        <f t="array" ref="BA7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adicional]=$T$2))&gt;0)),ROW(A758)),"")</f>
        <v/>
      </c>
    </row>
    <row r="757" spans="15:53" x14ac:dyDescent="0.35">
      <c r="O757" s="1" t="str" cm="1">
        <f t="array" ref="O757">IF($BA757="","",INDEX(tblServicios[Fecha],$BA757))</f>
        <v/>
      </c>
      <c r="P757" t="str" cm="1">
        <f t="array" ref="P757">IF($BA757="","",INDEX(tblServicios[Contrato],$BA757))</f>
        <v/>
      </c>
      <c r="Q757" t="str" cm="1">
        <f t="array" ref="Q757">IF($BA757="","",INDEX(tblServicios[Vehículo],$BA757))</f>
        <v/>
      </c>
      <c r="R757" s="34" t="str" cm="1">
        <f t="array" ref="R757">IF($BA757="","",INDEX(tblServicios[Base imponible (€)],$BA757)-INDEX(tblServicios[Imp. suplemento (€)],$BA757))</f>
        <v/>
      </c>
      <c r="S757" s="34" t="str" cm="1">
        <f t="array" ref="S757">IF($BA757="","",INDEX(tblServicios[Imp. suplemento (€)],$BA757))</f>
        <v/>
      </c>
      <c r="T757" t="str" cm="1">
        <f t="array" ref="T757">IF($BA757="","",INDEX(tblServicios[Tipo suplemento],$BA757))</f>
        <v/>
      </c>
      <c r="U757" s="2" t="str">
        <f t="shared" si="13"/>
        <v/>
      </c>
      <c r="V757" t="str" cm="1">
        <f t="array" ref="V757">IF($BA757="","",IF(INDEX(tblServicios[Conductor],$BA757)=$T$2,"Conductor",IF(INDEX(tblServicios[Personal adicional],$BA757)=$T$2,"Personal adicional","")))</f>
        <v/>
      </c>
      <c r="BA757" s="33" t="str" cm="1">
        <f t="array" ref="BA7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adicional]=$T$2))&gt;0)),ROW(A759)),"")</f>
        <v/>
      </c>
    </row>
    <row r="758" spans="15:53" x14ac:dyDescent="0.35">
      <c r="O758" s="1" t="str" cm="1">
        <f t="array" ref="O758">IF($BA758="","",INDEX(tblServicios[Fecha],$BA758))</f>
        <v/>
      </c>
      <c r="P758" t="str" cm="1">
        <f t="array" ref="P758">IF($BA758="","",INDEX(tblServicios[Contrato],$BA758))</f>
        <v/>
      </c>
      <c r="Q758" t="str" cm="1">
        <f t="array" ref="Q758">IF($BA758="","",INDEX(tblServicios[Vehículo],$BA758))</f>
        <v/>
      </c>
      <c r="R758" s="34" t="str" cm="1">
        <f t="array" ref="R758">IF($BA758="","",INDEX(tblServicios[Base imponible (€)],$BA758)-INDEX(tblServicios[Imp. suplemento (€)],$BA758))</f>
        <v/>
      </c>
      <c r="S758" s="34" t="str" cm="1">
        <f t="array" ref="S758">IF($BA758="","",INDEX(tblServicios[Imp. suplemento (€)],$BA758))</f>
        <v/>
      </c>
      <c r="T758" t="str" cm="1">
        <f t="array" ref="T758">IF($BA758="","",INDEX(tblServicios[Tipo suplemento],$BA758))</f>
        <v/>
      </c>
      <c r="U758" s="2" t="str">
        <f t="shared" si="13"/>
        <v/>
      </c>
      <c r="V758" t="str" cm="1">
        <f t="array" ref="V758">IF($BA758="","",IF(INDEX(tblServicios[Conductor],$BA758)=$T$2,"Conductor",IF(INDEX(tblServicios[Personal adicional],$BA758)=$T$2,"Personal adicional","")))</f>
        <v/>
      </c>
      <c r="BA758" s="33" t="str" cm="1">
        <f t="array" ref="BA7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adicional]=$T$2))&gt;0)),ROW(A760)),"")</f>
        <v/>
      </c>
    </row>
    <row r="759" spans="15:53" x14ac:dyDescent="0.35">
      <c r="O759" s="1" t="str" cm="1">
        <f t="array" ref="O759">IF($BA759="","",INDEX(tblServicios[Fecha],$BA759))</f>
        <v/>
      </c>
      <c r="P759" t="str" cm="1">
        <f t="array" ref="P759">IF($BA759="","",INDEX(tblServicios[Contrato],$BA759))</f>
        <v/>
      </c>
      <c r="Q759" t="str" cm="1">
        <f t="array" ref="Q759">IF($BA759="","",INDEX(tblServicios[Vehículo],$BA759))</f>
        <v/>
      </c>
      <c r="R759" s="34" t="str" cm="1">
        <f t="array" ref="R759">IF($BA759="","",INDEX(tblServicios[Base imponible (€)],$BA759)-INDEX(tblServicios[Imp. suplemento (€)],$BA759))</f>
        <v/>
      </c>
      <c r="S759" s="34" t="str" cm="1">
        <f t="array" ref="S759">IF($BA759="","",INDEX(tblServicios[Imp. suplemento (€)],$BA759))</f>
        <v/>
      </c>
      <c r="T759" t="str" cm="1">
        <f t="array" ref="T759">IF($BA759="","",INDEX(tblServicios[Tipo suplemento],$BA759))</f>
        <v/>
      </c>
      <c r="U759" s="2" t="str">
        <f t="shared" si="13"/>
        <v/>
      </c>
      <c r="V759" t="str" cm="1">
        <f t="array" ref="V759">IF($BA759="","",IF(INDEX(tblServicios[Conductor],$BA759)=$T$2,"Conductor",IF(INDEX(tblServicios[Personal adicional],$BA759)=$T$2,"Personal adicional","")))</f>
        <v/>
      </c>
      <c r="BA759" s="33" t="str" cm="1">
        <f t="array" ref="BA7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adicional]=$T$2))&gt;0)),ROW(A761)),"")</f>
        <v/>
      </c>
    </row>
    <row r="760" spans="15:53" x14ac:dyDescent="0.35">
      <c r="O760" s="1" t="str" cm="1">
        <f t="array" ref="O760">IF($BA760="","",INDEX(tblServicios[Fecha],$BA760))</f>
        <v/>
      </c>
      <c r="P760" t="str" cm="1">
        <f t="array" ref="P760">IF($BA760="","",INDEX(tblServicios[Contrato],$BA760))</f>
        <v/>
      </c>
      <c r="Q760" t="str" cm="1">
        <f t="array" ref="Q760">IF($BA760="","",INDEX(tblServicios[Vehículo],$BA760))</f>
        <v/>
      </c>
      <c r="R760" s="34" t="str" cm="1">
        <f t="array" ref="R760">IF($BA760="","",INDEX(tblServicios[Base imponible (€)],$BA760)-INDEX(tblServicios[Imp. suplemento (€)],$BA760))</f>
        <v/>
      </c>
      <c r="S760" s="34" t="str" cm="1">
        <f t="array" ref="S760">IF($BA760="","",INDEX(tblServicios[Imp. suplemento (€)],$BA760))</f>
        <v/>
      </c>
      <c r="T760" t="str" cm="1">
        <f t="array" ref="T760">IF($BA760="","",INDEX(tblServicios[Tipo suplemento],$BA760))</f>
        <v/>
      </c>
      <c r="U760" s="2" t="str">
        <f t="shared" si="13"/>
        <v/>
      </c>
      <c r="V760" t="str" cm="1">
        <f t="array" ref="V760">IF($BA760="","",IF(INDEX(tblServicios[Conductor],$BA760)=$T$2,"Conductor",IF(INDEX(tblServicios[Personal adicional],$BA760)=$T$2,"Personal adicional","")))</f>
        <v/>
      </c>
      <c r="BA760" s="33" t="str" cm="1">
        <f t="array" ref="BA7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adicional]=$T$2))&gt;0)),ROW(A762)),"")</f>
        <v/>
      </c>
    </row>
    <row r="761" spans="15:53" x14ac:dyDescent="0.35">
      <c r="O761" s="1" t="str" cm="1">
        <f t="array" ref="O761">IF($BA761="","",INDEX(tblServicios[Fecha],$BA761))</f>
        <v/>
      </c>
      <c r="P761" t="str" cm="1">
        <f t="array" ref="P761">IF($BA761="","",INDEX(tblServicios[Contrato],$BA761))</f>
        <v/>
      </c>
      <c r="Q761" t="str" cm="1">
        <f t="array" ref="Q761">IF($BA761="","",INDEX(tblServicios[Vehículo],$BA761))</f>
        <v/>
      </c>
      <c r="R761" s="34" t="str" cm="1">
        <f t="array" ref="R761">IF($BA761="","",INDEX(tblServicios[Base imponible (€)],$BA761)-INDEX(tblServicios[Imp. suplemento (€)],$BA761))</f>
        <v/>
      </c>
      <c r="S761" s="34" t="str" cm="1">
        <f t="array" ref="S761">IF($BA761="","",INDEX(tblServicios[Imp. suplemento (€)],$BA761))</f>
        <v/>
      </c>
      <c r="T761" t="str" cm="1">
        <f t="array" ref="T761">IF($BA761="","",INDEX(tblServicios[Tipo suplemento],$BA761))</f>
        <v/>
      </c>
      <c r="U761" s="2" t="str">
        <f t="shared" si="13"/>
        <v/>
      </c>
      <c r="V761" t="str" cm="1">
        <f t="array" ref="V761">IF($BA761="","",IF(INDEX(tblServicios[Conductor],$BA761)=$T$2,"Conductor",IF(INDEX(tblServicios[Personal adicional],$BA761)=$T$2,"Personal adicional","")))</f>
        <v/>
      </c>
      <c r="BA761" s="33" t="str" cm="1">
        <f t="array" ref="BA7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adicional]=$T$2))&gt;0)),ROW(A763)),"")</f>
        <v/>
      </c>
    </row>
    <row r="762" spans="15:53" x14ac:dyDescent="0.35">
      <c r="O762" s="1" t="str" cm="1">
        <f t="array" ref="O762">IF($BA762="","",INDEX(tblServicios[Fecha],$BA762))</f>
        <v/>
      </c>
      <c r="P762" t="str" cm="1">
        <f t="array" ref="P762">IF($BA762="","",INDEX(tblServicios[Contrato],$BA762))</f>
        <v/>
      </c>
      <c r="Q762" t="str" cm="1">
        <f t="array" ref="Q762">IF($BA762="","",INDEX(tblServicios[Vehículo],$BA762))</f>
        <v/>
      </c>
      <c r="R762" s="34" t="str" cm="1">
        <f t="array" ref="R762">IF($BA762="","",INDEX(tblServicios[Base imponible (€)],$BA762)-INDEX(tblServicios[Imp. suplemento (€)],$BA762))</f>
        <v/>
      </c>
      <c r="S762" s="34" t="str" cm="1">
        <f t="array" ref="S762">IF($BA762="","",INDEX(tblServicios[Imp. suplemento (€)],$BA762))</f>
        <v/>
      </c>
      <c r="T762" t="str" cm="1">
        <f t="array" ref="T762">IF($BA762="","",INDEX(tblServicios[Tipo suplemento],$BA762))</f>
        <v/>
      </c>
      <c r="U762" s="2" t="str">
        <f t="shared" si="13"/>
        <v/>
      </c>
      <c r="V762" t="str" cm="1">
        <f t="array" ref="V762">IF($BA762="","",IF(INDEX(tblServicios[Conductor],$BA762)=$T$2,"Conductor",IF(INDEX(tblServicios[Personal adicional],$BA762)=$T$2,"Personal adicional","")))</f>
        <v/>
      </c>
      <c r="BA762" s="33" t="str" cm="1">
        <f t="array" ref="BA7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adicional]=$T$2))&gt;0)),ROW(A764)),"")</f>
        <v/>
      </c>
    </row>
    <row r="763" spans="15:53" x14ac:dyDescent="0.35">
      <c r="O763" s="1" t="str" cm="1">
        <f t="array" ref="O763">IF($BA763="","",INDEX(tblServicios[Fecha],$BA763))</f>
        <v/>
      </c>
      <c r="P763" t="str" cm="1">
        <f t="array" ref="P763">IF($BA763="","",INDEX(tblServicios[Contrato],$BA763))</f>
        <v/>
      </c>
      <c r="Q763" t="str" cm="1">
        <f t="array" ref="Q763">IF($BA763="","",INDEX(tblServicios[Vehículo],$BA763))</f>
        <v/>
      </c>
      <c r="R763" s="34" t="str" cm="1">
        <f t="array" ref="R763">IF($BA763="","",INDEX(tblServicios[Base imponible (€)],$BA763)-INDEX(tblServicios[Imp. suplemento (€)],$BA763))</f>
        <v/>
      </c>
      <c r="S763" s="34" t="str" cm="1">
        <f t="array" ref="S763">IF($BA763="","",INDEX(tblServicios[Imp. suplemento (€)],$BA763))</f>
        <v/>
      </c>
      <c r="T763" t="str" cm="1">
        <f t="array" ref="T763">IF($BA763="","",INDEX(tblServicios[Tipo suplemento],$BA763))</f>
        <v/>
      </c>
      <c r="U763" s="2" t="str">
        <f t="shared" si="13"/>
        <v/>
      </c>
      <c r="V763" t="str" cm="1">
        <f t="array" ref="V763">IF($BA763="","",IF(INDEX(tblServicios[Conductor],$BA763)=$T$2,"Conductor",IF(INDEX(tblServicios[Personal adicional],$BA763)=$T$2,"Personal adicional","")))</f>
        <v/>
      </c>
      <c r="BA763" s="33" t="str" cm="1">
        <f t="array" ref="BA7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adicional]=$T$2))&gt;0)),ROW(A765)),"")</f>
        <v/>
      </c>
    </row>
    <row r="764" spans="15:53" x14ac:dyDescent="0.35">
      <c r="O764" s="1" t="str" cm="1">
        <f t="array" ref="O764">IF($BA764="","",INDEX(tblServicios[Fecha],$BA764))</f>
        <v/>
      </c>
      <c r="P764" t="str" cm="1">
        <f t="array" ref="P764">IF($BA764="","",INDEX(tblServicios[Contrato],$BA764))</f>
        <v/>
      </c>
      <c r="Q764" t="str" cm="1">
        <f t="array" ref="Q764">IF($BA764="","",INDEX(tblServicios[Vehículo],$BA764))</f>
        <v/>
      </c>
      <c r="R764" s="34" t="str" cm="1">
        <f t="array" ref="R764">IF($BA764="","",INDEX(tblServicios[Base imponible (€)],$BA764)-INDEX(tblServicios[Imp. suplemento (€)],$BA764))</f>
        <v/>
      </c>
      <c r="S764" s="34" t="str" cm="1">
        <f t="array" ref="S764">IF($BA764="","",INDEX(tblServicios[Imp. suplemento (€)],$BA764))</f>
        <v/>
      </c>
      <c r="T764" t="str" cm="1">
        <f t="array" ref="T764">IF($BA764="","",INDEX(tblServicios[Tipo suplemento],$BA764))</f>
        <v/>
      </c>
      <c r="U764" s="2" t="str">
        <f t="shared" si="13"/>
        <v/>
      </c>
      <c r="V764" t="str" cm="1">
        <f t="array" ref="V764">IF($BA764="","",IF(INDEX(tblServicios[Conductor],$BA764)=$T$2,"Conductor",IF(INDEX(tblServicios[Personal adicional],$BA764)=$T$2,"Personal adicional","")))</f>
        <v/>
      </c>
      <c r="BA764" s="33" t="str" cm="1">
        <f t="array" ref="BA7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adicional]=$T$2))&gt;0)),ROW(A766)),"")</f>
        <v/>
      </c>
    </row>
    <row r="765" spans="15:53" x14ac:dyDescent="0.35">
      <c r="O765" s="1" t="str" cm="1">
        <f t="array" ref="O765">IF($BA765="","",INDEX(tblServicios[Fecha],$BA765))</f>
        <v/>
      </c>
      <c r="P765" t="str" cm="1">
        <f t="array" ref="P765">IF($BA765="","",INDEX(tblServicios[Contrato],$BA765))</f>
        <v/>
      </c>
      <c r="Q765" t="str" cm="1">
        <f t="array" ref="Q765">IF($BA765="","",INDEX(tblServicios[Vehículo],$BA765))</f>
        <v/>
      </c>
      <c r="R765" s="34" t="str" cm="1">
        <f t="array" ref="R765">IF($BA765="","",INDEX(tblServicios[Base imponible (€)],$BA765)-INDEX(tblServicios[Imp. suplemento (€)],$BA765))</f>
        <v/>
      </c>
      <c r="S765" s="34" t="str" cm="1">
        <f t="array" ref="S765">IF($BA765="","",INDEX(tblServicios[Imp. suplemento (€)],$BA765))</f>
        <v/>
      </c>
      <c r="T765" t="str" cm="1">
        <f t="array" ref="T765">IF($BA765="","",INDEX(tblServicios[Tipo suplemento],$BA765))</f>
        <v/>
      </c>
      <c r="U765" s="2" t="str">
        <f t="shared" si="13"/>
        <v/>
      </c>
      <c r="V765" t="str" cm="1">
        <f t="array" ref="V765">IF($BA765="","",IF(INDEX(tblServicios[Conductor],$BA765)=$T$2,"Conductor",IF(INDEX(tblServicios[Personal adicional],$BA765)=$T$2,"Personal adicional","")))</f>
        <v/>
      </c>
      <c r="BA765" s="33" t="str" cm="1">
        <f t="array" ref="BA7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adicional]=$T$2))&gt;0)),ROW(A767)),"")</f>
        <v/>
      </c>
    </row>
    <row r="766" spans="15:53" x14ac:dyDescent="0.35">
      <c r="O766" s="1" t="str" cm="1">
        <f t="array" ref="O766">IF($BA766="","",INDEX(tblServicios[Fecha],$BA766))</f>
        <v/>
      </c>
      <c r="P766" t="str" cm="1">
        <f t="array" ref="P766">IF($BA766="","",INDEX(tblServicios[Contrato],$BA766))</f>
        <v/>
      </c>
      <c r="Q766" t="str" cm="1">
        <f t="array" ref="Q766">IF($BA766="","",INDEX(tblServicios[Vehículo],$BA766))</f>
        <v/>
      </c>
      <c r="R766" s="34" t="str" cm="1">
        <f t="array" ref="R766">IF($BA766="","",INDEX(tblServicios[Base imponible (€)],$BA766)-INDEX(tblServicios[Imp. suplemento (€)],$BA766))</f>
        <v/>
      </c>
      <c r="S766" s="34" t="str" cm="1">
        <f t="array" ref="S766">IF($BA766="","",INDEX(tblServicios[Imp. suplemento (€)],$BA766))</f>
        <v/>
      </c>
      <c r="T766" t="str" cm="1">
        <f t="array" ref="T766">IF($BA766="","",INDEX(tblServicios[Tipo suplemento],$BA766))</f>
        <v/>
      </c>
      <c r="U766" s="2" t="str">
        <f t="shared" si="13"/>
        <v/>
      </c>
      <c r="V766" t="str" cm="1">
        <f t="array" ref="V766">IF($BA766="","",IF(INDEX(tblServicios[Conductor],$BA766)=$T$2,"Conductor",IF(INDEX(tblServicios[Personal adicional],$BA766)=$T$2,"Personal adicional","")))</f>
        <v/>
      </c>
      <c r="BA766" s="33" t="str" cm="1">
        <f t="array" ref="BA7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adicional]=$T$2))&gt;0)),ROW(A768)),"")</f>
        <v/>
      </c>
    </row>
    <row r="767" spans="15:53" x14ac:dyDescent="0.35">
      <c r="O767" s="1" t="str" cm="1">
        <f t="array" ref="O767">IF($BA767="","",INDEX(tblServicios[Fecha],$BA767))</f>
        <v/>
      </c>
      <c r="P767" t="str" cm="1">
        <f t="array" ref="P767">IF($BA767="","",INDEX(tblServicios[Contrato],$BA767))</f>
        <v/>
      </c>
      <c r="Q767" t="str" cm="1">
        <f t="array" ref="Q767">IF($BA767="","",INDEX(tblServicios[Vehículo],$BA767))</f>
        <v/>
      </c>
      <c r="R767" s="34" t="str" cm="1">
        <f t="array" ref="R767">IF($BA767="","",INDEX(tblServicios[Base imponible (€)],$BA767)-INDEX(tblServicios[Imp. suplemento (€)],$BA767))</f>
        <v/>
      </c>
      <c r="S767" s="34" t="str" cm="1">
        <f t="array" ref="S767">IF($BA767="","",INDEX(tblServicios[Imp. suplemento (€)],$BA767))</f>
        <v/>
      </c>
      <c r="T767" t="str" cm="1">
        <f t="array" ref="T767">IF($BA767="","",INDEX(tblServicios[Tipo suplemento],$BA767))</f>
        <v/>
      </c>
      <c r="U767" s="2" t="str">
        <f t="shared" si="13"/>
        <v/>
      </c>
      <c r="V767" t="str" cm="1">
        <f t="array" ref="V767">IF($BA767="","",IF(INDEX(tblServicios[Conductor],$BA767)=$T$2,"Conductor",IF(INDEX(tblServicios[Personal adicional],$BA767)=$T$2,"Personal adicional","")))</f>
        <v/>
      </c>
      <c r="BA767" s="33" t="str" cm="1">
        <f t="array" ref="BA7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adicional]=$T$2))&gt;0)),ROW(A769)),"")</f>
        <v/>
      </c>
    </row>
    <row r="768" spans="15:53" x14ac:dyDescent="0.35">
      <c r="O768" s="1" t="str" cm="1">
        <f t="array" ref="O768">IF($BA768="","",INDEX(tblServicios[Fecha],$BA768))</f>
        <v/>
      </c>
      <c r="P768" t="str" cm="1">
        <f t="array" ref="P768">IF($BA768="","",INDEX(tblServicios[Contrato],$BA768))</f>
        <v/>
      </c>
      <c r="Q768" t="str" cm="1">
        <f t="array" ref="Q768">IF($BA768="","",INDEX(tblServicios[Vehículo],$BA768))</f>
        <v/>
      </c>
      <c r="R768" s="34" t="str" cm="1">
        <f t="array" ref="R768">IF($BA768="","",INDEX(tblServicios[Base imponible (€)],$BA768)-INDEX(tblServicios[Imp. suplemento (€)],$BA768))</f>
        <v/>
      </c>
      <c r="S768" s="34" t="str" cm="1">
        <f t="array" ref="S768">IF($BA768="","",INDEX(tblServicios[Imp. suplemento (€)],$BA768))</f>
        <v/>
      </c>
      <c r="T768" t="str" cm="1">
        <f t="array" ref="T768">IF($BA768="","",INDEX(tblServicios[Tipo suplemento],$BA768))</f>
        <v/>
      </c>
      <c r="U768" s="2" t="str">
        <f t="shared" si="13"/>
        <v/>
      </c>
      <c r="V768" t="str" cm="1">
        <f t="array" ref="V768">IF($BA768="","",IF(INDEX(tblServicios[Conductor],$BA768)=$T$2,"Conductor",IF(INDEX(tblServicios[Personal adicional],$BA768)=$T$2,"Personal adicional","")))</f>
        <v/>
      </c>
      <c r="BA768" s="33" t="str" cm="1">
        <f t="array" ref="BA7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adicional]=$T$2))&gt;0)),ROW(A770)),"")</f>
        <v/>
      </c>
    </row>
    <row r="769" spans="15:53" x14ac:dyDescent="0.35">
      <c r="O769" s="1" t="str" cm="1">
        <f t="array" ref="O769">IF($BA769="","",INDEX(tblServicios[Fecha],$BA769))</f>
        <v/>
      </c>
      <c r="P769" t="str" cm="1">
        <f t="array" ref="P769">IF($BA769="","",INDEX(tblServicios[Contrato],$BA769))</f>
        <v/>
      </c>
      <c r="Q769" t="str" cm="1">
        <f t="array" ref="Q769">IF($BA769="","",INDEX(tblServicios[Vehículo],$BA769))</f>
        <v/>
      </c>
      <c r="R769" s="34" t="str" cm="1">
        <f t="array" ref="R769">IF($BA769="","",INDEX(tblServicios[Base imponible (€)],$BA769)-INDEX(tblServicios[Imp. suplemento (€)],$BA769))</f>
        <v/>
      </c>
      <c r="S769" s="34" t="str" cm="1">
        <f t="array" ref="S769">IF($BA769="","",INDEX(tblServicios[Imp. suplemento (€)],$BA769))</f>
        <v/>
      </c>
      <c r="T769" t="str" cm="1">
        <f t="array" ref="T769">IF($BA769="","",INDEX(tblServicios[Tipo suplemento],$BA769))</f>
        <v/>
      </c>
      <c r="U769" s="2" t="str">
        <f t="shared" si="13"/>
        <v/>
      </c>
      <c r="V769" t="str" cm="1">
        <f t="array" ref="V769">IF($BA769="","",IF(INDEX(tblServicios[Conductor],$BA769)=$T$2,"Conductor",IF(INDEX(tblServicios[Personal adicional],$BA769)=$T$2,"Personal adicional","")))</f>
        <v/>
      </c>
      <c r="BA769" s="33" t="str" cm="1">
        <f t="array" ref="BA7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adicional]=$T$2))&gt;0)),ROW(A771)),"")</f>
        <v/>
      </c>
    </row>
    <row r="770" spans="15:53" x14ac:dyDescent="0.35">
      <c r="O770" s="1" t="str" cm="1">
        <f t="array" ref="O770">IF($BA770="","",INDEX(tblServicios[Fecha],$BA770))</f>
        <v/>
      </c>
      <c r="P770" t="str" cm="1">
        <f t="array" ref="P770">IF($BA770="","",INDEX(tblServicios[Contrato],$BA770))</f>
        <v/>
      </c>
      <c r="Q770" t="str" cm="1">
        <f t="array" ref="Q770">IF($BA770="","",INDEX(tblServicios[Vehículo],$BA770))</f>
        <v/>
      </c>
      <c r="R770" s="34" t="str" cm="1">
        <f t="array" ref="R770">IF($BA770="","",INDEX(tblServicios[Base imponible (€)],$BA770)-INDEX(tblServicios[Imp. suplemento (€)],$BA770))</f>
        <v/>
      </c>
      <c r="S770" s="34" t="str" cm="1">
        <f t="array" ref="S770">IF($BA770="","",INDEX(tblServicios[Imp. suplemento (€)],$BA770))</f>
        <v/>
      </c>
      <c r="T770" t="str" cm="1">
        <f t="array" ref="T770">IF($BA770="","",INDEX(tblServicios[Tipo suplemento],$BA770))</f>
        <v/>
      </c>
      <c r="U770" s="2" t="str">
        <f t="shared" si="13"/>
        <v/>
      </c>
      <c r="V770" t="str" cm="1">
        <f t="array" ref="V770">IF($BA770="","",IF(INDEX(tblServicios[Conductor],$BA770)=$T$2,"Conductor",IF(INDEX(tblServicios[Personal adicional],$BA770)=$T$2,"Personal adicional","")))</f>
        <v/>
      </c>
      <c r="BA770" s="33" t="str" cm="1">
        <f t="array" ref="BA7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adicional]=$T$2))&gt;0)),ROW(A772)),"")</f>
        <v/>
      </c>
    </row>
    <row r="771" spans="15:53" x14ac:dyDescent="0.35">
      <c r="O771" s="1" t="str" cm="1">
        <f t="array" ref="O771">IF($BA771="","",INDEX(tblServicios[Fecha],$BA771))</f>
        <v/>
      </c>
      <c r="P771" t="str" cm="1">
        <f t="array" ref="P771">IF($BA771="","",INDEX(tblServicios[Contrato],$BA771))</f>
        <v/>
      </c>
      <c r="Q771" t="str" cm="1">
        <f t="array" ref="Q771">IF($BA771="","",INDEX(tblServicios[Vehículo],$BA771))</f>
        <v/>
      </c>
      <c r="R771" s="34" t="str" cm="1">
        <f t="array" ref="R771">IF($BA771="","",INDEX(tblServicios[Base imponible (€)],$BA771)-INDEX(tblServicios[Imp. suplemento (€)],$BA771))</f>
        <v/>
      </c>
      <c r="S771" s="34" t="str" cm="1">
        <f t="array" ref="S771">IF($BA771="","",INDEX(tblServicios[Imp. suplemento (€)],$BA771))</f>
        <v/>
      </c>
      <c r="T771" t="str" cm="1">
        <f t="array" ref="T771">IF($BA771="","",INDEX(tblServicios[Tipo suplemento],$BA771))</f>
        <v/>
      </c>
      <c r="U771" s="2" t="str">
        <f t="shared" si="13"/>
        <v/>
      </c>
      <c r="V771" t="str" cm="1">
        <f t="array" ref="V771">IF($BA771="","",IF(INDEX(tblServicios[Conductor],$BA771)=$T$2,"Conductor",IF(INDEX(tblServicios[Personal adicional],$BA771)=$T$2,"Personal adicional","")))</f>
        <v/>
      </c>
      <c r="BA771" s="33" t="str" cm="1">
        <f t="array" ref="BA7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adicional]=$T$2))&gt;0)),ROW(A773)),"")</f>
        <v/>
      </c>
    </row>
    <row r="772" spans="15:53" x14ac:dyDescent="0.35">
      <c r="O772" s="1" t="str" cm="1">
        <f t="array" ref="O772">IF($BA772="","",INDEX(tblServicios[Fecha],$BA772))</f>
        <v/>
      </c>
      <c r="P772" t="str" cm="1">
        <f t="array" ref="P772">IF($BA772="","",INDEX(tblServicios[Contrato],$BA772))</f>
        <v/>
      </c>
      <c r="Q772" t="str" cm="1">
        <f t="array" ref="Q772">IF($BA772="","",INDEX(tblServicios[Vehículo],$BA772))</f>
        <v/>
      </c>
      <c r="R772" s="34" t="str" cm="1">
        <f t="array" ref="R772">IF($BA772="","",INDEX(tblServicios[Base imponible (€)],$BA772)-INDEX(tblServicios[Imp. suplemento (€)],$BA772))</f>
        <v/>
      </c>
      <c r="S772" s="34" t="str" cm="1">
        <f t="array" ref="S772">IF($BA772="","",INDEX(tblServicios[Imp. suplemento (€)],$BA772))</f>
        <v/>
      </c>
      <c r="T772" t="str" cm="1">
        <f t="array" ref="T772">IF($BA772="","",INDEX(tblServicios[Tipo suplemento],$BA772))</f>
        <v/>
      </c>
      <c r="U772" s="2" t="str">
        <f t="shared" si="13"/>
        <v/>
      </c>
      <c r="V772" t="str" cm="1">
        <f t="array" ref="V772">IF($BA772="","",IF(INDEX(tblServicios[Conductor],$BA772)=$T$2,"Conductor",IF(INDEX(tblServicios[Personal adicional],$BA772)=$T$2,"Personal adicional","")))</f>
        <v/>
      </c>
      <c r="BA772" s="33" t="str" cm="1">
        <f t="array" ref="BA7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adicional]=$T$2))&gt;0)),ROW(A774)),"")</f>
        <v/>
      </c>
    </row>
    <row r="773" spans="15:53" x14ac:dyDescent="0.35">
      <c r="O773" s="1" t="str" cm="1">
        <f t="array" ref="O773">IF($BA773="","",INDEX(tblServicios[Fecha],$BA773))</f>
        <v/>
      </c>
      <c r="P773" t="str" cm="1">
        <f t="array" ref="P773">IF($BA773="","",INDEX(tblServicios[Contrato],$BA773))</f>
        <v/>
      </c>
      <c r="Q773" t="str" cm="1">
        <f t="array" ref="Q773">IF($BA773="","",INDEX(tblServicios[Vehículo],$BA773))</f>
        <v/>
      </c>
      <c r="R773" s="34" t="str" cm="1">
        <f t="array" ref="R773">IF($BA773="","",INDEX(tblServicios[Base imponible (€)],$BA773)-INDEX(tblServicios[Imp. suplemento (€)],$BA773))</f>
        <v/>
      </c>
      <c r="S773" s="34" t="str" cm="1">
        <f t="array" ref="S773">IF($BA773="","",INDEX(tblServicios[Imp. suplemento (€)],$BA773))</f>
        <v/>
      </c>
      <c r="T773" t="str" cm="1">
        <f t="array" ref="T773">IF($BA773="","",INDEX(tblServicios[Tipo suplemento],$BA773))</f>
        <v/>
      </c>
      <c r="U773" s="2" t="str">
        <f t="shared" si="13"/>
        <v/>
      </c>
      <c r="V773" t="str" cm="1">
        <f t="array" ref="V773">IF($BA773="","",IF(INDEX(tblServicios[Conductor],$BA773)=$T$2,"Conductor",IF(INDEX(tblServicios[Personal adicional],$BA773)=$T$2,"Personal adicional","")))</f>
        <v/>
      </c>
      <c r="BA773" s="33" t="str" cm="1">
        <f t="array" ref="BA7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adicional]=$T$2))&gt;0)),ROW(A775)),"")</f>
        <v/>
      </c>
    </row>
    <row r="774" spans="15:53" x14ac:dyDescent="0.35">
      <c r="O774" s="1" t="str" cm="1">
        <f t="array" ref="O774">IF($BA774="","",INDEX(tblServicios[Fecha],$BA774))</f>
        <v/>
      </c>
      <c r="P774" t="str" cm="1">
        <f t="array" ref="P774">IF($BA774="","",INDEX(tblServicios[Contrato],$BA774))</f>
        <v/>
      </c>
      <c r="Q774" t="str" cm="1">
        <f t="array" ref="Q774">IF($BA774="","",INDEX(tblServicios[Vehículo],$BA774))</f>
        <v/>
      </c>
      <c r="R774" s="34" t="str" cm="1">
        <f t="array" ref="R774">IF($BA774="","",INDEX(tblServicios[Base imponible (€)],$BA774)-INDEX(tblServicios[Imp. suplemento (€)],$BA774))</f>
        <v/>
      </c>
      <c r="S774" s="34" t="str" cm="1">
        <f t="array" ref="S774">IF($BA774="","",INDEX(tblServicios[Imp. suplemento (€)],$BA774))</f>
        <v/>
      </c>
      <c r="T774" t="str" cm="1">
        <f t="array" ref="T774">IF($BA774="","",INDEX(tblServicios[Tipo suplemento],$BA774))</f>
        <v/>
      </c>
      <c r="U774" s="2" t="str">
        <f t="shared" si="13"/>
        <v/>
      </c>
      <c r="V774" t="str" cm="1">
        <f t="array" ref="V774">IF($BA774="","",IF(INDEX(tblServicios[Conductor],$BA774)=$T$2,"Conductor",IF(INDEX(tblServicios[Personal adicional],$BA774)=$T$2,"Personal adicional","")))</f>
        <v/>
      </c>
      <c r="BA774" s="33" t="str" cm="1">
        <f t="array" ref="BA7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adicional]=$T$2))&gt;0)),ROW(A776)),"")</f>
        <v/>
      </c>
    </row>
    <row r="775" spans="15:53" x14ac:dyDescent="0.35">
      <c r="O775" s="1" t="str" cm="1">
        <f t="array" ref="O775">IF($BA775="","",INDEX(tblServicios[Fecha],$BA775))</f>
        <v/>
      </c>
      <c r="P775" t="str" cm="1">
        <f t="array" ref="P775">IF($BA775="","",INDEX(tblServicios[Contrato],$BA775))</f>
        <v/>
      </c>
      <c r="Q775" t="str" cm="1">
        <f t="array" ref="Q775">IF($BA775="","",INDEX(tblServicios[Vehículo],$BA775))</f>
        <v/>
      </c>
      <c r="R775" s="34" t="str" cm="1">
        <f t="array" ref="R775">IF($BA775="","",INDEX(tblServicios[Base imponible (€)],$BA775)-INDEX(tblServicios[Imp. suplemento (€)],$BA775))</f>
        <v/>
      </c>
      <c r="S775" s="34" t="str" cm="1">
        <f t="array" ref="S775">IF($BA775="","",INDEX(tblServicios[Imp. suplemento (€)],$BA775))</f>
        <v/>
      </c>
      <c r="T775" t="str" cm="1">
        <f t="array" ref="T775">IF($BA775="","",INDEX(tblServicios[Tipo suplemento],$BA775))</f>
        <v/>
      </c>
      <c r="U775" s="2" t="str">
        <f t="shared" ref="U775:U838" si="14">IF($BA775="","",R775+S775)</f>
        <v/>
      </c>
      <c r="V775" t="str" cm="1">
        <f t="array" ref="V775">IF($BA775="","",IF(INDEX(tblServicios[Conductor],$BA775)=$T$2,"Conductor",IF(INDEX(tblServicios[Personal adicional],$BA775)=$T$2,"Personal adicional","")))</f>
        <v/>
      </c>
      <c r="BA775" s="33" t="str" cm="1">
        <f t="array" ref="BA7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adicional]=$T$2))&gt;0)),ROW(A777)),"")</f>
        <v/>
      </c>
    </row>
    <row r="776" spans="15:53" x14ac:dyDescent="0.35">
      <c r="O776" s="1" t="str" cm="1">
        <f t="array" ref="O776">IF($BA776="","",INDEX(tblServicios[Fecha],$BA776))</f>
        <v/>
      </c>
      <c r="P776" t="str" cm="1">
        <f t="array" ref="P776">IF($BA776="","",INDEX(tblServicios[Contrato],$BA776))</f>
        <v/>
      </c>
      <c r="Q776" t="str" cm="1">
        <f t="array" ref="Q776">IF($BA776="","",INDEX(tblServicios[Vehículo],$BA776))</f>
        <v/>
      </c>
      <c r="R776" s="34" t="str" cm="1">
        <f t="array" ref="R776">IF($BA776="","",INDEX(tblServicios[Base imponible (€)],$BA776)-INDEX(tblServicios[Imp. suplemento (€)],$BA776))</f>
        <v/>
      </c>
      <c r="S776" s="34" t="str" cm="1">
        <f t="array" ref="S776">IF($BA776="","",INDEX(tblServicios[Imp. suplemento (€)],$BA776))</f>
        <v/>
      </c>
      <c r="T776" t="str" cm="1">
        <f t="array" ref="T776">IF($BA776="","",INDEX(tblServicios[Tipo suplemento],$BA776))</f>
        <v/>
      </c>
      <c r="U776" s="2" t="str">
        <f t="shared" si="14"/>
        <v/>
      </c>
      <c r="V776" t="str" cm="1">
        <f t="array" ref="V776">IF($BA776="","",IF(INDEX(tblServicios[Conductor],$BA776)=$T$2,"Conductor",IF(INDEX(tblServicios[Personal adicional],$BA776)=$T$2,"Personal adicional","")))</f>
        <v/>
      </c>
      <c r="BA776" s="33" t="str" cm="1">
        <f t="array" ref="BA7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adicional]=$T$2))&gt;0)),ROW(A778)),"")</f>
        <v/>
      </c>
    </row>
    <row r="777" spans="15:53" x14ac:dyDescent="0.35">
      <c r="O777" s="1" t="str" cm="1">
        <f t="array" ref="O777">IF($BA777="","",INDEX(tblServicios[Fecha],$BA777))</f>
        <v/>
      </c>
      <c r="P777" t="str" cm="1">
        <f t="array" ref="P777">IF($BA777="","",INDEX(tblServicios[Contrato],$BA777))</f>
        <v/>
      </c>
      <c r="Q777" t="str" cm="1">
        <f t="array" ref="Q777">IF($BA777="","",INDEX(tblServicios[Vehículo],$BA777))</f>
        <v/>
      </c>
      <c r="R777" s="34" t="str" cm="1">
        <f t="array" ref="R777">IF($BA777="","",INDEX(tblServicios[Base imponible (€)],$BA777)-INDEX(tblServicios[Imp. suplemento (€)],$BA777))</f>
        <v/>
      </c>
      <c r="S777" s="34" t="str" cm="1">
        <f t="array" ref="S777">IF($BA777="","",INDEX(tblServicios[Imp. suplemento (€)],$BA777))</f>
        <v/>
      </c>
      <c r="T777" t="str" cm="1">
        <f t="array" ref="T777">IF($BA777="","",INDEX(tblServicios[Tipo suplemento],$BA777))</f>
        <v/>
      </c>
      <c r="U777" s="2" t="str">
        <f t="shared" si="14"/>
        <v/>
      </c>
      <c r="V777" t="str" cm="1">
        <f t="array" ref="V777">IF($BA777="","",IF(INDEX(tblServicios[Conductor],$BA777)=$T$2,"Conductor",IF(INDEX(tblServicios[Personal adicional],$BA777)=$T$2,"Personal adicional","")))</f>
        <v/>
      </c>
      <c r="BA777" s="33" t="str" cm="1">
        <f t="array" ref="BA7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adicional]=$T$2))&gt;0)),ROW(A779)),"")</f>
        <v/>
      </c>
    </row>
    <row r="778" spans="15:53" x14ac:dyDescent="0.35">
      <c r="O778" s="1" t="str" cm="1">
        <f t="array" ref="O778">IF($BA778="","",INDEX(tblServicios[Fecha],$BA778))</f>
        <v/>
      </c>
      <c r="P778" t="str" cm="1">
        <f t="array" ref="P778">IF($BA778="","",INDEX(tblServicios[Contrato],$BA778))</f>
        <v/>
      </c>
      <c r="Q778" t="str" cm="1">
        <f t="array" ref="Q778">IF($BA778="","",INDEX(tblServicios[Vehículo],$BA778))</f>
        <v/>
      </c>
      <c r="R778" s="34" t="str" cm="1">
        <f t="array" ref="R778">IF($BA778="","",INDEX(tblServicios[Base imponible (€)],$BA778)-INDEX(tblServicios[Imp. suplemento (€)],$BA778))</f>
        <v/>
      </c>
      <c r="S778" s="34" t="str" cm="1">
        <f t="array" ref="S778">IF($BA778="","",INDEX(tblServicios[Imp. suplemento (€)],$BA778))</f>
        <v/>
      </c>
      <c r="T778" t="str" cm="1">
        <f t="array" ref="T778">IF($BA778="","",INDEX(tblServicios[Tipo suplemento],$BA778))</f>
        <v/>
      </c>
      <c r="U778" s="2" t="str">
        <f t="shared" si="14"/>
        <v/>
      </c>
      <c r="V778" t="str" cm="1">
        <f t="array" ref="V778">IF($BA778="","",IF(INDEX(tblServicios[Conductor],$BA778)=$T$2,"Conductor",IF(INDEX(tblServicios[Personal adicional],$BA778)=$T$2,"Personal adicional","")))</f>
        <v/>
      </c>
      <c r="BA778" s="33" t="str" cm="1">
        <f t="array" ref="BA7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adicional]=$T$2))&gt;0)),ROW(A780)),"")</f>
        <v/>
      </c>
    </row>
    <row r="779" spans="15:53" x14ac:dyDescent="0.35">
      <c r="O779" s="1" t="str" cm="1">
        <f t="array" ref="O779">IF($BA779="","",INDEX(tblServicios[Fecha],$BA779))</f>
        <v/>
      </c>
      <c r="P779" t="str" cm="1">
        <f t="array" ref="P779">IF($BA779="","",INDEX(tblServicios[Contrato],$BA779))</f>
        <v/>
      </c>
      <c r="Q779" t="str" cm="1">
        <f t="array" ref="Q779">IF($BA779="","",INDEX(tblServicios[Vehículo],$BA779))</f>
        <v/>
      </c>
      <c r="R779" s="34" t="str" cm="1">
        <f t="array" ref="R779">IF($BA779="","",INDEX(tblServicios[Base imponible (€)],$BA779)-INDEX(tblServicios[Imp. suplemento (€)],$BA779))</f>
        <v/>
      </c>
      <c r="S779" s="34" t="str" cm="1">
        <f t="array" ref="S779">IF($BA779="","",INDEX(tblServicios[Imp. suplemento (€)],$BA779))</f>
        <v/>
      </c>
      <c r="T779" t="str" cm="1">
        <f t="array" ref="T779">IF($BA779="","",INDEX(tblServicios[Tipo suplemento],$BA779))</f>
        <v/>
      </c>
      <c r="U779" s="2" t="str">
        <f t="shared" si="14"/>
        <v/>
      </c>
      <c r="V779" t="str" cm="1">
        <f t="array" ref="V779">IF($BA779="","",IF(INDEX(tblServicios[Conductor],$BA779)=$T$2,"Conductor",IF(INDEX(tblServicios[Personal adicional],$BA779)=$T$2,"Personal adicional","")))</f>
        <v/>
      </c>
      <c r="BA779" s="33" t="str" cm="1">
        <f t="array" ref="BA7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adicional]=$T$2))&gt;0)),ROW(A781)),"")</f>
        <v/>
      </c>
    </row>
    <row r="780" spans="15:53" x14ac:dyDescent="0.35">
      <c r="O780" s="1" t="str" cm="1">
        <f t="array" ref="O780">IF($BA780="","",INDEX(tblServicios[Fecha],$BA780))</f>
        <v/>
      </c>
      <c r="P780" t="str" cm="1">
        <f t="array" ref="P780">IF($BA780="","",INDEX(tblServicios[Contrato],$BA780))</f>
        <v/>
      </c>
      <c r="Q780" t="str" cm="1">
        <f t="array" ref="Q780">IF($BA780="","",INDEX(tblServicios[Vehículo],$BA780))</f>
        <v/>
      </c>
      <c r="R780" s="34" t="str" cm="1">
        <f t="array" ref="R780">IF($BA780="","",INDEX(tblServicios[Base imponible (€)],$BA780)-INDEX(tblServicios[Imp. suplemento (€)],$BA780))</f>
        <v/>
      </c>
      <c r="S780" s="34" t="str" cm="1">
        <f t="array" ref="S780">IF($BA780="","",INDEX(tblServicios[Imp. suplemento (€)],$BA780))</f>
        <v/>
      </c>
      <c r="T780" t="str" cm="1">
        <f t="array" ref="T780">IF($BA780="","",INDEX(tblServicios[Tipo suplemento],$BA780))</f>
        <v/>
      </c>
      <c r="U780" s="2" t="str">
        <f t="shared" si="14"/>
        <v/>
      </c>
      <c r="V780" t="str" cm="1">
        <f t="array" ref="V780">IF($BA780="","",IF(INDEX(tblServicios[Conductor],$BA780)=$T$2,"Conductor",IF(INDEX(tblServicios[Personal adicional],$BA780)=$T$2,"Personal adicional","")))</f>
        <v/>
      </c>
      <c r="BA780" s="33" t="str" cm="1">
        <f t="array" ref="BA7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adicional]=$T$2))&gt;0)),ROW(A782)),"")</f>
        <v/>
      </c>
    </row>
    <row r="781" spans="15:53" x14ac:dyDescent="0.35">
      <c r="O781" s="1" t="str" cm="1">
        <f t="array" ref="O781">IF($BA781="","",INDEX(tblServicios[Fecha],$BA781))</f>
        <v/>
      </c>
      <c r="P781" t="str" cm="1">
        <f t="array" ref="P781">IF($BA781="","",INDEX(tblServicios[Contrato],$BA781))</f>
        <v/>
      </c>
      <c r="Q781" t="str" cm="1">
        <f t="array" ref="Q781">IF($BA781="","",INDEX(tblServicios[Vehículo],$BA781))</f>
        <v/>
      </c>
      <c r="R781" s="34" t="str" cm="1">
        <f t="array" ref="R781">IF($BA781="","",INDEX(tblServicios[Base imponible (€)],$BA781)-INDEX(tblServicios[Imp. suplemento (€)],$BA781))</f>
        <v/>
      </c>
      <c r="S781" s="34" t="str" cm="1">
        <f t="array" ref="S781">IF($BA781="","",INDEX(tblServicios[Imp. suplemento (€)],$BA781))</f>
        <v/>
      </c>
      <c r="T781" t="str" cm="1">
        <f t="array" ref="T781">IF($BA781="","",INDEX(tblServicios[Tipo suplemento],$BA781))</f>
        <v/>
      </c>
      <c r="U781" s="2" t="str">
        <f t="shared" si="14"/>
        <v/>
      </c>
      <c r="V781" t="str" cm="1">
        <f t="array" ref="V781">IF($BA781="","",IF(INDEX(tblServicios[Conductor],$BA781)=$T$2,"Conductor",IF(INDEX(tblServicios[Personal adicional],$BA781)=$T$2,"Personal adicional","")))</f>
        <v/>
      </c>
      <c r="BA781" s="33" t="str" cm="1">
        <f t="array" ref="BA7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adicional]=$T$2))&gt;0)),ROW(A783)),"")</f>
        <v/>
      </c>
    </row>
    <row r="782" spans="15:53" x14ac:dyDescent="0.35">
      <c r="O782" s="1" t="str" cm="1">
        <f t="array" ref="O782">IF($BA782="","",INDEX(tblServicios[Fecha],$BA782))</f>
        <v/>
      </c>
      <c r="P782" t="str" cm="1">
        <f t="array" ref="P782">IF($BA782="","",INDEX(tblServicios[Contrato],$BA782))</f>
        <v/>
      </c>
      <c r="Q782" t="str" cm="1">
        <f t="array" ref="Q782">IF($BA782="","",INDEX(tblServicios[Vehículo],$BA782))</f>
        <v/>
      </c>
      <c r="R782" s="34" t="str" cm="1">
        <f t="array" ref="R782">IF($BA782="","",INDEX(tblServicios[Base imponible (€)],$BA782)-INDEX(tblServicios[Imp. suplemento (€)],$BA782))</f>
        <v/>
      </c>
      <c r="S782" s="34" t="str" cm="1">
        <f t="array" ref="S782">IF($BA782="","",INDEX(tblServicios[Imp. suplemento (€)],$BA782))</f>
        <v/>
      </c>
      <c r="T782" t="str" cm="1">
        <f t="array" ref="T782">IF($BA782="","",INDEX(tblServicios[Tipo suplemento],$BA782))</f>
        <v/>
      </c>
      <c r="U782" s="2" t="str">
        <f t="shared" si="14"/>
        <v/>
      </c>
      <c r="V782" t="str" cm="1">
        <f t="array" ref="V782">IF($BA782="","",IF(INDEX(tblServicios[Conductor],$BA782)=$T$2,"Conductor",IF(INDEX(tblServicios[Personal adicional],$BA782)=$T$2,"Personal adicional","")))</f>
        <v/>
      </c>
      <c r="BA782" s="33" t="str" cm="1">
        <f t="array" ref="BA7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adicional]=$T$2))&gt;0)),ROW(A784)),"")</f>
        <v/>
      </c>
    </row>
    <row r="783" spans="15:53" x14ac:dyDescent="0.35">
      <c r="O783" s="1" t="str" cm="1">
        <f t="array" ref="O783">IF($BA783="","",INDEX(tblServicios[Fecha],$BA783))</f>
        <v/>
      </c>
      <c r="P783" t="str" cm="1">
        <f t="array" ref="P783">IF($BA783="","",INDEX(tblServicios[Contrato],$BA783))</f>
        <v/>
      </c>
      <c r="Q783" t="str" cm="1">
        <f t="array" ref="Q783">IF($BA783="","",INDEX(tblServicios[Vehículo],$BA783))</f>
        <v/>
      </c>
      <c r="R783" s="34" t="str" cm="1">
        <f t="array" ref="R783">IF($BA783="","",INDEX(tblServicios[Base imponible (€)],$BA783)-INDEX(tblServicios[Imp. suplemento (€)],$BA783))</f>
        <v/>
      </c>
      <c r="S783" s="34" t="str" cm="1">
        <f t="array" ref="S783">IF($BA783="","",INDEX(tblServicios[Imp. suplemento (€)],$BA783))</f>
        <v/>
      </c>
      <c r="T783" t="str" cm="1">
        <f t="array" ref="T783">IF($BA783="","",INDEX(tblServicios[Tipo suplemento],$BA783))</f>
        <v/>
      </c>
      <c r="U783" s="2" t="str">
        <f t="shared" si="14"/>
        <v/>
      </c>
      <c r="V783" t="str" cm="1">
        <f t="array" ref="V783">IF($BA783="","",IF(INDEX(tblServicios[Conductor],$BA783)=$T$2,"Conductor",IF(INDEX(tblServicios[Personal adicional],$BA783)=$T$2,"Personal adicional","")))</f>
        <v/>
      </c>
      <c r="BA783" s="33" t="str" cm="1">
        <f t="array" ref="BA7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adicional]=$T$2))&gt;0)),ROW(A785)),"")</f>
        <v/>
      </c>
    </row>
    <row r="784" spans="15:53" x14ac:dyDescent="0.35">
      <c r="O784" s="1" t="str" cm="1">
        <f t="array" ref="O784">IF($BA784="","",INDEX(tblServicios[Fecha],$BA784))</f>
        <v/>
      </c>
      <c r="P784" t="str" cm="1">
        <f t="array" ref="P784">IF($BA784="","",INDEX(tblServicios[Contrato],$BA784))</f>
        <v/>
      </c>
      <c r="Q784" t="str" cm="1">
        <f t="array" ref="Q784">IF($BA784="","",INDEX(tblServicios[Vehículo],$BA784))</f>
        <v/>
      </c>
      <c r="R784" s="34" t="str" cm="1">
        <f t="array" ref="R784">IF($BA784="","",INDEX(tblServicios[Base imponible (€)],$BA784)-INDEX(tblServicios[Imp. suplemento (€)],$BA784))</f>
        <v/>
      </c>
      <c r="S784" s="34" t="str" cm="1">
        <f t="array" ref="S784">IF($BA784="","",INDEX(tblServicios[Imp. suplemento (€)],$BA784))</f>
        <v/>
      </c>
      <c r="T784" t="str" cm="1">
        <f t="array" ref="T784">IF($BA784="","",INDEX(tblServicios[Tipo suplemento],$BA784))</f>
        <v/>
      </c>
      <c r="U784" s="2" t="str">
        <f t="shared" si="14"/>
        <v/>
      </c>
      <c r="V784" t="str" cm="1">
        <f t="array" ref="V784">IF($BA784="","",IF(INDEX(tblServicios[Conductor],$BA784)=$T$2,"Conductor",IF(INDEX(tblServicios[Personal adicional],$BA784)=$T$2,"Personal adicional","")))</f>
        <v/>
      </c>
      <c r="BA784" s="33" t="str" cm="1">
        <f t="array" ref="BA7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adicional]=$T$2))&gt;0)),ROW(A786)),"")</f>
        <v/>
      </c>
    </row>
    <row r="785" spans="15:53" x14ac:dyDescent="0.35">
      <c r="O785" s="1" t="str" cm="1">
        <f t="array" ref="O785">IF($BA785="","",INDEX(tblServicios[Fecha],$BA785))</f>
        <v/>
      </c>
      <c r="P785" t="str" cm="1">
        <f t="array" ref="P785">IF($BA785="","",INDEX(tblServicios[Contrato],$BA785))</f>
        <v/>
      </c>
      <c r="Q785" t="str" cm="1">
        <f t="array" ref="Q785">IF($BA785="","",INDEX(tblServicios[Vehículo],$BA785))</f>
        <v/>
      </c>
      <c r="R785" s="34" t="str" cm="1">
        <f t="array" ref="R785">IF($BA785="","",INDEX(tblServicios[Base imponible (€)],$BA785)-INDEX(tblServicios[Imp. suplemento (€)],$BA785))</f>
        <v/>
      </c>
      <c r="S785" s="34" t="str" cm="1">
        <f t="array" ref="S785">IF($BA785="","",INDEX(tblServicios[Imp. suplemento (€)],$BA785))</f>
        <v/>
      </c>
      <c r="T785" t="str" cm="1">
        <f t="array" ref="T785">IF($BA785="","",INDEX(tblServicios[Tipo suplemento],$BA785))</f>
        <v/>
      </c>
      <c r="U785" s="2" t="str">
        <f t="shared" si="14"/>
        <v/>
      </c>
      <c r="V785" t="str" cm="1">
        <f t="array" ref="V785">IF($BA785="","",IF(INDEX(tblServicios[Conductor],$BA785)=$T$2,"Conductor",IF(INDEX(tblServicios[Personal adicional],$BA785)=$T$2,"Personal adicional","")))</f>
        <v/>
      </c>
      <c r="BA785" s="33" t="str" cm="1">
        <f t="array" ref="BA7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adicional]=$T$2))&gt;0)),ROW(A787)),"")</f>
        <v/>
      </c>
    </row>
    <row r="786" spans="15:53" x14ac:dyDescent="0.35">
      <c r="O786" s="1" t="str" cm="1">
        <f t="array" ref="O786">IF($BA786="","",INDEX(tblServicios[Fecha],$BA786))</f>
        <v/>
      </c>
      <c r="P786" t="str" cm="1">
        <f t="array" ref="P786">IF($BA786="","",INDEX(tblServicios[Contrato],$BA786))</f>
        <v/>
      </c>
      <c r="Q786" t="str" cm="1">
        <f t="array" ref="Q786">IF($BA786="","",INDEX(tblServicios[Vehículo],$BA786))</f>
        <v/>
      </c>
      <c r="R786" s="34" t="str" cm="1">
        <f t="array" ref="R786">IF($BA786="","",INDEX(tblServicios[Base imponible (€)],$BA786)-INDEX(tblServicios[Imp. suplemento (€)],$BA786))</f>
        <v/>
      </c>
      <c r="S786" s="34" t="str" cm="1">
        <f t="array" ref="S786">IF($BA786="","",INDEX(tblServicios[Imp. suplemento (€)],$BA786))</f>
        <v/>
      </c>
      <c r="T786" t="str" cm="1">
        <f t="array" ref="T786">IF($BA786="","",INDEX(tblServicios[Tipo suplemento],$BA786))</f>
        <v/>
      </c>
      <c r="U786" s="2" t="str">
        <f t="shared" si="14"/>
        <v/>
      </c>
      <c r="V786" t="str" cm="1">
        <f t="array" ref="V786">IF($BA786="","",IF(INDEX(tblServicios[Conductor],$BA786)=$T$2,"Conductor",IF(INDEX(tblServicios[Personal adicional],$BA786)=$T$2,"Personal adicional","")))</f>
        <v/>
      </c>
      <c r="BA786" s="33" t="str" cm="1">
        <f t="array" ref="BA7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adicional]=$T$2))&gt;0)),ROW(A788)),"")</f>
        <v/>
      </c>
    </row>
    <row r="787" spans="15:53" x14ac:dyDescent="0.35">
      <c r="O787" s="1" t="str" cm="1">
        <f t="array" ref="O787">IF($BA787="","",INDEX(tblServicios[Fecha],$BA787))</f>
        <v/>
      </c>
      <c r="P787" t="str" cm="1">
        <f t="array" ref="P787">IF($BA787="","",INDEX(tblServicios[Contrato],$BA787))</f>
        <v/>
      </c>
      <c r="Q787" t="str" cm="1">
        <f t="array" ref="Q787">IF($BA787="","",INDEX(tblServicios[Vehículo],$BA787))</f>
        <v/>
      </c>
      <c r="R787" s="34" t="str" cm="1">
        <f t="array" ref="R787">IF($BA787="","",INDEX(tblServicios[Base imponible (€)],$BA787)-INDEX(tblServicios[Imp. suplemento (€)],$BA787))</f>
        <v/>
      </c>
      <c r="S787" s="34" t="str" cm="1">
        <f t="array" ref="S787">IF($BA787="","",INDEX(tblServicios[Imp. suplemento (€)],$BA787))</f>
        <v/>
      </c>
      <c r="T787" t="str" cm="1">
        <f t="array" ref="T787">IF($BA787="","",INDEX(tblServicios[Tipo suplemento],$BA787))</f>
        <v/>
      </c>
      <c r="U787" s="2" t="str">
        <f t="shared" si="14"/>
        <v/>
      </c>
      <c r="V787" t="str" cm="1">
        <f t="array" ref="V787">IF($BA787="","",IF(INDEX(tblServicios[Conductor],$BA787)=$T$2,"Conductor",IF(INDEX(tblServicios[Personal adicional],$BA787)=$T$2,"Personal adicional","")))</f>
        <v/>
      </c>
      <c r="BA787" s="33" t="str" cm="1">
        <f t="array" ref="BA7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adicional]=$T$2))&gt;0)),ROW(A789)),"")</f>
        <v/>
      </c>
    </row>
    <row r="788" spans="15:53" x14ac:dyDescent="0.35">
      <c r="O788" s="1" t="str" cm="1">
        <f t="array" ref="O788">IF($BA788="","",INDEX(tblServicios[Fecha],$BA788))</f>
        <v/>
      </c>
      <c r="P788" t="str" cm="1">
        <f t="array" ref="P788">IF($BA788="","",INDEX(tblServicios[Contrato],$BA788))</f>
        <v/>
      </c>
      <c r="Q788" t="str" cm="1">
        <f t="array" ref="Q788">IF($BA788="","",INDEX(tblServicios[Vehículo],$BA788))</f>
        <v/>
      </c>
      <c r="R788" s="34" t="str" cm="1">
        <f t="array" ref="R788">IF($BA788="","",INDEX(tblServicios[Base imponible (€)],$BA788)-INDEX(tblServicios[Imp. suplemento (€)],$BA788))</f>
        <v/>
      </c>
      <c r="S788" s="34" t="str" cm="1">
        <f t="array" ref="S788">IF($BA788="","",INDEX(tblServicios[Imp. suplemento (€)],$BA788))</f>
        <v/>
      </c>
      <c r="T788" t="str" cm="1">
        <f t="array" ref="T788">IF($BA788="","",INDEX(tblServicios[Tipo suplemento],$BA788))</f>
        <v/>
      </c>
      <c r="U788" s="2" t="str">
        <f t="shared" si="14"/>
        <v/>
      </c>
      <c r="V788" t="str" cm="1">
        <f t="array" ref="V788">IF($BA788="","",IF(INDEX(tblServicios[Conductor],$BA788)=$T$2,"Conductor",IF(INDEX(tblServicios[Personal adicional],$BA788)=$T$2,"Personal adicional","")))</f>
        <v/>
      </c>
      <c r="BA788" s="33" t="str" cm="1">
        <f t="array" ref="BA7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adicional]=$T$2))&gt;0)),ROW(A790)),"")</f>
        <v/>
      </c>
    </row>
    <row r="789" spans="15:53" x14ac:dyDescent="0.35">
      <c r="O789" s="1" t="str" cm="1">
        <f t="array" ref="O789">IF($BA789="","",INDEX(tblServicios[Fecha],$BA789))</f>
        <v/>
      </c>
      <c r="P789" t="str" cm="1">
        <f t="array" ref="P789">IF($BA789="","",INDEX(tblServicios[Contrato],$BA789))</f>
        <v/>
      </c>
      <c r="Q789" t="str" cm="1">
        <f t="array" ref="Q789">IF($BA789="","",INDEX(tblServicios[Vehículo],$BA789))</f>
        <v/>
      </c>
      <c r="R789" s="34" t="str" cm="1">
        <f t="array" ref="R789">IF($BA789="","",INDEX(tblServicios[Base imponible (€)],$BA789)-INDEX(tblServicios[Imp. suplemento (€)],$BA789))</f>
        <v/>
      </c>
      <c r="S789" s="34" t="str" cm="1">
        <f t="array" ref="S789">IF($BA789="","",INDEX(tblServicios[Imp. suplemento (€)],$BA789))</f>
        <v/>
      </c>
      <c r="T789" t="str" cm="1">
        <f t="array" ref="T789">IF($BA789="","",INDEX(tblServicios[Tipo suplemento],$BA789))</f>
        <v/>
      </c>
      <c r="U789" s="2" t="str">
        <f t="shared" si="14"/>
        <v/>
      </c>
      <c r="V789" t="str" cm="1">
        <f t="array" ref="V789">IF($BA789="","",IF(INDEX(tblServicios[Conductor],$BA789)=$T$2,"Conductor",IF(INDEX(tblServicios[Personal adicional],$BA789)=$T$2,"Personal adicional","")))</f>
        <v/>
      </c>
      <c r="BA789" s="33" t="str" cm="1">
        <f t="array" ref="BA7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adicional]=$T$2))&gt;0)),ROW(A791)),"")</f>
        <v/>
      </c>
    </row>
    <row r="790" spans="15:53" x14ac:dyDescent="0.35">
      <c r="O790" s="1" t="str" cm="1">
        <f t="array" ref="O790">IF($BA790="","",INDEX(tblServicios[Fecha],$BA790))</f>
        <v/>
      </c>
      <c r="P790" t="str" cm="1">
        <f t="array" ref="P790">IF($BA790="","",INDEX(tblServicios[Contrato],$BA790))</f>
        <v/>
      </c>
      <c r="Q790" t="str" cm="1">
        <f t="array" ref="Q790">IF($BA790="","",INDEX(tblServicios[Vehículo],$BA790))</f>
        <v/>
      </c>
      <c r="R790" s="34" t="str" cm="1">
        <f t="array" ref="R790">IF($BA790="","",INDEX(tblServicios[Base imponible (€)],$BA790)-INDEX(tblServicios[Imp. suplemento (€)],$BA790))</f>
        <v/>
      </c>
      <c r="S790" s="34" t="str" cm="1">
        <f t="array" ref="S790">IF($BA790="","",INDEX(tblServicios[Imp. suplemento (€)],$BA790))</f>
        <v/>
      </c>
      <c r="T790" t="str" cm="1">
        <f t="array" ref="T790">IF($BA790="","",INDEX(tblServicios[Tipo suplemento],$BA790))</f>
        <v/>
      </c>
      <c r="U790" s="2" t="str">
        <f t="shared" si="14"/>
        <v/>
      </c>
      <c r="V790" t="str" cm="1">
        <f t="array" ref="V790">IF($BA790="","",IF(INDEX(tblServicios[Conductor],$BA790)=$T$2,"Conductor",IF(INDEX(tblServicios[Personal adicional],$BA790)=$T$2,"Personal adicional","")))</f>
        <v/>
      </c>
      <c r="BA790" s="33" t="str" cm="1">
        <f t="array" ref="BA7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adicional]=$T$2))&gt;0)),ROW(A792)),"")</f>
        <v/>
      </c>
    </row>
    <row r="791" spans="15:53" x14ac:dyDescent="0.35">
      <c r="O791" s="1" t="str" cm="1">
        <f t="array" ref="O791">IF($BA791="","",INDEX(tblServicios[Fecha],$BA791))</f>
        <v/>
      </c>
      <c r="P791" t="str" cm="1">
        <f t="array" ref="P791">IF($BA791="","",INDEX(tblServicios[Contrato],$BA791))</f>
        <v/>
      </c>
      <c r="Q791" t="str" cm="1">
        <f t="array" ref="Q791">IF($BA791="","",INDEX(tblServicios[Vehículo],$BA791))</f>
        <v/>
      </c>
      <c r="R791" s="34" t="str" cm="1">
        <f t="array" ref="R791">IF($BA791="","",INDEX(tblServicios[Base imponible (€)],$BA791)-INDEX(tblServicios[Imp. suplemento (€)],$BA791))</f>
        <v/>
      </c>
      <c r="S791" s="34" t="str" cm="1">
        <f t="array" ref="S791">IF($BA791="","",INDEX(tblServicios[Imp. suplemento (€)],$BA791))</f>
        <v/>
      </c>
      <c r="T791" t="str" cm="1">
        <f t="array" ref="T791">IF($BA791="","",INDEX(tblServicios[Tipo suplemento],$BA791))</f>
        <v/>
      </c>
      <c r="U791" s="2" t="str">
        <f t="shared" si="14"/>
        <v/>
      </c>
      <c r="V791" t="str" cm="1">
        <f t="array" ref="V791">IF($BA791="","",IF(INDEX(tblServicios[Conductor],$BA791)=$T$2,"Conductor",IF(INDEX(tblServicios[Personal adicional],$BA791)=$T$2,"Personal adicional","")))</f>
        <v/>
      </c>
      <c r="BA791" s="33" t="str" cm="1">
        <f t="array" ref="BA7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adicional]=$T$2))&gt;0)),ROW(A793)),"")</f>
        <v/>
      </c>
    </row>
    <row r="792" spans="15:53" x14ac:dyDescent="0.35">
      <c r="O792" s="1" t="str" cm="1">
        <f t="array" ref="O792">IF($BA792="","",INDEX(tblServicios[Fecha],$BA792))</f>
        <v/>
      </c>
      <c r="P792" t="str" cm="1">
        <f t="array" ref="P792">IF($BA792="","",INDEX(tblServicios[Contrato],$BA792))</f>
        <v/>
      </c>
      <c r="Q792" t="str" cm="1">
        <f t="array" ref="Q792">IF($BA792="","",INDEX(tblServicios[Vehículo],$BA792))</f>
        <v/>
      </c>
      <c r="R792" s="34" t="str" cm="1">
        <f t="array" ref="R792">IF($BA792="","",INDEX(tblServicios[Base imponible (€)],$BA792)-INDEX(tblServicios[Imp. suplemento (€)],$BA792))</f>
        <v/>
      </c>
      <c r="S792" s="34" t="str" cm="1">
        <f t="array" ref="S792">IF($BA792="","",INDEX(tblServicios[Imp. suplemento (€)],$BA792))</f>
        <v/>
      </c>
      <c r="T792" t="str" cm="1">
        <f t="array" ref="T792">IF($BA792="","",INDEX(tblServicios[Tipo suplemento],$BA792))</f>
        <v/>
      </c>
      <c r="U792" s="2" t="str">
        <f t="shared" si="14"/>
        <v/>
      </c>
      <c r="V792" t="str" cm="1">
        <f t="array" ref="V792">IF($BA792="","",IF(INDEX(tblServicios[Conductor],$BA792)=$T$2,"Conductor",IF(INDEX(tblServicios[Personal adicional],$BA792)=$T$2,"Personal adicional","")))</f>
        <v/>
      </c>
      <c r="BA792" s="33" t="str" cm="1">
        <f t="array" ref="BA7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adicional]=$T$2))&gt;0)),ROW(A794)),"")</f>
        <v/>
      </c>
    </row>
    <row r="793" spans="15:53" x14ac:dyDescent="0.35">
      <c r="O793" s="1" t="str" cm="1">
        <f t="array" ref="O793">IF($BA793="","",INDEX(tblServicios[Fecha],$BA793))</f>
        <v/>
      </c>
      <c r="P793" t="str" cm="1">
        <f t="array" ref="P793">IF($BA793="","",INDEX(tblServicios[Contrato],$BA793))</f>
        <v/>
      </c>
      <c r="Q793" t="str" cm="1">
        <f t="array" ref="Q793">IF($BA793="","",INDEX(tblServicios[Vehículo],$BA793))</f>
        <v/>
      </c>
      <c r="R793" s="34" t="str" cm="1">
        <f t="array" ref="R793">IF($BA793="","",INDEX(tblServicios[Base imponible (€)],$BA793)-INDEX(tblServicios[Imp. suplemento (€)],$BA793))</f>
        <v/>
      </c>
      <c r="S793" s="34" t="str" cm="1">
        <f t="array" ref="S793">IF($BA793="","",INDEX(tblServicios[Imp. suplemento (€)],$BA793))</f>
        <v/>
      </c>
      <c r="T793" t="str" cm="1">
        <f t="array" ref="T793">IF($BA793="","",INDEX(tblServicios[Tipo suplemento],$BA793))</f>
        <v/>
      </c>
      <c r="U793" s="2" t="str">
        <f t="shared" si="14"/>
        <v/>
      </c>
      <c r="V793" t="str" cm="1">
        <f t="array" ref="V793">IF($BA793="","",IF(INDEX(tblServicios[Conductor],$BA793)=$T$2,"Conductor",IF(INDEX(tblServicios[Personal adicional],$BA793)=$T$2,"Personal adicional","")))</f>
        <v/>
      </c>
      <c r="BA793" s="33" t="str" cm="1">
        <f t="array" ref="BA7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adicional]=$T$2))&gt;0)),ROW(A795)),"")</f>
        <v/>
      </c>
    </row>
    <row r="794" spans="15:53" x14ac:dyDescent="0.35">
      <c r="O794" s="1" t="str" cm="1">
        <f t="array" ref="O794">IF($BA794="","",INDEX(tblServicios[Fecha],$BA794))</f>
        <v/>
      </c>
      <c r="P794" t="str" cm="1">
        <f t="array" ref="P794">IF($BA794="","",INDEX(tblServicios[Contrato],$BA794))</f>
        <v/>
      </c>
      <c r="Q794" t="str" cm="1">
        <f t="array" ref="Q794">IF($BA794="","",INDEX(tblServicios[Vehículo],$BA794))</f>
        <v/>
      </c>
      <c r="R794" s="34" t="str" cm="1">
        <f t="array" ref="R794">IF($BA794="","",INDEX(tblServicios[Base imponible (€)],$BA794)-INDEX(tblServicios[Imp. suplemento (€)],$BA794))</f>
        <v/>
      </c>
      <c r="S794" s="34" t="str" cm="1">
        <f t="array" ref="S794">IF($BA794="","",INDEX(tblServicios[Imp. suplemento (€)],$BA794))</f>
        <v/>
      </c>
      <c r="T794" t="str" cm="1">
        <f t="array" ref="T794">IF($BA794="","",INDEX(tblServicios[Tipo suplemento],$BA794))</f>
        <v/>
      </c>
      <c r="U794" s="2" t="str">
        <f t="shared" si="14"/>
        <v/>
      </c>
      <c r="V794" t="str" cm="1">
        <f t="array" ref="V794">IF($BA794="","",IF(INDEX(tblServicios[Conductor],$BA794)=$T$2,"Conductor",IF(INDEX(tblServicios[Personal adicional],$BA794)=$T$2,"Personal adicional","")))</f>
        <v/>
      </c>
      <c r="BA794" s="33" t="str" cm="1">
        <f t="array" ref="BA7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adicional]=$T$2))&gt;0)),ROW(A796)),"")</f>
        <v/>
      </c>
    </row>
    <row r="795" spans="15:53" x14ac:dyDescent="0.35">
      <c r="O795" s="1" t="str" cm="1">
        <f t="array" ref="O795">IF($BA795="","",INDEX(tblServicios[Fecha],$BA795))</f>
        <v/>
      </c>
      <c r="P795" t="str" cm="1">
        <f t="array" ref="P795">IF($BA795="","",INDEX(tblServicios[Contrato],$BA795))</f>
        <v/>
      </c>
      <c r="Q795" t="str" cm="1">
        <f t="array" ref="Q795">IF($BA795="","",INDEX(tblServicios[Vehículo],$BA795))</f>
        <v/>
      </c>
      <c r="R795" s="34" t="str" cm="1">
        <f t="array" ref="R795">IF($BA795="","",INDEX(tblServicios[Base imponible (€)],$BA795)-INDEX(tblServicios[Imp. suplemento (€)],$BA795))</f>
        <v/>
      </c>
      <c r="S795" s="34" t="str" cm="1">
        <f t="array" ref="S795">IF($BA795="","",INDEX(tblServicios[Imp. suplemento (€)],$BA795))</f>
        <v/>
      </c>
      <c r="T795" t="str" cm="1">
        <f t="array" ref="T795">IF($BA795="","",INDEX(tblServicios[Tipo suplemento],$BA795))</f>
        <v/>
      </c>
      <c r="U795" s="2" t="str">
        <f t="shared" si="14"/>
        <v/>
      </c>
      <c r="V795" t="str" cm="1">
        <f t="array" ref="V795">IF($BA795="","",IF(INDEX(tblServicios[Conductor],$BA795)=$T$2,"Conductor",IF(INDEX(tblServicios[Personal adicional],$BA795)=$T$2,"Personal adicional","")))</f>
        <v/>
      </c>
      <c r="BA795" s="33" t="str" cm="1">
        <f t="array" ref="BA7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adicional]=$T$2))&gt;0)),ROW(A797)),"")</f>
        <v/>
      </c>
    </row>
    <row r="796" spans="15:53" x14ac:dyDescent="0.35">
      <c r="O796" s="1" t="str" cm="1">
        <f t="array" ref="O796">IF($BA796="","",INDEX(tblServicios[Fecha],$BA796))</f>
        <v/>
      </c>
      <c r="P796" t="str" cm="1">
        <f t="array" ref="P796">IF($BA796="","",INDEX(tblServicios[Contrato],$BA796))</f>
        <v/>
      </c>
      <c r="Q796" t="str" cm="1">
        <f t="array" ref="Q796">IF($BA796="","",INDEX(tblServicios[Vehículo],$BA796))</f>
        <v/>
      </c>
      <c r="R796" s="34" t="str" cm="1">
        <f t="array" ref="R796">IF($BA796="","",INDEX(tblServicios[Base imponible (€)],$BA796)-INDEX(tblServicios[Imp. suplemento (€)],$BA796))</f>
        <v/>
      </c>
      <c r="S796" s="34" t="str" cm="1">
        <f t="array" ref="S796">IF($BA796="","",INDEX(tblServicios[Imp. suplemento (€)],$BA796))</f>
        <v/>
      </c>
      <c r="T796" t="str" cm="1">
        <f t="array" ref="T796">IF($BA796="","",INDEX(tblServicios[Tipo suplemento],$BA796))</f>
        <v/>
      </c>
      <c r="U796" s="2" t="str">
        <f t="shared" si="14"/>
        <v/>
      </c>
      <c r="V796" t="str" cm="1">
        <f t="array" ref="V796">IF($BA796="","",IF(INDEX(tblServicios[Conductor],$BA796)=$T$2,"Conductor",IF(INDEX(tblServicios[Personal adicional],$BA796)=$T$2,"Personal adicional","")))</f>
        <v/>
      </c>
      <c r="BA796" s="33" t="str" cm="1">
        <f t="array" ref="BA7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adicional]=$T$2))&gt;0)),ROW(A798)),"")</f>
        <v/>
      </c>
    </row>
    <row r="797" spans="15:53" x14ac:dyDescent="0.35">
      <c r="O797" s="1" t="str" cm="1">
        <f t="array" ref="O797">IF($BA797="","",INDEX(tblServicios[Fecha],$BA797))</f>
        <v/>
      </c>
      <c r="P797" t="str" cm="1">
        <f t="array" ref="P797">IF($BA797="","",INDEX(tblServicios[Contrato],$BA797))</f>
        <v/>
      </c>
      <c r="Q797" t="str" cm="1">
        <f t="array" ref="Q797">IF($BA797="","",INDEX(tblServicios[Vehículo],$BA797))</f>
        <v/>
      </c>
      <c r="R797" s="34" t="str" cm="1">
        <f t="array" ref="R797">IF($BA797="","",INDEX(tblServicios[Base imponible (€)],$BA797)-INDEX(tblServicios[Imp. suplemento (€)],$BA797))</f>
        <v/>
      </c>
      <c r="S797" s="34" t="str" cm="1">
        <f t="array" ref="S797">IF($BA797="","",INDEX(tblServicios[Imp. suplemento (€)],$BA797))</f>
        <v/>
      </c>
      <c r="T797" t="str" cm="1">
        <f t="array" ref="T797">IF($BA797="","",INDEX(tblServicios[Tipo suplemento],$BA797))</f>
        <v/>
      </c>
      <c r="U797" s="2" t="str">
        <f t="shared" si="14"/>
        <v/>
      </c>
      <c r="V797" t="str" cm="1">
        <f t="array" ref="V797">IF($BA797="","",IF(INDEX(tblServicios[Conductor],$BA797)=$T$2,"Conductor",IF(INDEX(tblServicios[Personal adicional],$BA797)=$T$2,"Personal adicional","")))</f>
        <v/>
      </c>
      <c r="BA797" s="33" t="str" cm="1">
        <f t="array" ref="BA7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adicional]=$T$2))&gt;0)),ROW(A799)),"")</f>
        <v/>
      </c>
    </row>
    <row r="798" spans="15:53" x14ac:dyDescent="0.35">
      <c r="O798" s="1" t="str" cm="1">
        <f t="array" ref="O798">IF($BA798="","",INDEX(tblServicios[Fecha],$BA798))</f>
        <v/>
      </c>
      <c r="P798" t="str" cm="1">
        <f t="array" ref="P798">IF($BA798="","",INDEX(tblServicios[Contrato],$BA798))</f>
        <v/>
      </c>
      <c r="Q798" t="str" cm="1">
        <f t="array" ref="Q798">IF($BA798="","",INDEX(tblServicios[Vehículo],$BA798))</f>
        <v/>
      </c>
      <c r="R798" s="34" t="str" cm="1">
        <f t="array" ref="R798">IF($BA798="","",INDEX(tblServicios[Base imponible (€)],$BA798)-INDEX(tblServicios[Imp. suplemento (€)],$BA798))</f>
        <v/>
      </c>
      <c r="S798" s="34" t="str" cm="1">
        <f t="array" ref="S798">IF($BA798="","",INDEX(tblServicios[Imp. suplemento (€)],$BA798))</f>
        <v/>
      </c>
      <c r="T798" t="str" cm="1">
        <f t="array" ref="T798">IF($BA798="","",INDEX(tblServicios[Tipo suplemento],$BA798))</f>
        <v/>
      </c>
      <c r="U798" s="2" t="str">
        <f t="shared" si="14"/>
        <v/>
      </c>
      <c r="V798" t="str" cm="1">
        <f t="array" ref="V798">IF($BA798="","",IF(INDEX(tblServicios[Conductor],$BA798)=$T$2,"Conductor",IF(INDEX(tblServicios[Personal adicional],$BA798)=$T$2,"Personal adicional","")))</f>
        <v/>
      </c>
      <c r="BA798" s="33" t="str" cm="1">
        <f t="array" ref="BA7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adicional]=$T$2))&gt;0)),ROW(A800)),"")</f>
        <v/>
      </c>
    </row>
    <row r="799" spans="15:53" x14ac:dyDescent="0.35">
      <c r="O799" s="1" t="str" cm="1">
        <f t="array" ref="O799">IF($BA799="","",INDEX(tblServicios[Fecha],$BA799))</f>
        <v/>
      </c>
      <c r="P799" t="str" cm="1">
        <f t="array" ref="P799">IF($BA799="","",INDEX(tblServicios[Contrato],$BA799))</f>
        <v/>
      </c>
      <c r="Q799" t="str" cm="1">
        <f t="array" ref="Q799">IF($BA799="","",INDEX(tblServicios[Vehículo],$BA799))</f>
        <v/>
      </c>
      <c r="R799" s="34" t="str" cm="1">
        <f t="array" ref="R799">IF($BA799="","",INDEX(tblServicios[Base imponible (€)],$BA799)-INDEX(tblServicios[Imp. suplemento (€)],$BA799))</f>
        <v/>
      </c>
      <c r="S799" s="34" t="str" cm="1">
        <f t="array" ref="S799">IF($BA799="","",INDEX(tblServicios[Imp. suplemento (€)],$BA799))</f>
        <v/>
      </c>
      <c r="T799" t="str" cm="1">
        <f t="array" ref="T799">IF($BA799="","",INDEX(tblServicios[Tipo suplemento],$BA799))</f>
        <v/>
      </c>
      <c r="U799" s="2" t="str">
        <f t="shared" si="14"/>
        <v/>
      </c>
      <c r="V799" t="str" cm="1">
        <f t="array" ref="V799">IF($BA799="","",IF(INDEX(tblServicios[Conductor],$BA799)=$T$2,"Conductor",IF(INDEX(tblServicios[Personal adicional],$BA799)=$T$2,"Personal adicional","")))</f>
        <v/>
      </c>
      <c r="BA799" s="33" t="str" cm="1">
        <f t="array" ref="BA7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adicional]=$T$2))&gt;0)),ROW(A801)),"")</f>
        <v/>
      </c>
    </row>
    <row r="800" spans="15:53" x14ac:dyDescent="0.35">
      <c r="O800" s="1" t="str" cm="1">
        <f t="array" ref="O800">IF($BA800="","",INDEX(tblServicios[Fecha],$BA800))</f>
        <v/>
      </c>
      <c r="P800" t="str" cm="1">
        <f t="array" ref="P800">IF($BA800="","",INDEX(tblServicios[Contrato],$BA800))</f>
        <v/>
      </c>
      <c r="Q800" t="str" cm="1">
        <f t="array" ref="Q800">IF($BA800="","",INDEX(tblServicios[Vehículo],$BA800))</f>
        <v/>
      </c>
      <c r="R800" s="34" t="str" cm="1">
        <f t="array" ref="R800">IF($BA800="","",INDEX(tblServicios[Base imponible (€)],$BA800)-INDEX(tblServicios[Imp. suplemento (€)],$BA800))</f>
        <v/>
      </c>
      <c r="S800" s="34" t="str" cm="1">
        <f t="array" ref="S800">IF($BA800="","",INDEX(tblServicios[Imp. suplemento (€)],$BA800))</f>
        <v/>
      </c>
      <c r="T800" t="str" cm="1">
        <f t="array" ref="T800">IF($BA800="","",INDEX(tblServicios[Tipo suplemento],$BA800))</f>
        <v/>
      </c>
      <c r="U800" s="2" t="str">
        <f t="shared" si="14"/>
        <v/>
      </c>
      <c r="V800" t="str" cm="1">
        <f t="array" ref="V800">IF($BA800="","",IF(INDEX(tblServicios[Conductor],$BA800)=$T$2,"Conductor",IF(INDEX(tblServicios[Personal adicional],$BA800)=$T$2,"Personal adicional","")))</f>
        <v/>
      </c>
      <c r="BA800" s="33" t="str" cm="1">
        <f t="array" ref="BA8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adicional]=$T$2))&gt;0)),ROW(A802)),"")</f>
        <v/>
      </c>
    </row>
    <row r="801" spans="15:53" x14ac:dyDescent="0.35">
      <c r="O801" s="1" t="str" cm="1">
        <f t="array" ref="O801">IF($BA801="","",INDEX(tblServicios[Fecha],$BA801))</f>
        <v/>
      </c>
      <c r="P801" t="str" cm="1">
        <f t="array" ref="P801">IF($BA801="","",INDEX(tblServicios[Contrato],$BA801))</f>
        <v/>
      </c>
      <c r="Q801" t="str" cm="1">
        <f t="array" ref="Q801">IF($BA801="","",INDEX(tblServicios[Vehículo],$BA801))</f>
        <v/>
      </c>
      <c r="R801" s="34" t="str" cm="1">
        <f t="array" ref="R801">IF($BA801="","",INDEX(tblServicios[Base imponible (€)],$BA801)-INDEX(tblServicios[Imp. suplemento (€)],$BA801))</f>
        <v/>
      </c>
      <c r="S801" s="34" t="str" cm="1">
        <f t="array" ref="S801">IF($BA801="","",INDEX(tblServicios[Imp. suplemento (€)],$BA801))</f>
        <v/>
      </c>
      <c r="T801" t="str" cm="1">
        <f t="array" ref="T801">IF($BA801="","",INDEX(tblServicios[Tipo suplemento],$BA801))</f>
        <v/>
      </c>
      <c r="U801" s="2" t="str">
        <f t="shared" si="14"/>
        <v/>
      </c>
      <c r="V801" t="str" cm="1">
        <f t="array" ref="V801">IF($BA801="","",IF(INDEX(tblServicios[Conductor],$BA801)=$T$2,"Conductor",IF(INDEX(tblServicios[Personal adicional],$BA801)=$T$2,"Personal adicional","")))</f>
        <v/>
      </c>
      <c r="BA801" s="33" t="str" cm="1">
        <f t="array" ref="BA8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adicional]=$T$2))&gt;0)),ROW(A803)),"")</f>
        <v/>
      </c>
    </row>
    <row r="802" spans="15:53" x14ac:dyDescent="0.35">
      <c r="O802" s="1" t="str" cm="1">
        <f t="array" ref="O802">IF($BA802="","",INDEX(tblServicios[Fecha],$BA802))</f>
        <v/>
      </c>
      <c r="P802" t="str" cm="1">
        <f t="array" ref="P802">IF($BA802="","",INDEX(tblServicios[Contrato],$BA802))</f>
        <v/>
      </c>
      <c r="Q802" t="str" cm="1">
        <f t="array" ref="Q802">IF($BA802="","",INDEX(tblServicios[Vehículo],$BA802))</f>
        <v/>
      </c>
      <c r="R802" s="34" t="str" cm="1">
        <f t="array" ref="R802">IF($BA802="","",INDEX(tblServicios[Base imponible (€)],$BA802)-INDEX(tblServicios[Imp. suplemento (€)],$BA802))</f>
        <v/>
      </c>
      <c r="S802" s="34" t="str" cm="1">
        <f t="array" ref="S802">IF($BA802="","",INDEX(tblServicios[Imp. suplemento (€)],$BA802))</f>
        <v/>
      </c>
      <c r="T802" t="str" cm="1">
        <f t="array" ref="T802">IF($BA802="","",INDEX(tblServicios[Tipo suplemento],$BA802))</f>
        <v/>
      </c>
      <c r="U802" s="2" t="str">
        <f t="shared" si="14"/>
        <v/>
      </c>
      <c r="V802" t="str" cm="1">
        <f t="array" ref="V802">IF($BA802="","",IF(INDEX(tblServicios[Conductor],$BA802)=$T$2,"Conductor",IF(INDEX(tblServicios[Personal adicional],$BA802)=$T$2,"Personal adicional","")))</f>
        <v/>
      </c>
      <c r="BA802" s="33" t="str" cm="1">
        <f t="array" ref="BA8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adicional]=$T$2))&gt;0)),ROW(A804)),"")</f>
        <v/>
      </c>
    </row>
    <row r="803" spans="15:53" x14ac:dyDescent="0.35">
      <c r="O803" s="1" t="str" cm="1">
        <f t="array" ref="O803">IF($BA803="","",INDEX(tblServicios[Fecha],$BA803))</f>
        <v/>
      </c>
      <c r="P803" t="str" cm="1">
        <f t="array" ref="P803">IF($BA803="","",INDEX(tblServicios[Contrato],$BA803))</f>
        <v/>
      </c>
      <c r="Q803" t="str" cm="1">
        <f t="array" ref="Q803">IF($BA803="","",INDEX(tblServicios[Vehículo],$BA803))</f>
        <v/>
      </c>
      <c r="R803" s="34" t="str" cm="1">
        <f t="array" ref="R803">IF($BA803="","",INDEX(tblServicios[Base imponible (€)],$BA803)-INDEX(tblServicios[Imp. suplemento (€)],$BA803))</f>
        <v/>
      </c>
      <c r="S803" s="34" t="str" cm="1">
        <f t="array" ref="S803">IF($BA803="","",INDEX(tblServicios[Imp. suplemento (€)],$BA803))</f>
        <v/>
      </c>
      <c r="T803" t="str" cm="1">
        <f t="array" ref="T803">IF($BA803="","",INDEX(tblServicios[Tipo suplemento],$BA803))</f>
        <v/>
      </c>
      <c r="U803" s="2" t="str">
        <f t="shared" si="14"/>
        <v/>
      </c>
      <c r="V803" t="str" cm="1">
        <f t="array" ref="V803">IF($BA803="","",IF(INDEX(tblServicios[Conductor],$BA803)=$T$2,"Conductor",IF(INDEX(tblServicios[Personal adicional],$BA803)=$T$2,"Personal adicional","")))</f>
        <v/>
      </c>
      <c r="BA803" s="33" t="str" cm="1">
        <f t="array" ref="BA8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adicional]=$T$2))&gt;0)),ROW(A805)),"")</f>
        <v/>
      </c>
    </row>
    <row r="804" spans="15:53" x14ac:dyDescent="0.35">
      <c r="O804" s="1" t="str" cm="1">
        <f t="array" ref="O804">IF($BA804="","",INDEX(tblServicios[Fecha],$BA804))</f>
        <v/>
      </c>
      <c r="P804" t="str" cm="1">
        <f t="array" ref="P804">IF($BA804="","",INDEX(tblServicios[Contrato],$BA804))</f>
        <v/>
      </c>
      <c r="Q804" t="str" cm="1">
        <f t="array" ref="Q804">IF($BA804="","",INDEX(tblServicios[Vehículo],$BA804))</f>
        <v/>
      </c>
      <c r="R804" s="34" t="str" cm="1">
        <f t="array" ref="R804">IF($BA804="","",INDEX(tblServicios[Base imponible (€)],$BA804)-INDEX(tblServicios[Imp. suplemento (€)],$BA804))</f>
        <v/>
      </c>
      <c r="S804" s="34" t="str" cm="1">
        <f t="array" ref="S804">IF($BA804="","",INDEX(tblServicios[Imp. suplemento (€)],$BA804))</f>
        <v/>
      </c>
      <c r="T804" t="str" cm="1">
        <f t="array" ref="T804">IF($BA804="","",INDEX(tblServicios[Tipo suplemento],$BA804))</f>
        <v/>
      </c>
      <c r="U804" s="2" t="str">
        <f t="shared" si="14"/>
        <v/>
      </c>
      <c r="V804" t="str" cm="1">
        <f t="array" ref="V804">IF($BA804="","",IF(INDEX(tblServicios[Conductor],$BA804)=$T$2,"Conductor",IF(INDEX(tblServicios[Personal adicional],$BA804)=$T$2,"Personal adicional","")))</f>
        <v/>
      </c>
      <c r="BA804" s="33" t="str" cm="1">
        <f t="array" ref="BA8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adicional]=$T$2))&gt;0)),ROW(A806)),"")</f>
        <v/>
      </c>
    </row>
    <row r="805" spans="15:53" x14ac:dyDescent="0.35">
      <c r="O805" s="1" t="str" cm="1">
        <f t="array" ref="O805">IF($BA805="","",INDEX(tblServicios[Fecha],$BA805))</f>
        <v/>
      </c>
      <c r="P805" t="str" cm="1">
        <f t="array" ref="P805">IF($BA805="","",INDEX(tblServicios[Contrato],$BA805))</f>
        <v/>
      </c>
      <c r="Q805" t="str" cm="1">
        <f t="array" ref="Q805">IF($BA805="","",INDEX(tblServicios[Vehículo],$BA805))</f>
        <v/>
      </c>
      <c r="R805" s="34" t="str" cm="1">
        <f t="array" ref="R805">IF($BA805="","",INDEX(tblServicios[Base imponible (€)],$BA805)-INDEX(tblServicios[Imp. suplemento (€)],$BA805))</f>
        <v/>
      </c>
      <c r="S805" s="34" t="str" cm="1">
        <f t="array" ref="S805">IF($BA805="","",INDEX(tblServicios[Imp. suplemento (€)],$BA805))</f>
        <v/>
      </c>
      <c r="T805" t="str" cm="1">
        <f t="array" ref="T805">IF($BA805="","",INDEX(tblServicios[Tipo suplemento],$BA805))</f>
        <v/>
      </c>
      <c r="U805" s="2" t="str">
        <f t="shared" si="14"/>
        <v/>
      </c>
      <c r="V805" t="str" cm="1">
        <f t="array" ref="V805">IF($BA805="","",IF(INDEX(tblServicios[Conductor],$BA805)=$T$2,"Conductor",IF(INDEX(tblServicios[Personal adicional],$BA805)=$T$2,"Personal adicional","")))</f>
        <v/>
      </c>
      <c r="BA805" s="33" t="str" cm="1">
        <f t="array" ref="BA8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adicional]=$T$2))&gt;0)),ROW(A807)),"")</f>
        <v/>
      </c>
    </row>
    <row r="806" spans="15:53" x14ac:dyDescent="0.35">
      <c r="O806" s="1" t="str" cm="1">
        <f t="array" ref="O806">IF($BA806="","",INDEX(tblServicios[Fecha],$BA806))</f>
        <v/>
      </c>
      <c r="P806" t="str" cm="1">
        <f t="array" ref="P806">IF($BA806="","",INDEX(tblServicios[Contrato],$BA806))</f>
        <v/>
      </c>
      <c r="Q806" t="str" cm="1">
        <f t="array" ref="Q806">IF($BA806="","",INDEX(tblServicios[Vehículo],$BA806))</f>
        <v/>
      </c>
      <c r="R806" s="34" t="str" cm="1">
        <f t="array" ref="R806">IF($BA806="","",INDEX(tblServicios[Base imponible (€)],$BA806)-INDEX(tblServicios[Imp. suplemento (€)],$BA806))</f>
        <v/>
      </c>
      <c r="S806" s="34" t="str" cm="1">
        <f t="array" ref="S806">IF($BA806="","",INDEX(tblServicios[Imp. suplemento (€)],$BA806))</f>
        <v/>
      </c>
      <c r="T806" t="str" cm="1">
        <f t="array" ref="T806">IF($BA806="","",INDEX(tblServicios[Tipo suplemento],$BA806))</f>
        <v/>
      </c>
      <c r="U806" s="2" t="str">
        <f t="shared" si="14"/>
        <v/>
      </c>
      <c r="V806" t="str" cm="1">
        <f t="array" ref="V806">IF($BA806="","",IF(INDEX(tblServicios[Conductor],$BA806)=$T$2,"Conductor",IF(INDEX(tblServicios[Personal adicional],$BA806)=$T$2,"Personal adicional","")))</f>
        <v/>
      </c>
      <c r="BA806" s="33" t="str" cm="1">
        <f t="array" ref="BA8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adicional]=$T$2))&gt;0)),ROW(A808)),"")</f>
        <v/>
      </c>
    </row>
    <row r="807" spans="15:53" x14ac:dyDescent="0.35">
      <c r="O807" s="1" t="str" cm="1">
        <f t="array" ref="O807">IF($BA807="","",INDEX(tblServicios[Fecha],$BA807))</f>
        <v/>
      </c>
      <c r="P807" t="str" cm="1">
        <f t="array" ref="P807">IF($BA807="","",INDEX(tblServicios[Contrato],$BA807))</f>
        <v/>
      </c>
      <c r="Q807" t="str" cm="1">
        <f t="array" ref="Q807">IF($BA807="","",INDEX(tblServicios[Vehículo],$BA807))</f>
        <v/>
      </c>
      <c r="R807" s="34" t="str" cm="1">
        <f t="array" ref="R807">IF($BA807="","",INDEX(tblServicios[Base imponible (€)],$BA807)-INDEX(tblServicios[Imp. suplemento (€)],$BA807))</f>
        <v/>
      </c>
      <c r="S807" s="34" t="str" cm="1">
        <f t="array" ref="S807">IF($BA807="","",INDEX(tblServicios[Imp. suplemento (€)],$BA807))</f>
        <v/>
      </c>
      <c r="T807" t="str" cm="1">
        <f t="array" ref="T807">IF($BA807="","",INDEX(tblServicios[Tipo suplemento],$BA807))</f>
        <v/>
      </c>
      <c r="U807" s="2" t="str">
        <f t="shared" si="14"/>
        <v/>
      </c>
      <c r="V807" t="str" cm="1">
        <f t="array" ref="V807">IF($BA807="","",IF(INDEX(tblServicios[Conductor],$BA807)=$T$2,"Conductor",IF(INDEX(tblServicios[Personal adicional],$BA807)=$T$2,"Personal adicional","")))</f>
        <v/>
      </c>
      <c r="BA807" s="33" t="str" cm="1">
        <f t="array" ref="BA8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adicional]=$T$2))&gt;0)),ROW(A809)),"")</f>
        <v/>
      </c>
    </row>
    <row r="808" spans="15:53" x14ac:dyDescent="0.35">
      <c r="O808" s="1" t="str" cm="1">
        <f t="array" ref="O808">IF($BA808="","",INDEX(tblServicios[Fecha],$BA808))</f>
        <v/>
      </c>
      <c r="P808" t="str" cm="1">
        <f t="array" ref="P808">IF($BA808="","",INDEX(tblServicios[Contrato],$BA808))</f>
        <v/>
      </c>
      <c r="Q808" t="str" cm="1">
        <f t="array" ref="Q808">IF($BA808="","",INDEX(tblServicios[Vehículo],$BA808))</f>
        <v/>
      </c>
      <c r="R808" s="34" t="str" cm="1">
        <f t="array" ref="R808">IF($BA808="","",INDEX(tblServicios[Base imponible (€)],$BA808)-INDEX(tblServicios[Imp. suplemento (€)],$BA808))</f>
        <v/>
      </c>
      <c r="S808" s="34" t="str" cm="1">
        <f t="array" ref="S808">IF($BA808="","",INDEX(tblServicios[Imp. suplemento (€)],$BA808))</f>
        <v/>
      </c>
      <c r="T808" t="str" cm="1">
        <f t="array" ref="T808">IF($BA808="","",INDEX(tblServicios[Tipo suplemento],$BA808))</f>
        <v/>
      </c>
      <c r="U808" s="2" t="str">
        <f t="shared" si="14"/>
        <v/>
      </c>
      <c r="V808" t="str" cm="1">
        <f t="array" ref="V808">IF($BA808="","",IF(INDEX(tblServicios[Conductor],$BA808)=$T$2,"Conductor",IF(INDEX(tblServicios[Personal adicional],$BA808)=$T$2,"Personal adicional","")))</f>
        <v/>
      </c>
      <c r="BA808" s="33" t="str" cm="1">
        <f t="array" ref="BA8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adicional]=$T$2))&gt;0)),ROW(A810)),"")</f>
        <v/>
      </c>
    </row>
    <row r="809" spans="15:53" x14ac:dyDescent="0.35">
      <c r="O809" s="1" t="str" cm="1">
        <f t="array" ref="O809">IF($BA809="","",INDEX(tblServicios[Fecha],$BA809))</f>
        <v/>
      </c>
      <c r="P809" t="str" cm="1">
        <f t="array" ref="P809">IF($BA809="","",INDEX(tblServicios[Contrato],$BA809))</f>
        <v/>
      </c>
      <c r="Q809" t="str" cm="1">
        <f t="array" ref="Q809">IF($BA809="","",INDEX(tblServicios[Vehículo],$BA809))</f>
        <v/>
      </c>
      <c r="R809" s="34" t="str" cm="1">
        <f t="array" ref="R809">IF($BA809="","",INDEX(tblServicios[Base imponible (€)],$BA809)-INDEX(tblServicios[Imp. suplemento (€)],$BA809))</f>
        <v/>
      </c>
      <c r="S809" s="34" t="str" cm="1">
        <f t="array" ref="S809">IF($BA809="","",INDEX(tblServicios[Imp. suplemento (€)],$BA809))</f>
        <v/>
      </c>
      <c r="T809" t="str" cm="1">
        <f t="array" ref="T809">IF($BA809="","",INDEX(tblServicios[Tipo suplemento],$BA809))</f>
        <v/>
      </c>
      <c r="U809" s="2" t="str">
        <f t="shared" si="14"/>
        <v/>
      </c>
      <c r="V809" t="str" cm="1">
        <f t="array" ref="V809">IF($BA809="","",IF(INDEX(tblServicios[Conductor],$BA809)=$T$2,"Conductor",IF(INDEX(tblServicios[Personal adicional],$BA809)=$T$2,"Personal adicional","")))</f>
        <v/>
      </c>
      <c r="BA809" s="33" t="str" cm="1">
        <f t="array" ref="BA8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adicional]=$T$2))&gt;0)),ROW(A811)),"")</f>
        <v/>
      </c>
    </row>
    <row r="810" spans="15:53" x14ac:dyDescent="0.35">
      <c r="O810" s="1" t="str" cm="1">
        <f t="array" ref="O810">IF($BA810="","",INDEX(tblServicios[Fecha],$BA810))</f>
        <v/>
      </c>
      <c r="P810" t="str" cm="1">
        <f t="array" ref="P810">IF($BA810="","",INDEX(tblServicios[Contrato],$BA810))</f>
        <v/>
      </c>
      <c r="Q810" t="str" cm="1">
        <f t="array" ref="Q810">IF($BA810="","",INDEX(tblServicios[Vehículo],$BA810))</f>
        <v/>
      </c>
      <c r="R810" s="34" t="str" cm="1">
        <f t="array" ref="R810">IF($BA810="","",INDEX(tblServicios[Base imponible (€)],$BA810)-INDEX(tblServicios[Imp. suplemento (€)],$BA810))</f>
        <v/>
      </c>
      <c r="S810" s="34" t="str" cm="1">
        <f t="array" ref="S810">IF($BA810="","",INDEX(tblServicios[Imp. suplemento (€)],$BA810))</f>
        <v/>
      </c>
      <c r="T810" t="str" cm="1">
        <f t="array" ref="T810">IF($BA810="","",INDEX(tblServicios[Tipo suplemento],$BA810))</f>
        <v/>
      </c>
      <c r="U810" s="2" t="str">
        <f t="shared" si="14"/>
        <v/>
      </c>
      <c r="V810" t="str" cm="1">
        <f t="array" ref="V810">IF($BA810="","",IF(INDEX(tblServicios[Conductor],$BA810)=$T$2,"Conductor",IF(INDEX(tblServicios[Personal adicional],$BA810)=$T$2,"Personal adicional","")))</f>
        <v/>
      </c>
      <c r="BA810" s="33" t="str" cm="1">
        <f t="array" ref="BA8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adicional]=$T$2))&gt;0)),ROW(A812)),"")</f>
        <v/>
      </c>
    </row>
    <row r="811" spans="15:53" x14ac:dyDescent="0.35">
      <c r="O811" s="1" t="str" cm="1">
        <f t="array" ref="O811">IF($BA811="","",INDEX(tblServicios[Fecha],$BA811))</f>
        <v/>
      </c>
      <c r="P811" t="str" cm="1">
        <f t="array" ref="P811">IF($BA811="","",INDEX(tblServicios[Contrato],$BA811))</f>
        <v/>
      </c>
      <c r="Q811" t="str" cm="1">
        <f t="array" ref="Q811">IF($BA811="","",INDEX(tblServicios[Vehículo],$BA811))</f>
        <v/>
      </c>
      <c r="R811" s="34" t="str" cm="1">
        <f t="array" ref="R811">IF($BA811="","",INDEX(tblServicios[Base imponible (€)],$BA811)-INDEX(tblServicios[Imp. suplemento (€)],$BA811))</f>
        <v/>
      </c>
      <c r="S811" s="34" t="str" cm="1">
        <f t="array" ref="S811">IF($BA811="","",INDEX(tblServicios[Imp. suplemento (€)],$BA811))</f>
        <v/>
      </c>
      <c r="T811" t="str" cm="1">
        <f t="array" ref="T811">IF($BA811="","",INDEX(tblServicios[Tipo suplemento],$BA811))</f>
        <v/>
      </c>
      <c r="U811" s="2" t="str">
        <f t="shared" si="14"/>
        <v/>
      </c>
      <c r="V811" t="str" cm="1">
        <f t="array" ref="V811">IF($BA811="","",IF(INDEX(tblServicios[Conductor],$BA811)=$T$2,"Conductor",IF(INDEX(tblServicios[Personal adicional],$BA811)=$T$2,"Personal adicional","")))</f>
        <v/>
      </c>
      <c r="BA811" s="33" t="str" cm="1">
        <f t="array" ref="BA8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adicional]=$T$2))&gt;0)),ROW(A813)),"")</f>
        <v/>
      </c>
    </row>
    <row r="812" spans="15:53" x14ac:dyDescent="0.35">
      <c r="O812" s="1" t="str" cm="1">
        <f t="array" ref="O812">IF($BA812="","",INDEX(tblServicios[Fecha],$BA812))</f>
        <v/>
      </c>
      <c r="P812" t="str" cm="1">
        <f t="array" ref="P812">IF($BA812="","",INDEX(tblServicios[Contrato],$BA812))</f>
        <v/>
      </c>
      <c r="Q812" t="str" cm="1">
        <f t="array" ref="Q812">IF($BA812="","",INDEX(tblServicios[Vehículo],$BA812))</f>
        <v/>
      </c>
      <c r="R812" s="34" t="str" cm="1">
        <f t="array" ref="R812">IF($BA812="","",INDEX(tblServicios[Base imponible (€)],$BA812)-INDEX(tblServicios[Imp. suplemento (€)],$BA812))</f>
        <v/>
      </c>
      <c r="S812" s="34" t="str" cm="1">
        <f t="array" ref="S812">IF($BA812="","",INDEX(tblServicios[Imp. suplemento (€)],$BA812))</f>
        <v/>
      </c>
      <c r="T812" t="str" cm="1">
        <f t="array" ref="T812">IF($BA812="","",INDEX(tblServicios[Tipo suplemento],$BA812))</f>
        <v/>
      </c>
      <c r="U812" s="2" t="str">
        <f t="shared" si="14"/>
        <v/>
      </c>
      <c r="V812" t="str" cm="1">
        <f t="array" ref="V812">IF($BA812="","",IF(INDEX(tblServicios[Conductor],$BA812)=$T$2,"Conductor",IF(INDEX(tblServicios[Personal adicional],$BA812)=$T$2,"Personal adicional","")))</f>
        <v/>
      </c>
      <c r="BA812" s="33" t="str" cm="1">
        <f t="array" ref="BA8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adicional]=$T$2))&gt;0)),ROW(A814)),"")</f>
        <v/>
      </c>
    </row>
    <row r="813" spans="15:53" x14ac:dyDescent="0.35">
      <c r="O813" s="1" t="str" cm="1">
        <f t="array" ref="O813">IF($BA813="","",INDEX(tblServicios[Fecha],$BA813))</f>
        <v/>
      </c>
      <c r="P813" t="str" cm="1">
        <f t="array" ref="P813">IF($BA813="","",INDEX(tblServicios[Contrato],$BA813))</f>
        <v/>
      </c>
      <c r="Q813" t="str" cm="1">
        <f t="array" ref="Q813">IF($BA813="","",INDEX(tblServicios[Vehículo],$BA813))</f>
        <v/>
      </c>
      <c r="R813" s="34" t="str" cm="1">
        <f t="array" ref="R813">IF($BA813="","",INDEX(tblServicios[Base imponible (€)],$BA813)-INDEX(tblServicios[Imp. suplemento (€)],$BA813))</f>
        <v/>
      </c>
      <c r="S813" s="34" t="str" cm="1">
        <f t="array" ref="S813">IF($BA813="","",INDEX(tblServicios[Imp. suplemento (€)],$BA813))</f>
        <v/>
      </c>
      <c r="T813" t="str" cm="1">
        <f t="array" ref="T813">IF($BA813="","",INDEX(tblServicios[Tipo suplemento],$BA813))</f>
        <v/>
      </c>
      <c r="U813" s="2" t="str">
        <f t="shared" si="14"/>
        <v/>
      </c>
      <c r="V813" t="str" cm="1">
        <f t="array" ref="V813">IF($BA813="","",IF(INDEX(tblServicios[Conductor],$BA813)=$T$2,"Conductor",IF(INDEX(tblServicios[Personal adicional],$BA813)=$T$2,"Personal adicional","")))</f>
        <v/>
      </c>
      <c r="BA813" s="33" t="str" cm="1">
        <f t="array" ref="BA8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adicional]=$T$2))&gt;0)),ROW(A815)),"")</f>
        <v/>
      </c>
    </row>
    <row r="814" spans="15:53" x14ac:dyDescent="0.35">
      <c r="O814" s="1" t="str" cm="1">
        <f t="array" ref="O814">IF($BA814="","",INDEX(tblServicios[Fecha],$BA814))</f>
        <v/>
      </c>
      <c r="P814" t="str" cm="1">
        <f t="array" ref="P814">IF($BA814="","",INDEX(tblServicios[Contrato],$BA814))</f>
        <v/>
      </c>
      <c r="Q814" t="str" cm="1">
        <f t="array" ref="Q814">IF($BA814="","",INDEX(tblServicios[Vehículo],$BA814))</f>
        <v/>
      </c>
      <c r="R814" s="34" t="str" cm="1">
        <f t="array" ref="R814">IF($BA814="","",INDEX(tblServicios[Base imponible (€)],$BA814)-INDEX(tblServicios[Imp. suplemento (€)],$BA814))</f>
        <v/>
      </c>
      <c r="S814" s="34" t="str" cm="1">
        <f t="array" ref="S814">IF($BA814="","",INDEX(tblServicios[Imp. suplemento (€)],$BA814))</f>
        <v/>
      </c>
      <c r="T814" t="str" cm="1">
        <f t="array" ref="T814">IF($BA814="","",INDEX(tblServicios[Tipo suplemento],$BA814))</f>
        <v/>
      </c>
      <c r="U814" s="2" t="str">
        <f t="shared" si="14"/>
        <v/>
      </c>
      <c r="V814" t="str" cm="1">
        <f t="array" ref="V814">IF($BA814="","",IF(INDEX(tblServicios[Conductor],$BA814)=$T$2,"Conductor",IF(INDEX(tblServicios[Personal adicional],$BA814)=$T$2,"Personal adicional","")))</f>
        <v/>
      </c>
      <c r="BA814" s="33" t="str" cm="1">
        <f t="array" ref="BA8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adicional]=$T$2))&gt;0)),ROW(A816)),"")</f>
        <v/>
      </c>
    </row>
    <row r="815" spans="15:53" x14ac:dyDescent="0.35">
      <c r="O815" s="1" t="str" cm="1">
        <f t="array" ref="O815">IF($BA815="","",INDEX(tblServicios[Fecha],$BA815))</f>
        <v/>
      </c>
      <c r="P815" t="str" cm="1">
        <f t="array" ref="P815">IF($BA815="","",INDEX(tblServicios[Contrato],$BA815))</f>
        <v/>
      </c>
      <c r="Q815" t="str" cm="1">
        <f t="array" ref="Q815">IF($BA815="","",INDEX(tblServicios[Vehículo],$BA815))</f>
        <v/>
      </c>
      <c r="R815" s="34" t="str" cm="1">
        <f t="array" ref="R815">IF($BA815="","",INDEX(tblServicios[Base imponible (€)],$BA815)-INDEX(tblServicios[Imp. suplemento (€)],$BA815))</f>
        <v/>
      </c>
      <c r="S815" s="34" t="str" cm="1">
        <f t="array" ref="S815">IF($BA815="","",INDEX(tblServicios[Imp. suplemento (€)],$BA815))</f>
        <v/>
      </c>
      <c r="T815" t="str" cm="1">
        <f t="array" ref="T815">IF($BA815="","",INDEX(tblServicios[Tipo suplemento],$BA815))</f>
        <v/>
      </c>
      <c r="U815" s="2" t="str">
        <f t="shared" si="14"/>
        <v/>
      </c>
      <c r="V815" t="str" cm="1">
        <f t="array" ref="V815">IF($BA815="","",IF(INDEX(tblServicios[Conductor],$BA815)=$T$2,"Conductor",IF(INDEX(tblServicios[Personal adicional],$BA815)=$T$2,"Personal adicional","")))</f>
        <v/>
      </c>
      <c r="BA815" s="33" t="str" cm="1">
        <f t="array" ref="BA8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adicional]=$T$2))&gt;0)),ROW(A817)),"")</f>
        <v/>
      </c>
    </row>
    <row r="816" spans="15:53" x14ac:dyDescent="0.35">
      <c r="O816" s="1" t="str" cm="1">
        <f t="array" ref="O816">IF($BA816="","",INDEX(tblServicios[Fecha],$BA816))</f>
        <v/>
      </c>
      <c r="P816" t="str" cm="1">
        <f t="array" ref="P816">IF($BA816="","",INDEX(tblServicios[Contrato],$BA816))</f>
        <v/>
      </c>
      <c r="Q816" t="str" cm="1">
        <f t="array" ref="Q816">IF($BA816="","",INDEX(tblServicios[Vehículo],$BA816))</f>
        <v/>
      </c>
      <c r="R816" s="34" t="str" cm="1">
        <f t="array" ref="R816">IF($BA816="","",INDEX(tblServicios[Base imponible (€)],$BA816)-INDEX(tblServicios[Imp. suplemento (€)],$BA816))</f>
        <v/>
      </c>
      <c r="S816" s="34" t="str" cm="1">
        <f t="array" ref="S816">IF($BA816="","",INDEX(tblServicios[Imp. suplemento (€)],$BA816))</f>
        <v/>
      </c>
      <c r="T816" t="str" cm="1">
        <f t="array" ref="T816">IF($BA816="","",INDEX(tblServicios[Tipo suplemento],$BA816))</f>
        <v/>
      </c>
      <c r="U816" s="2" t="str">
        <f t="shared" si="14"/>
        <v/>
      </c>
      <c r="V816" t="str" cm="1">
        <f t="array" ref="V816">IF($BA816="","",IF(INDEX(tblServicios[Conductor],$BA816)=$T$2,"Conductor",IF(INDEX(tblServicios[Personal adicional],$BA816)=$T$2,"Personal adicional","")))</f>
        <v/>
      </c>
      <c r="BA816" s="33" t="str" cm="1">
        <f t="array" ref="BA8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adicional]=$T$2))&gt;0)),ROW(A818)),"")</f>
        <v/>
      </c>
    </row>
    <row r="817" spans="15:53" x14ac:dyDescent="0.35">
      <c r="O817" s="1" t="str" cm="1">
        <f t="array" ref="O817">IF($BA817="","",INDEX(tblServicios[Fecha],$BA817))</f>
        <v/>
      </c>
      <c r="P817" t="str" cm="1">
        <f t="array" ref="P817">IF($BA817="","",INDEX(tblServicios[Contrato],$BA817))</f>
        <v/>
      </c>
      <c r="Q817" t="str" cm="1">
        <f t="array" ref="Q817">IF($BA817="","",INDEX(tblServicios[Vehículo],$BA817))</f>
        <v/>
      </c>
      <c r="R817" s="34" t="str" cm="1">
        <f t="array" ref="R817">IF($BA817="","",INDEX(tblServicios[Base imponible (€)],$BA817)-INDEX(tblServicios[Imp. suplemento (€)],$BA817))</f>
        <v/>
      </c>
      <c r="S817" s="34" t="str" cm="1">
        <f t="array" ref="S817">IF($BA817="","",INDEX(tblServicios[Imp. suplemento (€)],$BA817))</f>
        <v/>
      </c>
      <c r="T817" t="str" cm="1">
        <f t="array" ref="T817">IF($BA817="","",INDEX(tblServicios[Tipo suplemento],$BA817))</f>
        <v/>
      </c>
      <c r="U817" s="2" t="str">
        <f t="shared" si="14"/>
        <v/>
      </c>
      <c r="V817" t="str" cm="1">
        <f t="array" ref="V817">IF($BA817="","",IF(INDEX(tblServicios[Conductor],$BA817)=$T$2,"Conductor",IF(INDEX(tblServicios[Personal adicional],$BA817)=$T$2,"Personal adicional","")))</f>
        <v/>
      </c>
      <c r="BA817" s="33" t="str" cm="1">
        <f t="array" ref="BA8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adicional]=$T$2))&gt;0)),ROW(A819)),"")</f>
        <v/>
      </c>
    </row>
    <row r="818" spans="15:53" x14ac:dyDescent="0.35">
      <c r="O818" s="1" t="str" cm="1">
        <f t="array" ref="O818">IF($BA818="","",INDEX(tblServicios[Fecha],$BA818))</f>
        <v/>
      </c>
      <c r="P818" t="str" cm="1">
        <f t="array" ref="P818">IF($BA818="","",INDEX(tblServicios[Contrato],$BA818))</f>
        <v/>
      </c>
      <c r="Q818" t="str" cm="1">
        <f t="array" ref="Q818">IF($BA818="","",INDEX(tblServicios[Vehículo],$BA818))</f>
        <v/>
      </c>
      <c r="R818" s="34" t="str" cm="1">
        <f t="array" ref="R818">IF($BA818="","",INDEX(tblServicios[Base imponible (€)],$BA818)-INDEX(tblServicios[Imp. suplemento (€)],$BA818))</f>
        <v/>
      </c>
      <c r="S818" s="34" t="str" cm="1">
        <f t="array" ref="S818">IF($BA818="","",INDEX(tblServicios[Imp. suplemento (€)],$BA818))</f>
        <v/>
      </c>
      <c r="T818" t="str" cm="1">
        <f t="array" ref="T818">IF($BA818="","",INDEX(tblServicios[Tipo suplemento],$BA818))</f>
        <v/>
      </c>
      <c r="U818" s="2" t="str">
        <f t="shared" si="14"/>
        <v/>
      </c>
      <c r="V818" t="str" cm="1">
        <f t="array" ref="V818">IF($BA818="","",IF(INDEX(tblServicios[Conductor],$BA818)=$T$2,"Conductor",IF(INDEX(tblServicios[Personal adicional],$BA818)=$T$2,"Personal adicional","")))</f>
        <v/>
      </c>
      <c r="BA818" s="33" t="str" cm="1">
        <f t="array" ref="BA8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adicional]=$T$2))&gt;0)),ROW(A820)),"")</f>
        <v/>
      </c>
    </row>
    <row r="819" spans="15:53" x14ac:dyDescent="0.35">
      <c r="O819" s="1" t="str" cm="1">
        <f t="array" ref="O819">IF($BA819="","",INDEX(tblServicios[Fecha],$BA819))</f>
        <v/>
      </c>
      <c r="P819" t="str" cm="1">
        <f t="array" ref="P819">IF($BA819="","",INDEX(tblServicios[Contrato],$BA819))</f>
        <v/>
      </c>
      <c r="Q819" t="str" cm="1">
        <f t="array" ref="Q819">IF($BA819="","",INDEX(tblServicios[Vehículo],$BA819))</f>
        <v/>
      </c>
      <c r="R819" s="34" t="str" cm="1">
        <f t="array" ref="R819">IF($BA819="","",INDEX(tblServicios[Base imponible (€)],$BA819)-INDEX(tblServicios[Imp. suplemento (€)],$BA819))</f>
        <v/>
      </c>
      <c r="S819" s="34" t="str" cm="1">
        <f t="array" ref="S819">IF($BA819="","",INDEX(tblServicios[Imp. suplemento (€)],$BA819))</f>
        <v/>
      </c>
      <c r="T819" t="str" cm="1">
        <f t="array" ref="T819">IF($BA819="","",INDEX(tblServicios[Tipo suplemento],$BA819))</f>
        <v/>
      </c>
      <c r="U819" s="2" t="str">
        <f t="shared" si="14"/>
        <v/>
      </c>
      <c r="V819" t="str" cm="1">
        <f t="array" ref="V819">IF($BA819="","",IF(INDEX(tblServicios[Conductor],$BA819)=$T$2,"Conductor",IF(INDEX(tblServicios[Personal adicional],$BA819)=$T$2,"Personal adicional","")))</f>
        <v/>
      </c>
      <c r="BA819" s="33" t="str" cm="1">
        <f t="array" ref="BA8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adicional]=$T$2))&gt;0)),ROW(A821)),"")</f>
        <v/>
      </c>
    </row>
    <row r="820" spans="15:53" x14ac:dyDescent="0.35">
      <c r="O820" s="1" t="str" cm="1">
        <f t="array" ref="O820">IF($BA820="","",INDEX(tblServicios[Fecha],$BA820))</f>
        <v/>
      </c>
      <c r="P820" t="str" cm="1">
        <f t="array" ref="P820">IF($BA820="","",INDEX(tblServicios[Contrato],$BA820))</f>
        <v/>
      </c>
      <c r="Q820" t="str" cm="1">
        <f t="array" ref="Q820">IF($BA820="","",INDEX(tblServicios[Vehículo],$BA820))</f>
        <v/>
      </c>
      <c r="R820" s="34" t="str" cm="1">
        <f t="array" ref="R820">IF($BA820="","",INDEX(tblServicios[Base imponible (€)],$BA820)-INDEX(tblServicios[Imp. suplemento (€)],$BA820))</f>
        <v/>
      </c>
      <c r="S820" s="34" t="str" cm="1">
        <f t="array" ref="S820">IF($BA820="","",INDEX(tblServicios[Imp. suplemento (€)],$BA820))</f>
        <v/>
      </c>
      <c r="T820" t="str" cm="1">
        <f t="array" ref="T820">IF($BA820="","",INDEX(tblServicios[Tipo suplemento],$BA820))</f>
        <v/>
      </c>
      <c r="U820" s="2" t="str">
        <f t="shared" si="14"/>
        <v/>
      </c>
      <c r="V820" t="str" cm="1">
        <f t="array" ref="V820">IF($BA820="","",IF(INDEX(tblServicios[Conductor],$BA820)=$T$2,"Conductor",IF(INDEX(tblServicios[Personal adicional],$BA820)=$T$2,"Personal adicional","")))</f>
        <v/>
      </c>
      <c r="BA820" s="33" t="str" cm="1">
        <f t="array" ref="BA8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adicional]=$T$2))&gt;0)),ROW(A822)),"")</f>
        <v/>
      </c>
    </row>
    <row r="821" spans="15:53" x14ac:dyDescent="0.35">
      <c r="O821" s="1" t="str" cm="1">
        <f t="array" ref="O821">IF($BA821="","",INDEX(tblServicios[Fecha],$BA821))</f>
        <v/>
      </c>
      <c r="P821" t="str" cm="1">
        <f t="array" ref="P821">IF($BA821="","",INDEX(tblServicios[Contrato],$BA821))</f>
        <v/>
      </c>
      <c r="Q821" t="str" cm="1">
        <f t="array" ref="Q821">IF($BA821="","",INDEX(tblServicios[Vehículo],$BA821))</f>
        <v/>
      </c>
      <c r="R821" s="34" t="str" cm="1">
        <f t="array" ref="R821">IF($BA821="","",INDEX(tblServicios[Base imponible (€)],$BA821)-INDEX(tblServicios[Imp. suplemento (€)],$BA821))</f>
        <v/>
      </c>
      <c r="S821" s="34" t="str" cm="1">
        <f t="array" ref="S821">IF($BA821="","",INDEX(tblServicios[Imp. suplemento (€)],$BA821))</f>
        <v/>
      </c>
      <c r="T821" t="str" cm="1">
        <f t="array" ref="T821">IF($BA821="","",INDEX(tblServicios[Tipo suplemento],$BA821))</f>
        <v/>
      </c>
      <c r="U821" s="2" t="str">
        <f t="shared" si="14"/>
        <v/>
      </c>
      <c r="V821" t="str" cm="1">
        <f t="array" ref="V821">IF($BA821="","",IF(INDEX(tblServicios[Conductor],$BA821)=$T$2,"Conductor",IF(INDEX(tblServicios[Personal adicional],$BA821)=$T$2,"Personal adicional","")))</f>
        <v/>
      </c>
      <c r="BA821" s="33" t="str" cm="1">
        <f t="array" ref="BA8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adicional]=$T$2))&gt;0)),ROW(A823)),"")</f>
        <v/>
      </c>
    </row>
    <row r="822" spans="15:53" x14ac:dyDescent="0.35">
      <c r="O822" s="1" t="str" cm="1">
        <f t="array" ref="O822">IF($BA822="","",INDEX(tblServicios[Fecha],$BA822))</f>
        <v/>
      </c>
      <c r="P822" t="str" cm="1">
        <f t="array" ref="P822">IF($BA822="","",INDEX(tblServicios[Contrato],$BA822))</f>
        <v/>
      </c>
      <c r="Q822" t="str" cm="1">
        <f t="array" ref="Q822">IF($BA822="","",INDEX(tblServicios[Vehículo],$BA822))</f>
        <v/>
      </c>
      <c r="R822" s="34" t="str" cm="1">
        <f t="array" ref="R822">IF($BA822="","",INDEX(tblServicios[Base imponible (€)],$BA822)-INDEX(tblServicios[Imp. suplemento (€)],$BA822))</f>
        <v/>
      </c>
      <c r="S822" s="34" t="str" cm="1">
        <f t="array" ref="S822">IF($BA822="","",INDEX(tblServicios[Imp. suplemento (€)],$BA822))</f>
        <v/>
      </c>
      <c r="T822" t="str" cm="1">
        <f t="array" ref="T822">IF($BA822="","",INDEX(tblServicios[Tipo suplemento],$BA822))</f>
        <v/>
      </c>
      <c r="U822" s="2" t="str">
        <f t="shared" si="14"/>
        <v/>
      </c>
      <c r="V822" t="str" cm="1">
        <f t="array" ref="V822">IF($BA822="","",IF(INDEX(tblServicios[Conductor],$BA822)=$T$2,"Conductor",IF(INDEX(tblServicios[Personal adicional],$BA822)=$T$2,"Personal adicional","")))</f>
        <v/>
      </c>
      <c r="BA822" s="33" t="str" cm="1">
        <f t="array" ref="BA8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adicional]=$T$2))&gt;0)),ROW(A824)),"")</f>
        <v/>
      </c>
    </row>
    <row r="823" spans="15:53" x14ac:dyDescent="0.35">
      <c r="O823" s="1" t="str" cm="1">
        <f t="array" ref="O823">IF($BA823="","",INDEX(tblServicios[Fecha],$BA823))</f>
        <v/>
      </c>
      <c r="P823" t="str" cm="1">
        <f t="array" ref="P823">IF($BA823="","",INDEX(tblServicios[Contrato],$BA823))</f>
        <v/>
      </c>
      <c r="Q823" t="str" cm="1">
        <f t="array" ref="Q823">IF($BA823="","",INDEX(tblServicios[Vehículo],$BA823))</f>
        <v/>
      </c>
      <c r="R823" s="34" t="str" cm="1">
        <f t="array" ref="R823">IF($BA823="","",INDEX(tblServicios[Base imponible (€)],$BA823)-INDEX(tblServicios[Imp. suplemento (€)],$BA823))</f>
        <v/>
      </c>
      <c r="S823" s="34" t="str" cm="1">
        <f t="array" ref="S823">IF($BA823="","",INDEX(tblServicios[Imp. suplemento (€)],$BA823))</f>
        <v/>
      </c>
      <c r="T823" t="str" cm="1">
        <f t="array" ref="T823">IF($BA823="","",INDEX(tblServicios[Tipo suplemento],$BA823))</f>
        <v/>
      </c>
      <c r="U823" s="2" t="str">
        <f t="shared" si="14"/>
        <v/>
      </c>
      <c r="V823" t="str" cm="1">
        <f t="array" ref="V823">IF($BA823="","",IF(INDEX(tblServicios[Conductor],$BA823)=$T$2,"Conductor",IF(INDEX(tblServicios[Personal adicional],$BA823)=$T$2,"Personal adicional","")))</f>
        <v/>
      </c>
      <c r="BA823" s="33" t="str" cm="1">
        <f t="array" ref="BA8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adicional]=$T$2))&gt;0)),ROW(A825)),"")</f>
        <v/>
      </c>
    </row>
    <row r="824" spans="15:53" x14ac:dyDescent="0.35">
      <c r="O824" s="1" t="str" cm="1">
        <f t="array" ref="O824">IF($BA824="","",INDEX(tblServicios[Fecha],$BA824))</f>
        <v/>
      </c>
      <c r="P824" t="str" cm="1">
        <f t="array" ref="P824">IF($BA824="","",INDEX(tblServicios[Contrato],$BA824))</f>
        <v/>
      </c>
      <c r="Q824" t="str" cm="1">
        <f t="array" ref="Q824">IF($BA824="","",INDEX(tblServicios[Vehículo],$BA824))</f>
        <v/>
      </c>
      <c r="R824" s="34" t="str" cm="1">
        <f t="array" ref="R824">IF($BA824="","",INDEX(tblServicios[Base imponible (€)],$BA824)-INDEX(tblServicios[Imp. suplemento (€)],$BA824))</f>
        <v/>
      </c>
      <c r="S824" s="34" t="str" cm="1">
        <f t="array" ref="S824">IF($BA824="","",INDEX(tblServicios[Imp. suplemento (€)],$BA824))</f>
        <v/>
      </c>
      <c r="T824" t="str" cm="1">
        <f t="array" ref="T824">IF($BA824="","",INDEX(tblServicios[Tipo suplemento],$BA824))</f>
        <v/>
      </c>
      <c r="U824" s="2" t="str">
        <f t="shared" si="14"/>
        <v/>
      </c>
      <c r="V824" t="str" cm="1">
        <f t="array" ref="V824">IF($BA824="","",IF(INDEX(tblServicios[Conductor],$BA824)=$T$2,"Conductor",IF(INDEX(tblServicios[Personal adicional],$BA824)=$T$2,"Personal adicional","")))</f>
        <v/>
      </c>
      <c r="BA824" s="33" t="str" cm="1">
        <f t="array" ref="BA8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adicional]=$T$2))&gt;0)),ROW(A826)),"")</f>
        <v/>
      </c>
    </row>
    <row r="825" spans="15:53" x14ac:dyDescent="0.35">
      <c r="O825" s="1" t="str" cm="1">
        <f t="array" ref="O825">IF($BA825="","",INDEX(tblServicios[Fecha],$BA825))</f>
        <v/>
      </c>
      <c r="P825" t="str" cm="1">
        <f t="array" ref="P825">IF($BA825="","",INDEX(tblServicios[Contrato],$BA825))</f>
        <v/>
      </c>
      <c r="Q825" t="str" cm="1">
        <f t="array" ref="Q825">IF($BA825="","",INDEX(tblServicios[Vehículo],$BA825))</f>
        <v/>
      </c>
      <c r="R825" s="34" t="str" cm="1">
        <f t="array" ref="R825">IF($BA825="","",INDEX(tblServicios[Base imponible (€)],$BA825)-INDEX(tblServicios[Imp. suplemento (€)],$BA825))</f>
        <v/>
      </c>
      <c r="S825" s="34" t="str" cm="1">
        <f t="array" ref="S825">IF($BA825="","",INDEX(tblServicios[Imp. suplemento (€)],$BA825))</f>
        <v/>
      </c>
      <c r="T825" t="str" cm="1">
        <f t="array" ref="T825">IF($BA825="","",INDEX(tblServicios[Tipo suplemento],$BA825))</f>
        <v/>
      </c>
      <c r="U825" s="2" t="str">
        <f t="shared" si="14"/>
        <v/>
      </c>
      <c r="V825" t="str" cm="1">
        <f t="array" ref="V825">IF($BA825="","",IF(INDEX(tblServicios[Conductor],$BA825)=$T$2,"Conductor",IF(INDEX(tblServicios[Personal adicional],$BA825)=$T$2,"Personal adicional","")))</f>
        <v/>
      </c>
      <c r="BA825" s="33" t="str" cm="1">
        <f t="array" ref="BA8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adicional]=$T$2))&gt;0)),ROW(A827)),"")</f>
        <v/>
      </c>
    </row>
    <row r="826" spans="15:53" x14ac:dyDescent="0.35">
      <c r="O826" s="1" t="str" cm="1">
        <f t="array" ref="O826">IF($BA826="","",INDEX(tblServicios[Fecha],$BA826))</f>
        <v/>
      </c>
      <c r="P826" t="str" cm="1">
        <f t="array" ref="P826">IF($BA826="","",INDEX(tblServicios[Contrato],$BA826))</f>
        <v/>
      </c>
      <c r="Q826" t="str" cm="1">
        <f t="array" ref="Q826">IF($BA826="","",INDEX(tblServicios[Vehículo],$BA826))</f>
        <v/>
      </c>
      <c r="R826" s="34" t="str" cm="1">
        <f t="array" ref="R826">IF($BA826="","",INDEX(tblServicios[Base imponible (€)],$BA826)-INDEX(tblServicios[Imp. suplemento (€)],$BA826))</f>
        <v/>
      </c>
      <c r="S826" s="34" t="str" cm="1">
        <f t="array" ref="S826">IF($BA826="","",INDEX(tblServicios[Imp. suplemento (€)],$BA826))</f>
        <v/>
      </c>
      <c r="T826" t="str" cm="1">
        <f t="array" ref="T826">IF($BA826="","",INDEX(tblServicios[Tipo suplemento],$BA826))</f>
        <v/>
      </c>
      <c r="U826" s="2" t="str">
        <f t="shared" si="14"/>
        <v/>
      </c>
      <c r="V826" t="str" cm="1">
        <f t="array" ref="V826">IF($BA826="","",IF(INDEX(tblServicios[Conductor],$BA826)=$T$2,"Conductor",IF(INDEX(tblServicios[Personal adicional],$BA826)=$T$2,"Personal adicional","")))</f>
        <v/>
      </c>
      <c r="BA826" s="33" t="str" cm="1">
        <f t="array" ref="BA8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adicional]=$T$2))&gt;0)),ROW(A828)),"")</f>
        <v/>
      </c>
    </row>
    <row r="827" spans="15:53" x14ac:dyDescent="0.35">
      <c r="O827" s="1" t="str" cm="1">
        <f t="array" ref="O827">IF($BA827="","",INDEX(tblServicios[Fecha],$BA827))</f>
        <v/>
      </c>
      <c r="P827" t="str" cm="1">
        <f t="array" ref="P827">IF($BA827="","",INDEX(tblServicios[Contrato],$BA827))</f>
        <v/>
      </c>
      <c r="Q827" t="str" cm="1">
        <f t="array" ref="Q827">IF($BA827="","",INDEX(tblServicios[Vehículo],$BA827))</f>
        <v/>
      </c>
      <c r="R827" s="34" t="str" cm="1">
        <f t="array" ref="R827">IF($BA827="","",INDEX(tblServicios[Base imponible (€)],$BA827)-INDEX(tblServicios[Imp. suplemento (€)],$BA827))</f>
        <v/>
      </c>
      <c r="S827" s="34" t="str" cm="1">
        <f t="array" ref="S827">IF($BA827="","",INDEX(tblServicios[Imp. suplemento (€)],$BA827))</f>
        <v/>
      </c>
      <c r="T827" t="str" cm="1">
        <f t="array" ref="T827">IF($BA827="","",INDEX(tblServicios[Tipo suplemento],$BA827))</f>
        <v/>
      </c>
      <c r="U827" s="2" t="str">
        <f t="shared" si="14"/>
        <v/>
      </c>
      <c r="V827" t="str" cm="1">
        <f t="array" ref="V827">IF($BA827="","",IF(INDEX(tblServicios[Conductor],$BA827)=$T$2,"Conductor",IF(INDEX(tblServicios[Personal adicional],$BA827)=$T$2,"Personal adicional","")))</f>
        <v/>
      </c>
      <c r="BA827" s="33" t="str" cm="1">
        <f t="array" ref="BA8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adicional]=$T$2))&gt;0)),ROW(A829)),"")</f>
        <v/>
      </c>
    </row>
    <row r="828" spans="15:53" x14ac:dyDescent="0.35">
      <c r="O828" s="1" t="str" cm="1">
        <f t="array" ref="O828">IF($BA828="","",INDEX(tblServicios[Fecha],$BA828))</f>
        <v/>
      </c>
      <c r="P828" t="str" cm="1">
        <f t="array" ref="P828">IF($BA828="","",INDEX(tblServicios[Contrato],$BA828))</f>
        <v/>
      </c>
      <c r="Q828" t="str" cm="1">
        <f t="array" ref="Q828">IF($BA828="","",INDEX(tblServicios[Vehículo],$BA828))</f>
        <v/>
      </c>
      <c r="R828" s="34" t="str" cm="1">
        <f t="array" ref="R828">IF($BA828="","",INDEX(tblServicios[Base imponible (€)],$BA828)-INDEX(tblServicios[Imp. suplemento (€)],$BA828))</f>
        <v/>
      </c>
      <c r="S828" s="34" t="str" cm="1">
        <f t="array" ref="S828">IF($BA828="","",INDEX(tblServicios[Imp. suplemento (€)],$BA828))</f>
        <v/>
      </c>
      <c r="T828" t="str" cm="1">
        <f t="array" ref="T828">IF($BA828="","",INDEX(tblServicios[Tipo suplemento],$BA828))</f>
        <v/>
      </c>
      <c r="U828" s="2" t="str">
        <f t="shared" si="14"/>
        <v/>
      </c>
      <c r="V828" t="str" cm="1">
        <f t="array" ref="V828">IF($BA828="","",IF(INDEX(tblServicios[Conductor],$BA828)=$T$2,"Conductor",IF(INDEX(tblServicios[Personal adicional],$BA828)=$T$2,"Personal adicional","")))</f>
        <v/>
      </c>
      <c r="BA828" s="33" t="str" cm="1">
        <f t="array" ref="BA8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adicional]=$T$2))&gt;0)),ROW(A830)),"")</f>
        <v/>
      </c>
    </row>
    <row r="829" spans="15:53" x14ac:dyDescent="0.35">
      <c r="O829" s="1" t="str" cm="1">
        <f t="array" ref="O829">IF($BA829="","",INDEX(tblServicios[Fecha],$BA829))</f>
        <v/>
      </c>
      <c r="P829" t="str" cm="1">
        <f t="array" ref="P829">IF($BA829="","",INDEX(tblServicios[Contrato],$BA829))</f>
        <v/>
      </c>
      <c r="Q829" t="str" cm="1">
        <f t="array" ref="Q829">IF($BA829="","",INDEX(tblServicios[Vehículo],$BA829))</f>
        <v/>
      </c>
      <c r="R829" s="34" t="str" cm="1">
        <f t="array" ref="R829">IF($BA829="","",INDEX(tblServicios[Base imponible (€)],$BA829)-INDEX(tblServicios[Imp. suplemento (€)],$BA829))</f>
        <v/>
      </c>
      <c r="S829" s="34" t="str" cm="1">
        <f t="array" ref="S829">IF($BA829="","",INDEX(tblServicios[Imp. suplemento (€)],$BA829))</f>
        <v/>
      </c>
      <c r="T829" t="str" cm="1">
        <f t="array" ref="T829">IF($BA829="","",INDEX(tblServicios[Tipo suplemento],$BA829))</f>
        <v/>
      </c>
      <c r="U829" s="2" t="str">
        <f t="shared" si="14"/>
        <v/>
      </c>
      <c r="V829" t="str" cm="1">
        <f t="array" ref="V829">IF($BA829="","",IF(INDEX(tblServicios[Conductor],$BA829)=$T$2,"Conductor",IF(INDEX(tblServicios[Personal adicional],$BA829)=$T$2,"Personal adicional","")))</f>
        <v/>
      </c>
      <c r="BA829" s="33" t="str" cm="1">
        <f t="array" ref="BA8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adicional]=$T$2))&gt;0)),ROW(A831)),"")</f>
        <v/>
      </c>
    </row>
    <row r="830" spans="15:53" x14ac:dyDescent="0.35">
      <c r="O830" s="1" t="str" cm="1">
        <f t="array" ref="O830">IF($BA830="","",INDEX(tblServicios[Fecha],$BA830))</f>
        <v/>
      </c>
      <c r="P830" t="str" cm="1">
        <f t="array" ref="P830">IF($BA830="","",INDEX(tblServicios[Contrato],$BA830))</f>
        <v/>
      </c>
      <c r="Q830" t="str" cm="1">
        <f t="array" ref="Q830">IF($BA830="","",INDEX(tblServicios[Vehículo],$BA830))</f>
        <v/>
      </c>
      <c r="R830" s="34" t="str" cm="1">
        <f t="array" ref="R830">IF($BA830="","",INDEX(tblServicios[Base imponible (€)],$BA830)-INDEX(tblServicios[Imp. suplemento (€)],$BA830))</f>
        <v/>
      </c>
      <c r="S830" s="34" t="str" cm="1">
        <f t="array" ref="S830">IF($BA830="","",INDEX(tblServicios[Imp. suplemento (€)],$BA830))</f>
        <v/>
      </c>
      <c r="T830" t="str" cm="1">
        <f t="array" ref="T830">IF($BA830="","",INDEX(tblServicios[Tipo suplemento],$BA830))</f>
        <v/>
      </c>
      <c r="U830" s="2" t="str">
        <f t="shared" si="14"/>
        <v/>
      </c>
      <c r="V830" t="str" cm="1">
        <f t="array" ref="V830">IF($BA830="","",IF(INDEX(tblServicios[Conductor],$BA830)=$T$2,"Conductor",IF(INDEX(tblServicios[Personal adicional],$BA830)=$T$2,"Personal adicional","")))</f>
        <v/>
      </c>
      <c r="BA830" s="33" t="str" cm="1">
        <f t="array" ref="BA8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adicional]=$T$2))&gt;0)),ROW(A832)),"")</f>
        <v/>
      </c>
    </row>
    <row r="831" spans="15:53" x14ac:dyDescent="0.35">
      <c r="O831" s="1" t="str" cm="1">
        <f t="array" ref="O831">IF($BA831="","",INDEX(tblServicios[Fecha],$BA831))</f>
        <v/>
      </c>
      <c r="P831" t="str" cm="1">
        <f t="array" ref="P831">IF($BA831="","",INDEX(tblServicios[Contrato],$BA831))</f>
        <v/>
      </c>
      <c r="Q831" t="str" cm="1">
        <f t="array" ref="Q831">IF($BA831="","",INDEX(tblServicios[Vehículo],$BA831))</f>
        <v/>
      </c>
      <c r="R831" s="34" t="str" cm="1">
        <f t="array" ref="R831">IF($BA831="","",INDEX(tblServicios[Base imponible (€)],$BA831)-INDEX(tblServicios[Imp. suplemento (€)],$BA831))</f>
        <v/>
      </c>
      <c r="S831" s="34" t="str" cm="1">
        <f t="array" ref="S831">IF($BA831="","",INDEX(tblServicios[Imp. suplemento (€)],$BA831))</f>
        <v/>
      </c>
      <c r="T831" t="str" cm="1">
        <f t="array" ref="T831">IF($BA831="","",INDEX(tblServicios[Tipo suplemento],$BA831))</f>
        <v/>
      </c>
      <c r="U831" s="2" t="str">
        <f t="shared" si="14"/>
        <v/>
      </c>
      <c r="V831" t="str" cm="1">
        <f t="array" ref="V831">IF($BA831="","",IF(INDEX(tblServicios[Conductor],$BA831)=$T$2,"Conductor",IF(INDEX(tblServicios[Personal adicional],$BA831)=$T$2,"Personal adicional","")))</f>
        <v/>
      </c>
      <c r="BA831" s="33" t="str" cm="1">
        <f t="array" ref="BA8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adicional]=$T$2))&gt;0)),ROW(A833)),"")</f>
        <v/>
      </c>
    </row>
    <row r="832" spans="15:53" x14ac:dyDescent="0.35">
      <c r="O832" s="1" t="str" cm="1">
        <f t="array" ref="O832">IF($BA832="","",INDEX(tblServicios[Fecha],$BA832))</f>
        <v/>
      </c>
      <c r="P832" t="str" cm="1">
        <f t="array" ref="P832">IF($BA832="","",INDEX(tblServicios[Contrato],$BA832))</f>
        <v/>
      </c>
      <c r="Q832" t="str" cm="1">
        <f t="array" ref="Q832">IF($BA832="","",INDEX(tblServicios[Vehículo],$BA832))</f>
        <v/>
      </c>
      <c r="R832" s="34" t="str" cm="1">
        <f t="array" ref="R832">IF($BA832="","",INDEX(tblServicios[Base imponible (€)],$BA832)-INDEX(tblServicios[Imp. suplemento (€)],$BA832))</f>
        <v/>
      </c>
      <c r="S832" s="34" t="str" cm="1">
        <f t="array" ref="S832">IF($BA832="","",INDEX(tblServicios[Imp. suplemento (€)],$BA832))</f>
        <v/>
      </c>
      <c r="T832" t="str" cm="1">
        <f t="array" ref="T832">IF($BA832="","",INDEX(tblServicios[Tipo suplemento],$BA832))</f>
        <v/>
      </c>
      <c r="U832" s="2" t="str">
        <f t="shared" si="14"/>
        <v/>
      </c>
      <c r="V832" t="str" cm="1">
        <f t="array" ref="V832">IF($BA832="","",IF(INDEX(tblServicios[Conductor],$BA832)=$T$2,"Conductor",IF(INDEX(tblServicios[Personal adicional],$BA832)=$T$2,"Personal adicional","")))</f>
        <v/>
      </c>
      <c r="BA832" s="33" t="str" cm="1">
        <f t="array" ref="BA8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adicional]=$T$2))&gt;0)),ROW(A834)),"")</f>
        <v/>
      </c>
    </row>
    <row r="833" spans="15:53" x14ac:dyDescent="0.35">
      <c r="O833" s="1" t="str" cm="1">
        <f t="array" ref="O833">IF($BA833="","",INDEX(tblServicios[Fecha],$BA833))</f>
        <v/>
      </c>
      <c r="P833" t="str" cm="1">
        <f t="array" ref="P833">IF($BA833="","",INDEX(tblServicios[Contrato],$BA833))</f>
        <v/>
      </c>
      <c r="Q833" t="str" cm="1">
        <f t="array" ref="Q833">IF($BA833="","",INDEX(tblServicios[Vehículo],$BA833))</f>
        <v/>
      </c>
      <c r="R833" s="34" t="str" cm="1">
        <f t="array" ref="R833">IF($BA833="","",INDEX(tblServicios[Base imponible (€)],$BA833)-INDEX(tblServicios[Imp. suplemento (€)],$BA833))</f>
        <v/>
      </c>
      <c r="S833" s="34" t="str" cm="1">
        <f t="array" ref="S833">IF($BA833="","",INDEX(tblServicios[Imp. suplemento (€)],$BA833))</f>
        <v/>
      </c>
      <c r="T833" t="str" cm="1">
        <f t="array" ref="T833">IF($BA833="","",INDEX(tblServicios[Tipo suplemento],$BA833))</f>
        <v/>
      </c>
      <c r="U833" s="2" t="str">
        <f t="shared" si="14"/>
        <v/>
      </c>
      <c r="V833" t="str" cm="1">
        <f t="array" ref="V833">IF($BA833="","",IF(INDEX(tblServicios[Conductor],$BA833)=$T$2,"Conductor",IF(INDEX(tblServicios[Personal adicional],$BA833)=$T$2,"Personal adicional","")))</f>
        <v/>
      </c>
      <c r="BA833" s="33" t="str" cm="1">
        <f t="array" ref="BA8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adicional]=$T$2))&gt;0)),ROW(A835)),"")</f>
        <v/>
      </c>
    </row>
    <row r="834" spans="15:53" x14ac:dyDescent="0.35">
      <c r="O834" s="1" t="str" cm="1">
        <f t="array" ref="O834">IF($BA834="","",INDEX(tblServicios[Fecha],$BA834))</f>
        <v/>
      </c>
      <c r="P834" t="str" cm="1">
        <f t="array" ref="P834">IF($BA834="","",INDEX(tblServicios[Contrato],$BA834))</f>
        <v/>
      </c>
      <c r="Q834" t="str" cm="1">
        <f t="array" ref="Q834">IF($BA834="","",INDEX(tblServicios[Vehículo],$BA834))</f>
        <v/>
      </c>
      <c r="R834" s="34" t="str" cm="1">
        <f t="array" ref="R834">IF($BA834="","",INDEX(tblServicios[Base imponible (€)],$BA834)-INDEX(tblServicios[Imp. suplemento (€)],$BA834))</f>
        <v/>
      </c>
      <c r="S834" s="34" t="str" cm="1">
        <f t="array" ref="S834">IF($BA834="","",INDEX(tblServicios[Imp. suplemento (€)],$BA834))</f>
        <v/>
      </c>
      <c r="T834" t="str" cm="1">
        <f t="array" ref="T834">IF($BA834="","",INDEX(tblServicios[Tipo suplemento],$BA834))</f>
        <v/>
      </c>
      <c r="U834" s="2" t="str">
        <f t="shared" si="14"/>
        <v/>
      </c>
      <c r="V834" t="str" cm="1">
        <f t="array" ref="V834">IF($BA834="","",IF(INDEX(tblServicios[Conductor],$BA834)=$T$2,"Conductor",IF(INDEX(tblServicios[Personal adicional],$BA834)=$T$2,"Personal adicional","")))</f>
        <v/>
      </c>
      <c r="BA834" s="33" t="str" cm="1">
        <f t="array" ref="BA8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adicional]=$T$2))&gt;0)),ROW(A836)),"")</f>
        <v/>
      </c>
    </row>
    <row r="835" spans="15:53" x14ac:dyDescent="0.35">
      <c r="O835" s="1" t="str" cm="1">
        <f t="array" ref="O835">IF($BA835="","",INDEX(tblServicios[Fecha],$BA835))</f>
        <v/>
      </c>
      <c r="P835" t="str" cm="1">
        <f t="array" ref="P835">IF($BA835="","",INDEX(tblServicios[Contrato],$BA835))</f>
        <v/>
      </c>
      <c r="Q835" t="str" cm="1">
        <f t="array" ref="Q835">IF($BA835="","",INDEX(tblServicios[Vehículo],$BA835))</f>
        <v/>
      </c>
      <c r="R835" s="34" t="str" cm="1">
        <f t="array" ref="R835">IF($BA835="","",INDEX(tblServicios[Base imponible (€)],$BA835)-INDEX(tblServicios[Imp. suplemento (€)],$BA835))</f>
        <v/>
      </c>
      <c r="S835" s="34" t="str" cm="1">
        <f t="array" ref="S835">IF($BA835="","",INDEX(tblServicios[Imp. suplemento (€)],$BA835))</f>
        <v/>
      </c>
      <c r="T835" t="str" cm="1">
        <f t="array" ref="T835">IF($BA835="","",INDEX(tblServicios[Tipo suplemento],$BA835))</f>
        <v/>
      </c>
      <c r="U835" s="2" t="str">
        <f t="shared" si="14"/>
        <v/>
      </c>
      <c r="V835" t="str" cm="1">
        <f t="array" ref="V835">IF($BA835="","",IF(INDEX(tblServicios[Conductor],$BA835)=$T$2,"Conductor",IF(INDEX(tblServicios[Personal adicional],$BA835)=$T$2,"Personal adicional","")))</f>
        <v/>
      </c>
      <c r="BA835" s="33" t="str" cm="1">
        <f t="array" ref="BA8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adicional]=$T$2))&gt;0)),ROW(A837)),"")</f>
        <v/>
      </c>
    </row>
    <row r="836" spans="15:53" x14ac:dyDescent="0.35">
      <c r="O836" s="1" t="str" cm="1">
        <f t="array" ref="O836">IF($BA836="","",INDEX(tblServicios[Fecha],$BA836))</f>
        <v/>
      </c>
      <c r="P836" t="str" cm="1">
        <f t="array" ref="P836">IF($BA836="","",INDEX(tblServicios[Contrato],$BA836))</f>
        <v/>
      </c>
      <c r="Q836" t="str" cm="1">
        <f t="array" ref="Q836">IF($BA836="","",INDEX(tblServicios[Vehículo],$BA836))</f>
        <v/>
      </c>
      <c r="R836" s="34" t="str" cm="1">
        <f t="array" ref="R836">IF($BA836="","",INDEX(tblServicios[Base imponible (€)],$BA836)-INDEX(tblServicios[Imp. suplemento (€)],$BA836))</f>
        <v/>
      </c>
      <c r="S836" s="34" t="str" cm="1">
        <f t="array" ref="S836">IF($BA836="","",INDEX(tblServicios[Imp. suplemento (€)],$BA836))</f>
        <v/>
      </c>
      <c r="T836" t="str" cm="1">
        <f t="array" ref="T836">IF($BA836="","",INDEX(tblServicios[Tipo suplemento],$BA836))</f>
        <v/>
      </c>
      <c r="U836" s="2" t="str">
        <f t="shared" si="14"/>
        <v/>
      </c>
      <c r="V836" t="str" cm="1">
        <f t="array" ref="V836">IF($BA836="","",IF(INDEX(tblServicios[Conductor],$BA836)=$T$2,"Conductor",IF(INDEX(tblServicios[Personal adicional],$BA836)=$T$2,"Personal adicional","")))</f>
        <v/>
      </c>
      <c r="BA836" s="33" t="str" cm="1">
        <f t="array" ref="BA8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adicional]=$T$2))&gt;0)),ROW(A838)),"")</f>
        <v/>
      </c>
    </row>
    <row r="837" spans="15:53" x14ac:dyDescent="0.35">
      <c r="O837" s="1" t="str" cm="1">
        <f t="array" ref="O837">IF($BA837="","",INDEX(tblServicios[Fecha],$BA837))</f>
        <v/>
      </c>
      <c r="P837" t="str" cm="1">
        <f t="array" ref="P837">IF($BA837="","",INDEX(tblServicios[Contrato],$BA837))</f>
        <v/>
      </c>
      <c r="Q837" t="str" cm="1">
        <f t="array" ref="Q837">IF($BA837="","",INDEX(tblServicios[Vehículo],$BA837))</f>
        <v/>
      </c>
      <c r="R837" s="34" t="str" cm="1">
        <f t="array" ref="R837">IF($BA837="","",INDEX(tblServicios[Base imponible (€)],$BA837)-INDEX(tblServicios[Imp. suplemento (€)],$BA837))</f>
        <v/>
      </c>
      <c r="S837" s="34" t="str" cm="1">
        <f t="array" ref="S837">IF($BA837="","",INDEX(tblServicios[Imp. suplemento (€)],$BA837))</f>
        <v/>
      </c>
      <c r="T837" t="str" cm="1">
        <f t="array" ref="T837">IF($BA837="","",INDEX(tblServicios[Tipo suplemento],$BA837))</f>
        <v/>
      </c>
      <c r="U837" s="2" t="str">
        <f t="shared" si="14"/>
        <v/>
      </c>
      <c r="V837" t="str" cm="1">
        <f t="array" ref="V837">IF($BA837="","",IF(INDEX(tblServicios[Conductor],$BA837)=$T$2,"Conductor",IF(INDEX(tblServicios[Personal adicional],$BA837)=$T$2,"Personal adicional","")))</f>
        <v/>
      </c>
      <c r="BA837" s="33" t="str" cm="1">
        <f t="array" ref="BA8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adicional]=$T$2))&gt;0)),ROW(A839)),"")</f>
        <v/>
      </c>
    </row>
    <row r="838" spans="15:53" x14ac:dyDescent="0.35">
      <c r="O838" s="1" t="str" cm="1">
        <f t="array" ref="O838">IF($BA838="","",INDEX(tblServicios[Fecha],$BA838))</f>
        <v/>
      </c>
      <c r="P838" t="str" cm="1">
        <f t="array" ref="P838">IF($BA838="","",INDEX(tblServicios[Contrato],$BA838))</f>
        <v/>
      </c>
      <c r="Q838" t="str" cm="1">
        <f t="array" ref="Q838">IF($BA838="","",INDEX(tblServicios[Vehículo],$BA838))</f>
        <v/>
      </c>
      <c r="R838" s="34" t="str" cm="1">
        <f t="array" ref="R838">IF($BA838="","",INDEX(tblServicios[Base imponible (€)],$BA838)-INDEX(tblServicios[Imp. suplemento (€)],$BA838))</f>
        <v/>
      </c>
      <c r="S838" s="34" t="str" cm="1">
        <f t="array" ref="S838">IF($BA838="","",INDEX(tblServicios[Imp. suplemento (€)],$BA838))</f>
        <v/>
      </c>
      <c r="T838" t="str" cm="1">
        <f t="array" ref="T838">IF($BA838="","",INDEX(tblServicios[Tipo suplemento],$BA838))</f>
        <v/>
      </c>
      <c r="U838" s="2" t="str">
        <f t="shared" si="14"/>
        <v/>
      </c>
      <c r="V838" t="str" cm="1">
        <f t="array" ref="V838">IF($BA838="","",IF(INDEX(tblServicios[Conductor],$BA838)=$T$2,"Conductor",IF(INDEX(tblServicios[Personal adicional],$BA838)=$T$2,"Personal adicional","")))</f>
        <v/>
      </c>
      <c r="BA838" s="33" t="str" cm="1">
        <f t="array" ref="BA8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adicional]=$T$2))&gt;0)),ROW(A840)),"")</f>
        <v/>
      </c>
    </row>
    <row r="839" spans="15:53" x14ac:dyDescent="0.35">
      <c r="O839" s="1" t="str" cm="1">
        <f t="array" ref="O839">IF($BA839="","",INDEX(tblServicios[Fecha],$BA839))</f>
        <v/>
      </c>
      <c r="P839" t="str" cm="1">
        <f t="array" ref="P839">IF($BA839="","",INDEX(tblServicios[Contrato],$BA839))</f>
        <v/>
      </c>
      <c r="Q839" t="str" cm="1">
        <f t="array" ref="Q839">IF($BA839="","",INDEX(tblServicios[Vehículo],$BA839))</f>
        <v/>
      </c>
      <c r="R839" s="34" t="str" cm="1">
        <f t="array" ref="R839">IF($BA839="","",INDEX(tblServicios[Base imponible (€)],$BA839)-INDEX(tblServicios[Imp. suplemento (€)],$BA839))</f>
        <v/>
      </c>
      <c r="S839" s="34" t="str" cm="1">
        <f t="array" ref="S839">IF($BA839="","",INDEX(tblServicios[Imp. suplemento (€)],$BA839))</f>
        <v/>
      </c>
      <c r="T839" t="str" cm="1">
        <f t="array" ref="T839">IF($BA839="","",INDEX(tblServicios[Tipo suplemento],$BA839))</f>
        <v/>
      </c>
      <c r="U839" s="2" t="str">
        <f t="shared" ref="U839:U902" si="15">IF($BA839="","",R839+S839)</f>
        <v/>
      </c>
      <c r="V839" t="str" cm="1">
        <f t="array" ref="V839">IF($BA839="","",IF(INDEX(tblServicios[Conductor],$BA839)=$T$2,"Conductor",IF(INDEX(tblServicios[Personal adicional],$BA839)=$T$2,"Personal adicional","")))</f>
        <v/>
      </c>
      <c r="BA839" s="33" t="str" cm="1">
        <f t="array" ref="BA8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adicional]=$T$2))&gt;0)),ROW(A841)),"")</f>
        <v/>
      </c>
    </row>
    <row r="840" spans="15:53" x14ac:dyDescent="0.35">
      <c r="O840" s="1" t="str" cm="1">
        <f t="array" ref="O840">IF($BA840="","",INDEX(tblServicios[Fecha],$BA840))</f>
        <v/>
      </c>
      <c r="P840" t="str" cm="1">
        <f t="array" ref="P840">IF($BA840="","",INDEX(tblServicios[Contrato],$BA840))</f>
        <v/>
      </c>
      <c r="Q840" t="str" cm="1">
        <f t="array" ref="Q840">IF($BA840="","",INDEX(tblServicios[Vehículo],$BA840))</f>
        <v/>
      </c>
      <c r="R840" s="34" t="str" cm="1">
        <f t="array" ref="R840">IF($BA840="","",INDEX(tblServicios[Base imponible (€)],$BA840)-INDEX(tblServicios[Imp. suplemento (€)],$BA840))</f>
        <v/>
      </c>
      <c r="S840" s="34" t="str" cm="1">
        <f t="array" ref="S840">IF($BA840="","",INDEX(tblServicios[Imp. suplemento (€)],$BA840))</f>
        <v/>
      </c>
      <c r="T840" t="str" cm="1">
        <f t="array" ref="T840">IF($BA840="","",INDEX(tblServicios[Tipo suplemento],$BA840))</f>
        <v/>
      </c>
      <c r="U840" s="2" t="str">
        <f t="shared" si="15"/>
        <v/>
      </c>
      <c r="V840" t="str" cm="1">
        <f t="array" ref="V840">IF($BA840="","",IF(INDEX(tblServicios[Conductor],$BA840)=$T$2,"Conductor",IF(INDEX(tblServicios[Personal adicional],$BA840)=$T$2,"Personal adicional","")))</f>
        <v/>
      </c>
      <c r="BA840" s="33" t="str" cm="1">
        <f t="array" ref="BA8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adicional]=$T$2))&gt;0)),ROW(A842)),"")</f>
        <v/>
      </c>
    </row>
    <row r="841" spans="15:53" x14ac:dyDescent="0.35">
      <c r="O841" s="1" t="str" cm="1">
        <f t="array" ref="O841">IF($BA841="","",INDEX(tblServicios[Fecha],$BA841))</f>
        <v/>
      </c>
      <c r="P841" t="str" cm="1">
        <f t="array" ref="P841">IF($BA841="","",INDEX(tblServicios[Contrato],$BA841))</f>
        <v/>
      </c>
      <c r="Q841" t="str" cm="1">
        <f t="array" ref="Q841">IF($BA841="","",INDEX(tblServicios[Vehículo],$BA841))</f>
        <v/>
      </c>
      <c r="R841" s="34" t="str" cm="1">
        <f t="array" ref="R841">IF($BA841="","",INDEX(tblServicios[Base imponible (€)],$BA841)-INDEX(tblServicios[Imp. suplemento (€)],$BA841))</f>
        <v/>
      </c>
      <c r="S841" s="34" t="str" cm="1">
        <f t="array" ref="S841">IF($BA841="","",INDEX(tblServicios[Imp. suplemento (€)],$BA841))</f>
        <v/>
      </c>
      <c r="T841" t="str" cm="1">
        <f t="array" ref="T841">IF($BA841="","",INDEX(tblServicios[Tipo suplemento],$BA841))</f>
        <v/>
      </c>
      <c r="U841" s="2" t="str">
        <f t="shared" si="15"/>
        <v/>
      </c>
      <c r="V841" t="str" cm="1">
        <f t="array" ref="V841">IF($BA841="","",IF(INDEX(tblServicios[Conductor],$BA841)=$T$2,"Conductor",IF(INDEX(tblServicios[Personal adicional],$BA841)=$T$2,"Personal adicional","")))</f>
        <v/>
      </c>
      <c r="BA841" s="33" t="str" cm="1">
        <f t="array" ref="BA8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adicional]=$T$2))&gt;0)),ROW(A843)),"")</f>
        <v/>
      </c>
    </row>
    <row r="842" spans="15:53" x14ac:dyDescent="0.35">
      <c r="O842" s="1" t="str" cm="1">
        <f t="array" ref="O842">IF($BA842="","",INDEX(tblServicios[Fecha],$BA842))</f>
        <v/>
      </c>
      <c r="P842" t="str" cm="1">
        <f t="array" ref="P842">IF($BA842="","",INDEX(tblServicios[Contrato],$BA842))</f>
        <v/>
      </c>
      <c r="Q842" t="str" cm="1">
        <f t="array" ref="Q842">IF($BA842="","",INDEX(tblServicios[Vehículo],$BA842))</f>
        <v/>
      </c>
      <c r="R842" s="34" t="str" cm="1">
        <f t="array" ref="R842">IF($BA842="","",INDEX(tblServicios[Base imponible (€)],$BA842)-INDEX(tblServicios[Imp. suplemento (€)],$BA842))</f>
        <v/>
      </c>
      <c r="S842" s="34" t="str" cm="1">
        <f t="array" ref="S842">IF($BA842="","",INDEX(tblServicios[Imp. suplemento (€)],$BA842))</f>
        <v/>
      </c>
      <c r="T842" t="str" cm="1">
        <f t="array" ref="T842">IF($BA842="","",INDEX(tblServicios[Tipo suplemento],$BA842))</f>
        <v/>
      </c>
      <c r="U842" s="2" t="str">
        <f t="shared" si="15"/>
        <v/>
      </c>
      <c r="V842" t="str" cm="1">
        <f t="array" ref="V842">IF($BA842="","",IF(INDEX(tblServicios[Conductor],$BA842)=$T$2,"Conductor",IF(INDEX(tblServicios[Personal adicional],$BA842)=$T$2,"Personal adicional","")))</f>
        <v/>
      </c>
      <c r="BA842" s="33" t="str" cm="1">
        <f t="array" ref="BA8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adicional]=$T$2))&gt;0)),ROW(A844)),"")</f>
        <v/>
      </c>
    </row>
    <row r="843" spans="15:53" x14ac:dyDescent="0.35">
      <c r="O843" s="1" t="str" cm="1">
        <f t="array" ref="O843">IF($BA843="","",INDEX(tblServicios[Fecha],$BA843))</f>
        <v/>
      </c>
      <c r="P843" t="str" cm="1">
        <f t="array" ref="P843">IF($BA843="","",INDEX(tblServicios[Contrato],$BA843))</f>
        <v/>
      </c>
      <c r="Q843" t="str" cm="1">
        <f t="array" ref="Q843">IF($BA843="","",INDEX(tblServicios[Vehículo],$BA843))</f>
        <v/>
      </c>
      <c r="R843" s="34" t="str" cm="1">
        <f t="array" ref="R843">IF($BA843="","",INDEX(tblServicios[Base imponible (€)],$BA843)-INDEX(tblServicios[Imp. suplemento (€)],$BA843))</f>
        <v/>
      </c>
      <c r="S843" s="34" t="str" cm="1">
        <f t="array" ref="S843">IF($BA843="","",INDEX(tblServicios[Imp. suplemento (€)],$BA843))</f>
        <v/>
      </c>
      <c r="T843" t="str" cm="1">
        <f t="array" ref="T843">IF($BA843="","",INDEX(tblServicios[Tipo suplemento],$BA843))</f>
        <v/>
      </c>
      <c r="U843" s="2" t="str">
        <f t="shared" si="15"/>
        <v/>
      </c>
      <c r="V843" t="str" cm="1">
        <f t="array" ref="V843">IF($BA843="","",IF(INDEX(tblServicios[Conductor],$BA843)=$T$2,"Conductor",IF(INDEX(tblServicios[Personal adicional],$BA843)=$T$2,"Personal adicional","")))</f>
        <v/>
      </c>
      <c r="BA843" s="33" t="str" cm="1">
        <f t="array" ref="BA8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adicional]=$T$2))&gt;0)),ROW(A845)),"")</f>
        <v/>
      </c>
    </row>
    <row r="844" spans="15:53" x14ac:dyDescent="0.35">
      <c r="O844" s="1" t="str" cm="1">
        <f t="array" ref="O844">IF($BA844="","",INDEX(tblServicios[Fecha],$BA844))</f>
        <v/>
      </c>
      <c r="P844" t="str" cm="1">
        <f t="array" ref="P844">IF($BA844="","",INDEX(tblServicios[Contrato],$BA844))</f>
        <v/>
      </c>
      <c r="Q844" t="str" cm="1">
        <f t="array" ref="Q844">IF($BA844="","",INDEX(tblServicios[Vehículo],$BA844))</f>
        <v/>
      </c>
      <c r="R844" s="34" t="str" cm="1">
        <f t="array" ref="R844">IF($BA844="","",INDEX(tblServicios[Base imponible (€)],$BA844)-INDEX(tblServicios[Imp. suplemento (€)],$BA844))</f>
        <v/>
      </c>
      <c r="S844" s="34" t="str" cm="1">
        <f t="array" ref="S844">IF($BA844="","",INDEX(tblServicios[Imp. suplemento (€)],$BA844))</f>
        <v/>
      </c>
      <c r="T844" t="str" cm="1">
        <f t="array" ref="T844">IF($BA844="","",INDEX(tblServicios[Tipo suplemento],$BA844))</f>
        <v/>
      </c>
      <c r="U844" s="2" t="str">
        <f t="shared" si="15"/>
        <v/>
      </c>
      <c r="V844" t="str" cm="1">
        <f t="array" ref="V844">IF($BA844="","",IF(INDEX(tblServicios[Conductor],$BA844)=$T$2,"Conductor",IF(INDEX(tblServicios[Personal adicional],$BA844)=$T$2,"Personal adicional","")))</f>
        <v/>
      </c>
      <c r="BA844" s="33" t="str" cm="1">
        <f t="array" ref="BA8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adicional]=$T$2))&gt;0)),ROW(A846)),"")</f>
        <v/>
      </c>
    </row>
    <row r="845" spans="15:53" x14ac:dyDescent="0.35">
      <c r="O845" s="1" t="str" cm="1">
        <f t="array" ref="O845">IF($BA845="","",INDEX(tblServicios[Fecha],$BA845))</f>
        <v/>
      </c>
      <c r="P845" t="str" cm="1">
        <f t="array" ref="P845">IF($BA845="","",INDEX(tblServicios[Contrato],$BA845))</f>
        <v/>
      </c>
      <c r="Q845" t="str" cm="1">
        <f t="array" ref="Q845">IF($BA845="","",INDEX(tblServicios[Vehículo],$BA845))</f>
        <v/>
      </c>
      <c r="R845" s="34" t="str" cm="1">
        <f t="array" ref="R845">IF($BA845="","",INDEX(tblServicios[Base imponible (€)],$BA845)-INDEX(tblServicios[Imp. suplemento (€)],$BA845))</f>
        <v/>
      </c>
      <c r="S845" s="34" t="str" cm="1">
        <f t="array" ref="S845">IF($BA845="","",INDEX(tblServicios[Imp. suplemento (€)],$BA845))</f>
        <v/>
      </c>
      <c r="T845" t="str" cm="1">
        <f t="array" ref="T845">IF($BA845="","",INDEX(tblServicios[Tipo suplemento],$BA845))</f>
        <v/>
      </c>
      <c r="U845" s="2" t="str">
        <f t="shared" si="15"/>
        <v/>
      </c>
      <c r="V845" t="str" cm="1">
        <f t="array" ref="V845">IF($BA845="","",IF(INDEX(tblServicios[Conductor],$BA845)=$T$2,"Conductor",IF(INDEX(tblServicios[Personal adicional],$BA845)=$T$2,"Personal adicional","")))</f>
        <v/>
      </c>
      <c r="BA845" s="33" t="str" cm="1">
        <f t="array" ref="BA8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adicional]=$T$2))&gt;0)),ROW(A847)),"")</f>
        <v/>
      </c>
    </row>
    <row r="846" spans="15:53" x14ac:dyDescent="0.35">
      <c r="O846" s="1" t="str" cm="1">
        <f t="array" ref="O846">IF($BA846="","",INDEX(tblServicios[Fecha],$BA846))</f>
        <v/>
      </c>
      <c r="P846" t="str" cm="1">
        <f t="array" ref="P846">IF($BA846="","",INDEX(tblServicios[Contrato],$BA846))</f>
        <v/>
      </c>
      <c r="Q846" t="str" cm="1">
        <f t="array" ref="Q846">IF($BA846="","",INDEX(tblServicios[Vehículo],$BA846))</f>
        <v/>
      </c>
      <c r="R846" s="34" t="str" cm="1">
        <f t="array" ref="R846">IF($BA846="","",INDEX(tblServicios[Base imponible (€)],$BA846)-INDEX(tblServicios[Imp. suplemento (€)],$BA846))</f>
        <v/>
      </c>
      <c r="S846" s="34" t="str" cm="1">
        <f t="array" ref="S846">IF($BA846="","",INDEX(tblServicios[Imp. suplemento (€)],$BA846))</f>
        <v/>
      </c>
      <c r="T846" t="str" cm="1">
        <f t="array" ref="T846">IF($BA846="","",INDEX(tblServicios[Tipo suplemento],$BA846))</f>
        <v/>
      </c>
      <c r="U846" s="2" t="str">
        <f t="shared" si="15"/>
        <v/>
      </c>
      <c r="V846" t="str" cm="1">
        <f t="array" ref="V846">IF($BA846="","",IF(INDEX(tblServicios[Conductor],$BA846)=$T$2,"Conductor",IF(INDEX(tblServicios[Personal adicional],$BA846)=$T$2,"Personal adicional","")))</f>
        <v/>
      </c>
      <c r="BA846" s="33" t="str" cm="1">
        <f t="array" ref="BA8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adicional]=$T$2))&gt;0)),ROW(A848)),"")</f>
        <v/>
      </c>
    </row>
    <row r="847" spans="15:53" x14ac:dyDescent="0.35">
      <c r="O847" s="1" t="str" cm="1">
        <f t="array" ref="O847">IF($BA847="","",INDEX(tblServicios[Fecha],$BA847))</f>
        <v/>
      </c>
      <c r="P847" t="str" cm="1">
        <f t="array" ref="P847">IF($BA847="","",INDEX(tblServicios[Contrato],$BA847))</f>
        <v/>
      </c>
      <c r="Q847" t="str" cm="1">
        <f t="array" ref="Q847">IF($BA847="","",INDEX(tblServicios[Vehículo],$BA847))</f>
        <v/>
      </c>
      <c r="R847" s="34" t="str" cm="1">
        <f t="array" ref="R847">IF($BA847="","",INDEX(tblServicios[Base imponible (€)],$BA847)-INDEX(tblServicios[Imp. suplemento (€)],$BA847))</f>
        <v/>
      </c>
      <c r="S847" s="34" t="str" cm="1">
        <f t="array" ref="S847">IF($BA847="","",INDEX(tblServicios[Imp. suplemento (€)],$BA847))</f>
        <v/>
      </c>
      <c r="T847" t="str" cm="1">
        <f t="array" ref="T847">IF($BA847="","",INDEX(tblServicios[Tipo suplemento],$BA847))</f>
        <v/>
      </c>
      <c r="U847" s="2" t="str">
        <f t="shared" si="15"/>
        <v/>
      </c>
      <c r="V847" t="str" cm="1">
        <f t="array" ref="V847">IF($BA847="","",IF(INDEX(tblServicios[Conductor],$BA847)=$T$2,"Conductor",IF(INDEX(tblServicios[Personal adicional],$BA847)=$T$2,"Personal adicional","")))</f>
        <v/>
      </c>
      <c r="BA847" s="33" t="str" cm="1">
        <f t="array" ref="BA8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adicional]=$T$2))&gt;0)),ROW(A849)),"")</f>
        <v/>
      </c>
    </row>
    <row r="848" spans="15:53" x14ac:dyDescent="0.35">
      <c r="O848" s="1" t="str" cm="1">
        <f t="array" ref="O848">IF($BA848="","",INDEX(tblServicios[Fecha],$BA848))</f>
        <v/>
      </c>
      <c r="P848" t="str" cm="1">
        <f t="array" ref="P848">IF($BA848="","",INDEX(tblServicios[Contrato],$BA848))</f>
        <v/>
      </c>
      <c r="Q848" t="str" cm="1">
        <f t="array" ref="Q848">IF($BA848="","",INDEX(tblServicios[Vehículo],$BA848))</f>
        <v/>
      </c>
      <c r="R848" s="34" t="str" cm="1">
        <f t="array" ref="R848">IF($BA848="","",INDEX(tblServicios[Base imponible (€)],$BA848)-INDEX(tblServicios[Imp. suplemento (€)],$BA848))</f>
        <v/>
      </c>
      <c r="S848" s="34" t="str" cm="1">
        <f t="array" ref="S848">IF($BA848="","",INDEX(tblServicios[Imp. suplemento (€)],$BA848))</f>
        <v/>
      </c>
      <c r="T848" t="str" cm="1">
        <f t="array" ref="T848">IF($BA848="","",INDEX(tblServicios[Tipo suplemento],$BA848))</f>
        <v/>
      </c>
      <c r="U848" s="2" t="str">
        <f t="shared" si="15"/>
        <v/>
      </c>
      <c r="V848" t="str" cm="1">
        <f t="array" ref="V848">IF($BA848="","",IF(INDEX(tblServicios[Conductor],$BA848)=$T$2,"Conductor",IF(INDEX(tblServicios[Personal adicional],$BA848)=$T$2,"Personal adicional","")))</f>
        <v/>
      </c>
      <c r="BA848" s="33" t="str" cm="1">
        <f t="array" ref="BA8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adicional]=$T$2))&gt;0)),ROW(A850)),"")</f>
        <v/>
      </c>
    </row>
    <row r="849" spans="15:53" x14ac:dyDescent="0.35">
      <c r="O849" s="1" t="str" cm="1">
        <f t="array" ref="O849">IF($BA849="","",INDEX(tblServicios[Fecha],$BA849))</f>
        <v/>
      </c>
      <c r="P849" t="str" cm="1">
        <f t="array" ref="P849">IF($BA849="","",INDEX(tblServicios[Contrato],$BA849))</f>
        <v/>
      </c>
      <c r="Q849" t="str" cm="1">
        <f t="array" ref="Q849">IF($BA849="","",INDEX(tblServicios[Vehículo],$BA849))</f>
        <v/>
      </c>
      <c r="R849" s="34" t="str" cm="1">
        <f t="array" ref="R849">IF($BA849="","",INDEX(tblServicios[Base imponible (€)],$BA849)-INDEX(tblServicios[Imp. suplemento (€)],$BA849))</f>
        <v/>
      </c>
      <c r="S849" s="34" t="str" cm="1">
        <f t="array" ref="S849">IF($BA849="","",INDEX(tblServicios[Imp. suplemento (€)],$BA849))</f>
        <v/>
      </c>
      <c r="T849" t="str" cm="1">
        <f t="array" ref="T849">IF($BA849="","",INDEX(tblServicios[Tipo suplemento],$BA849))</f>
        <v/>
      </c>
      <c r="U849" s="2" t="str">
        <f t="shared" si="15"/>
        <v/>
      </c>
      <c r="V849" t="str" cm="1">
        <f t="array" ref="V849">IF($BA849="","",IF(INDEX(tblServicios[Conductor],$BA849)=$T$2,"Conductor",IF(INDEX(tblServicios[Personal adicional],$BA849)=$T$2,"Personal adicional","")))</f>
        <v/>
      </c>
      <c r="BA849" s="33" t="str" cm="1">
        <f t="array" ref="BA8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adicional]=$T$2))&gt;0)),ROW(A851)),"")</f>
        <v/>
      </c>
    </row>
    <row r="850" spans="15:53" x14ac:dyDescent="0.35">
      <c r="O850" s="1" t="str" cm="1">
        <f t="array" ref="O850">IF($BA850="","",INDEX(tblServicios[Fecha],$BA850))</f>
        <v/>
      </c>
      <c r="P850" t="str" cm="1">
        <f t="array" ref="P850">IF($BA850="","",INDEX(tblServicios[Contrato],$BA850))</f>
        <v/>
      </c>
      <c r="Q850" t="str" cm="1">
        <f t="array" ref="Q850">IF($BA850="","",INDEX(tblServicios[Vehículo],$BA850))</f>
        <v/>
      </c>
      <c r="R850" s="34" t="str" cm="1">
        <f t="array" ref="R850">IF($BA850="","",INDEX(tblServicios[Base imponible (€)],$BA850)-INDEX(tblServicios[Imp. suplemento (€)],$BA850))</f>
        <v/>
      </c>
      <c r="S850" s="34" t="str" cm="1">
        <f t="array" ref="S850">IF($BA850="","",INDEX(tblServicios[Imp. suplemento (€)],$BA850))</f>
        <v/>
      </c>
      <c r="T850" t="str" cm="1">
        <f t="array" ref="T850">IF($BA850="","",INDEX(tblServicios[Tipo suplemento],$BA850))</f>
        <v/>
      </c>
      <c r="U850" s="2" t="str">
        <f t="shared" si="15"/>
        <v/>
      </c>
      <c r="V850" t="str" cm="1">
        <f t="array" ref="V850">IF($BA850="","",IF(INDEX(tblServicios[Conductor],$BA850)=$T$2,"Conductor",IF(INDEX(tblServicios[Personal adicional],$BA850)=$T$2,"Personal adicional","")))</f>
        <v/>
      </c>
      <c r="BA850" s="33" t="str" cm="1">
        <f t="array" ref="BA8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adicional]=$T$2))&gt;0)),ROW(A852)),"")</f>
        <v/>
      </c>
    </row>
    <row r="851" spans="15:53" x14ac:dyDescent="0.35">
      <c r="O851" s="1" t="str" cm="1">
        <f t="array" ref="O851">IF($BA851="","",INDEX(tblServicios[Fecha],$BA851))</f>
        <v/>
      </c>
      <c r="P851" t="str" cm="1">
        <f t="array" ref="P851">IF($BA851="","",INDEX(tblServicios[Contrato],$BA851))</f>
        <v/>
      </c>
      <c r="Q851" t="str" cm="1">
        <f t="array" ref="Q851">IF($BA851="","",INDEX(tblServicios[Vehículo],$BA851))</f>
        <v/>
      </c>
      <c r="R851" s="34" t="str" cm="1">
        <f t="array" ref="R851">IF($BA851="","",INDEX(tblServicios[Base imponible (€)],$BA851)-INDEX(tblServicios[Imp. suplemento (€)],$BA851))</f>
        <v/>
      </c>
      <c r="S851" s="34" t="str" cm="1">
        <f t="array" ref="S851">IF($BA851="","",INDEX(tblServicios[Imp. suplemento (€)],$BA851))</f>
        <v/>
      </c>
      <c r="T851" t="str" cm="1">
        <f t="array" ref="T851">IF($BA851="","",INDEX(tblServicios[Tipo suplemento],$BA851))</f>
        <v/>
      </c>
      <c r="U851" s="2" t="str">
        <f t="shared" si="15"/>
        <v/>
      </c>
      <c r="V851" t="str" cm="1">
        <f t="array" ref="V851">IF($BA851="","",IF(INDEX(tblServicios[Conductor],$BA851)=$T$2,"Conductor",IF(INDEX(tblServicios[Personal adicional],$BA851)=$T$2,"Personal adicional","")))</f>
        <v/>
      </c>
      <c r="BA851" s="33" t="str" cm="1">
        <f t="array" ref="BA8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adicional]=$T$2))&gt;0)),ROW(A853)),"")</f>
        <v/>
      </c>
    </row>
    <row r="852" spans="15:53" x14ac:dyDescent="0.35">
      <c r="O852" s="1" t="str" cm="1">
        <f t="array" ref="O852">IF($BA852="","",INDEX(tblServicios[Fecha],$BA852))</f>
        <v/>
      </c>
      <c r="P852" t="str" cm="1">
        <f t="array" ref="P852">IF($BA852="","",INDEX(tblServicios[Contrato],$BA852))</f>
        <v/>
      </c>
      <c r="Q852" t="str" cm="1">
        <f t="array" ref="Q852">IF($BA852="","",INDEX(tblServicios[Vehículo],$BA852))</f>
        <v/>
      </c>
      <c r="R852" s="34" t="str" cm="1">
        <f t="array" ref="R852">IF($BA852="","",INDEX(tblServicios[Base imponible (€)],$BA852)-INDEX(tblServicios[Imp. suplemento (€)],$BA852))</f>
        <v/>
      </c>
      <c r="S852" s="34" t="str" cm="1">
        <f t="array" ref="S852">IF($BA852="","",INDEX(tblServicios[Imp. suplemento (€)],$BA852))</f>
        <v/>
      </c>
      <c r="T852" t="str" cm="1">
        <f t="array" ref="T852">IF($BA852="","",INDEX(tblServicios[Tipo suplemento],$BA852))</f>
        <v/>
      </c>
      <c r="U852" s="2" t="str">
        <f t="shared" si="15"/>
        <v/>
      </c>
      <c r="V852" t="str" cm="1">
        <f t="array" ref="V852">IF($BA852="","",IF(INDEX(tblServicios[Conductor],$BA852)=$T$2,"Conductor",IF(INDEX(tblServicios[Personal adicional],$BA852)=$T$2,"Personal adicional","")))</f>
        <v/>
      </c>
      <c r="BA852" s="33" t="str" cm="1">
        <f t="array" ref="BA8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adicional]=$T$2))&gt;0)),ROW(A854)),"")</f>
        <v/>
      </c>
    </row>
    <row r="853" spans="15:53" x14ac:dyDescent="0.35">
      <c r="O853" s="1" t="str" cm="1">
        <f t="array" ref="O853">IF($BA853="","",INDEX(tblServicios[Fecha],$BA853))</f>
        <v/>
      </c>
      <c r="P853" t="str" cm="1">
        <f t="array" ref="P853">IF($BA853="","",INDEX(tblServicios[Contrato],$BA853))</f>
        <v/>
      </c>
      <c r="Q853" t="str" cm="1">
        <f t="array" ref="Q853">IF($BA853="","",INDEX(tblServicios[Vehículo],$BA853))</f>
        <v/>
      </c>
      <c r="R853" s="34" t="str" cm="1">
        <f t="array" ref="R853">IF($BA853="","",INDEX(tblServicios[Base imponible (€)],$BA853)-INDEX(tblServicios[Imp. suplemento (€)],$BA853))</f>
        <v/>
      </c>
      <c r="S853" s="34" t="str" cm="1">
        <f t="array" ref="S853">IF($BA853="","",INDEX(tblServicios[Imp. suplemento (€)],$BA853))</f>
        <v/>
      </c>
      <c r="T853" t="str" cm="1">
        <f t="array" ref="T853">IF($BA853="","",INDEX(tblServicios[Tipo suplemento],$BA853))</f>
        <v/>
      </c>
      <c r="U853" s="2" t="str">
        <f t="shared" si="15"/>
        <v/>
      </c>
      <c r="V853" t="str" cm="1">
        <f t="array" ref="V853">IF($BA853="","",IF(INDEX(tblServicios[Conductor],$BA853)=$T$2,"Conductor",IF(INDEX(tblServicios[Personal adicional],$BA853)=$T$2,"Personal adicional","")))</f>
        <v/>
      </c>
      <c r="BA853" s="33" t="str" cm="1">
        <f t="array" ref="BA8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adicional]=$T$2))&gt;0)),ROW(A855)),"")</f>
        <v/>
      </c>
    </row>
    <row r="854" spans="15:53" x14ac:dyDescent="0.35">
      <c r="O854" s="1" t="str" cm="1">
        <f t="array" ref="O854">IF($BA854="","",INDEX(tblServicios[Fecha],$BA854))</f>
        <v/>
      </c>
      <c r="P854" t="str" cm="1">
        <f t="array" ref="P854">IF($BA854="","",INDEX(tblServicios[Contrato],$BA854))</f>
        <v/>
      </c>
      <c r="Q854" t="str" cm="1">
        <f t="array" ref="Q854">IF($BA854="","",INDEX(tblServicios[Vehículo],$BA854))</f>
        <v/>
      </c>
      <c r="R854" s="34" t="str" cm="1">
        <f t="array" ref="R854">IF($BA854="","",INDEX(tblServicios[Base imponible (€)],$BA854)-INDEX(tblServicios[Imp. suplemento (€)],$BA854))</f>
        <v/>
      </c>
      <c r="S854" s="34" t="str" cm="1">
        <f t="array" ref="S854">IF($BA854="","",INDEX(tblServicios[Imp. suplemento (€)],$BA854))</f>
        <v/>
      </c>
      <c r="T854" t="str" cm="1">
        <f t="array" ref="T854">IF($BA854="","",INDEX(tblServicios[Tipo suplemento],$BA854))</f>
        <v/>
      </c>
      <c r="U854" s="2" t="str">
        <f t="shared" si="15"/>
        <v/>
      </c>
      <c r="V854" t="str" cm="1">
        <f t="array" ref="V854">IF($BA854="","",IF(INDEX(tblServicios[Conductor],$BA854)=$T$2,"Conductor",IF(INDEX(tblServicios[Personal adicional],$BA854)=$T$2,"Personal adicional","")))</f>
        <v/>
      </c>
      <c r="BA854" s="33" t="str" cm="1">
        <f t="array" ref="BA8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adicional]=$T$2))&gt;0)),ROW(A856)),"")</f>
        <v/>
      </c>
    </row>
    <row r="855" spans="15:53" x14ac:dyDescent="0.35">
      <c r="O855" s="1" t="str" cm="1">
        <f t="array" ref="O855">IF($BA855="","",INDEX(tblServicios[Fecha],$BA855))</f>
        <v/>
      </c>
      <c r="P855" t="str" cm="1">
        <f t="array" ref="P855">IF($BA855="","",INDEX(tblServicios[Contrato],$BA855))</f>
        <v/>
      </c>
      <c r="Q855" t="str" cm="1">
        <f t="array" ref="Q855">IF($BA855="","",INDEX(tblServicios[Vehículo],$BA855))</f>
        <v/>
      </c>
      <c r="R855" s="34" t="str" cm="1">
        <f t="array" ref="R855">IF($BA855="","",INDEX(tblServicios[Base imponible (€)],$BA855)-INDEX(tblServicios[Imp. suplemento (€)],$BA855))</f>
        <v/>
      </c>
      <c r="S855" s="34" t="str" cm="1">
        <f t="array" ref="S855">IF($BA855="","",INDEX(tblServicios[Imp. suplemento (€)],$BA855))</f>
        <v/>
      </c>
      <c r="T855" t="str" cm="1">
        <f t="array" ref="T855">IF($BA855="","",INDEX(tblServicios[Tipo suplemento],$BA855))</f>
        <v/>
      </c>
      <c r="U855" s="2" t="str">
        <f t="shared" si="15"/>
        <v/>
      </c>
      <c r="V855" t="str" cm="1">
        <f t="array" ref="V855">IF($BA855="","",IF(INDEX(tblServicios[Conductor],$BA855)=$T$2,"Conductor",IF(INDEX(tblServicios[Personal adicional],$BA855)=$T$2,"Personal adicional","")))</f>
        <v/>
      </c>
      <c r="BA855" s="33" t="str" cm="1">
        <f t="array" ref="BA8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adicional]=$T$2))&gt;0)),ROW(A857)),"")</f>
        <v/>
      </c>
    </row>
    <row r="856" spans="15:53" x14ac:dyDescent="0.35">
      <c r="O856" s="1" t="str" cm="1">
        <f t="array" ref="O856">IF($BA856="","",INDEX(tblServicios[Fecha],$BA856))</f>
        <v/>
      </c>
      <c r="P856" t="str" cm="1">
        <f t="array" ref="P856">IF($BA856="","",INDEX(tblServicios[Contrato],$BA856))</f>
        <v/>
      </c>
      <c r="Q856" t="str" cm="1">
        <f t="array" ref="Q856">IF($BA856="","",INDEX(tblServicios[Vehículo],$BA856))</f>
        <v/>
      </c>
      <c r="R856" s="34" t="str" cm="1">
        <f t="array" ref="R856">IF($BA856="","",INDEX(tblServicios[Base imponible (€)],$BA856)-INDEX(tblServicios[Imp. suplemento (€)],$BA856))</f>
        <v/>
      </c>
      <c r="S856" s="34" t="str" cm="1">
        <f t="array" ref="S856">IF($BA856="","",INDEX(tblServicios[Imp. suplemento (€)],$BA856))</f>
        <v/>
      </c>
      <c r="T856" t="str" cm="1">
        <f t="array" ref="T856">IF($BA856="","",INDEX(tblServicios[Tipo suplemento],$BA856))</f>
        <v/>
      </c>
      <c r="U856" s="2" t="str">
        <f t="shared" si="15"/>
        <v/>
      </c>
      <c r="V856" t="str" cm="1">
        <f t="array" ref="V856">IF($BA856="","",IF(INDEX(tblServicios[Conductor],$BA856)=$T$2,"Conductor",IF(INDEX(tblServicios[Personal adicional],$BA856)=$T$2,"Personal adicional","")))</f>
        <v/>
      </c>
      <c r="BA856" s="33" t="str" cm="1">
        <f t="array" ref="BA8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adicional]=$T$2))&gt;0)),ROW(A858)),"")</f>
        <v/>
      </c>
    </row>
    <row r="857" spans="15:53" x14ac:dyDescent="0.35">
      <c r="O857" s="1" t="str" cm="1">
        <f t="array" ref="O857">IF($BA857="","",INDEX(tblServicios[Fecha],$BA857))</f>
        <v/>
      </c>
      <c r="P857" t="str" cm="1">
        <f t="array" ref="P857">IF($BA857="","",INDEX(tblServicios[Contrato],$BA857))</f>
        <v/>
      </c>
      <c r="Q857" t="str" cm="1">
        <f t="array" ref="Q857">IF($BA857="","",INDEX(tblServicios[Vehículo],$BA857))</f>
        <v/>
      </c>
      <c r="R857" s="34" t="str" cm="1">
        <f t="array" ref="R857">IF($BA857="","",INDEX(tblServicios[Base imponible (€)],$BA857)-INDEX(tblServicios[Imp. suplemento (€)],$BA857))</f>
        <v/>
      </c>
      <c r="S857" s="34" t="str" cm="1">
        <f t="array" ref="S857">IF($BA857="","",INDEX(tblServicios[Imp. suplemento (€)],$BA857))</f>
        <v/>
      </c>
      <c r="T857" t="str" cm="1">
        <f t="array" ref="T857">IF($BA857="","",INDEX(tblServicios[Tipo suplemento],$BA857))</f>
        <v/>
      </c>
      <c r="U857" s="2" t="str">
        <f t="shared" si="15"/>
        <v/>
      </c>
      <c r="V857" t="str" cm="1">
        <f t="array" ref="V857">IF($BA857="","",IF(INDEX(tblServicios[Conductor],$BA857)=$T$2,"Conductor",IF(INDEX(tblServicios[Personal adicional],$BA857)=$T$2,"Personal adicional","")))</f>
        <v/>
      </c>
      <c r="BA857" s="33" t="str" cm="1">
        <f t="array" ref="BA8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adicional]=$T$2))&gt;0)),ROW(A859)),"")</f>
        <v/>
      </c>
    </row>
    <row r="858" spans="15:53" x14ac:dyDescent="0.35">
      <c r="O858" s="1" t="str" cm="1">
        <f t="array" ref="O858">IF($BA858="","",INDEX(tblServicios[Fecha],$BA858))</f>
        <v/>
      </c>
      <c r="P858" t="str" cm="1">
        <f t="array" ref="P858">IF($BA858="","",INDEX(tblServicios[Contrato],$BA858))</f>
        <v/>
      </c>
      <c r="Q858" t="str" cm="1">
        <f t="array" ref="Q858">IF($BA858="","",INDEX(tblServicios[Vehículo],$BA858))</f>
        <v/>
      </c>
      <c r="R858" s="34" t="str" cm="1">
        <f t="array" ref="R858">IF($BA858="","",INDEX(tblServicios[Base imponible (€)],$BA858)-INDEX(tblServicios[Imp. suplemento (€)],$BA858))</f>
        <v/>
      </c>
      <c r="S858" s="34" t="str" cm="1">
        <f t="array" ref="S858">IF($BA858="","",INDEX(tblServicios[Imp. suplemento (€)],$BA858))</f>
        <v/>
      </c>
      <c r="T858" t="str" cm="1">
        <f t="array" ref="T858">IF($BA858="","",INDEX(tblServicios[Tipo suplemento],$BA858))</f>
        <v/>
      </c>
      <c r="U858" s="2" t="str">
        <f t="shared" si="15"/>
        <v/>
      </c>
      <c r="V858" t="str" cm="1">
        <f t="array" ref="V858">IF($BA858="","",IF(INDEX(tblServicios[Conductor],$BA858)=$T$2,"Conductor",IF(INDEX(tblServicios[Personal adicional],$BA858)=$T$2,"Personal adicional","")))</f>
        <v/>
      </c>
      <c r="BA858" s="33" t="str" cm="1">
        <f t="array" ref="BA8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adicional]=$T$2))&gt;0)),ROW(A860)),"")</f>
        <v/>
      </c>
    </row>
    <row r="859" spans="15:53" x14ac:dyDescent="0.35">
      <c r="O859" s="1" t="str" cm="1">
        <f t="array" ref="O859">IF($BA859="","",INDEX(tblServicios[Fecha],$BA859))</f>
        <v/>
      </c>
      <c r="P859" t="str" cm="1">
        <f t="array" ref="P859">IF($BA859="","",INDEX(tblServicios[Contrato],$BA859))</f>
        <v/>
      </c>
      <c r="Q859" t="str" cm="1">
        <f t="array" ref="Q859">IF($BA859="","",INDEX(tblServicios[Vehículo],$BA859))</f>
        <v/>
      </c>
      <c r="R859" s="34" t="str" cm="1">
        <f t="array" ref="R859">IF($BA859="","",INDEX(tblServicios[Base imponible (€)],$BA859)-INDEX(tblServicios[Imp. suplemento (€)],$BA859))</f>
        <v/>
      </c>
      <c r="S859" s="34" t="str" cm="1">
        <f t="array" ref="S859">IF($BA859="","",INDEX(tblServicios[Imp. suplemento (€)],$BA859))</f>
        <v/>
      </c>
      <c r="T859" t="str" cm="1">
        <f t="array" ref="T859">IF($BA859="","",INDEX(tblServicios[Tipo suplemento],$BA859))</f>
        <v/>
      </c>
      <c r="U859" s="2" t="str">
        <f t="shared" si="15"/>
        <v/>
      </c>
      <c r="V859" t="str" cm="1">
        <f t="array" ref="V859">IF($BA859="","",IF(INDEX(tblServicios[Conductor],$BA859)=$T$2,"Conductor",IF(INDEX(tblServicios[Personal adicional],$BA859)=$T$2,"Personal adicional","")))</f>
        <v/>
      </c>
      <c r="BA859" s="33" t="str" cm="1">
        <f t="array" ref="BA8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adicional]=$T$2))&gt;0)),ROW(A861)),"")</f>
        <v/>
      </c>
    </row>
    <row r="860" spans="15:53" x14ac:dyDescent="0.35">
      <c r="O860" s="1" t="str" cm="1">
        <f t="array" ref="O860">IF($BA860="","",INDEX(tblServicios[Fecha],$BA860))</f>
        <v/>
      </c>
      <c r="P860" t="str" cm="1">
        <f t="array" ref="P860">IF($BA860="","",INDEX(tblServicios[Contrato],$BA860))</f>
        <v/>
      </c>
      <c r="Q860" t="str" cm="1">
        <f t="array" ref="Q860">IF($BA860="","",INDEX(tblServicios[Vehículo],$BA860))</f>
        <v/>
      </c>
      <c r="R860" s="34" t="str" cm="1">
        <f t="array" ref="R860">IF($BA860="","",INDEX(tblServicios[Base imponible (€)],$BA860)-INDEX(tblServicios[Imp. suplemento (€)],$BA860))</f>
        <v/>
      </c>
      <c r="S860" s="34" t="str" cm="1">
        <f t="array" ref="S860">IF($BA860="","",INDEX(tblServicios[Imp. suplemento (€)],$BA860))</f>
        <v/>
      </c>
      <c r="T860" t="str" cm="1">
        <f t="array" ref="T860">IF($BA860="","",INDEX(tblServicios[Tipo suplemento],$BA860))</f>
        <v/>
      </c>
      <c r="U860" s="2" t="str">
        <f t="shared" si="15"/>
        <v/>
      </c>
      <c r="V860" t="str" cm="1">
        <f t="array" ref="V860">IF($BA860="","",IF(INDEX(tblServicios[Conductor],$BA860)=$T$2,"Conductor",IF(INDEX(tblServicios[Personal adicional],$BA860)=$T$2,"Personal adicional","")))</f>
        <v/>
      </c>
      <c r="BA860" s="33" t="str" cm="1">
        <f t="array" ref="BA8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adicional]=$T$2))&gt;0)),ROW(A862)),"")</f>
        <v/>
      </c>
    </row>
    <row r="861" spans="15:53" x14ac:dyDescent="0.35">
      <c r="O861" s="1" t="str" cm="1">
        <f t="array" ref="O861">IF($BA861="","",INDEX(tblServicios[Fecha],$BA861))</f>
        <v/>
      </c>
      <c r="P861" t="str" cm="1">
        <f t="array" ref="P861">IF($BA861="","",INDEX(tblServicios[Contrato],$BA861))</f>
        <v/>
      </c>
      <c r="Q861" t="str" cm="1">
        <f t="array" ref="Q861">IF($BA861="","",INDEX(tblServicios[Vehículo],$BA861))</f>
        <v/>
      </c>
      <c r="R861" s="34" t="str" cm="1">
        <f t="array" ref="R861">IF($BA861="","",INDEX(tblServicios[Base imponible (€)],$BA861)-INDEX(tblServicios[Imp. suplemento (€)],$BA861))</f>
        <v/>
      </c>
      <c r="S861" s="34" t="str" cm="1">
        <f t="array" ref="S861">IF($BA861="","",INDEX(tblServicios[Imp. suplemento (€)],$BA861))</f>
        <v/>
      </c>
      <c r="T861" t="str" cm="1">
        <f t="array" ref="T861">IF($BA861="","",INDEX(tblServicios[Tipo suplemento],$BA861))</f>
        <v/>
      </c>
      <c r="U861" s="2" t="str">
        <f t="shared" si="15"/>
        <v/>
      </c>
      <c r="V861" t="str" cm="1">
        <f t="array" ref="V861">IF($BA861="","",IF(INDEX(tblServicios[Conductor],$BA861)=$T$2,"Conductor",IF(INDEX(tblServicios[Personal adicional],$BA861)=$T$2,"Personal adicional","")))</f>
        <v/>
      </c>
      <c r="BA861" s="33" t="str" cm="1">
        <f t="array" ref="BA8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adicional]=$T$2))&gt;0)),ROW(A863)),"")</f>
        <v/>
      </c>
    </row>
    <row r="862" spans="15:53" x14ac:dyDescent="0.35">
      <c r="O862" s="1" t="str" cm="1">
        <f t="array" ref="O862">IF($BA862="","",INDEX(tblServicios[Fecha],$BA862))</f>
        <v/>
      </c>
      <c r="P862" t="str" cm="1">
        <f t="array" ref="P862">IF($BA862="","",INDEX(tblServicios[Contrato],$BA862))</f>
        <v/>
      </c>
      <c r="Q862" t="str" cm="1">
        <f t="array" ref="Q862">IF($BA862="","",INDEX(tblServicios[Vehículo],$BA862))</f>
        <v/>
      </c>
      <c r="R862" s="34" t="str" cm="1">
        <f t="array" ref="R862">IF($BA862="","",INDEX(tblServicios[Base imponible (€)],$BA862)-INDEX(tblServicios[Imp. suplemento (€)],$BA862))</f>
        <v/>
      </c>
      <c r="S862" s="34" t="str" cm="1">
        <f t="array" ref="S862">IF($BA862="","",INDEX(tblServicios[Imp. suplemento (€)],$BA862))</f>
        <v/>
      </c>
      <c r="T862" t="str" cm="1">
        <f t="array" ref="T862">IF($BA862="","",INDEX(tblServicios[Tipo suplemento],$BA862))</f>
        <v/>
      </c>
      <c r="U862" s="2" t="str">
        <f t="shared" si="15"/>
        <v/>
      </c>
      <c r="V862" t="str" cm="1">
        <f t="array" ref="V862">IF($BA862="","",IF(INDEX(tblServicios[Conductor],$BA862)=$T$2,"Conductor",IF(INDEX(tblServicios[Personal adicional],$BA862)=$T$2,"Personal adicional","")))</f>
        <v/>
      </c>
      <c r="BA862" s="33" t="str" cm="1">
        <f t="array" ref="BA8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adicional]=$T$2))&gt;0)),ROW(A864)),"")</f>
        <v/>
      </c>
    </row>
    <row r="863" spans="15:53" x14ac:dyDescent="0.35">
      <c r="O863" s="1" t="str" cm="1">
        <f t="array" ref="O863">IF($BA863="","",INDEX(tblServicios[Fecha],$BA863))</f>
        <v/>
      </c>
      <c r="P863" t="str" cm="1">
        <f t="array" ref="P863">IF($BA863="","",INDEX(tblServicios[Contrato],$BA863))</f>
        <v/>
      </c>
      <c r="Q863" t="str" cm="1">
        <f t="array" ref="Q863">IF($BA863="","",INDEX(tblServicios[Vehículo],$BA863))</f>
        <v/>
      </c>
      <c r="R863" s="34" t="str" cm="1">
        <f t="array" ref="R863">IF($BA863="","",INDEX(tblServicios[Base imponible (€)],$BA863)-INDEX(tblServicios[Imp. suplemento (€)],$BA863))</f>
        <v/>
      </c>
      <c r="S863" s="34" t="str" cm="1">
        <f t="array" ref="S863">IF($BA863="","",INDEX(tblServicios[Imp. suplemento (€)],$BA863))</f>
        <v/>
      </c>
      <c r="T863" t="str" cm="1">
        <f t="array" ref="T863">IF($BA863="","",INDEX(tblServicios[Tipo suplemento],$BA863))</f>
        <v/>
      </c>
      <c r="U863" s="2" t="str">
        <f t="shared" si="15"/>
        <v/>
      </c>
      <c r="V863" t="str" cm="1">
        <f t="array" ref="V863">IF($BA863="","",IF(INDEX(tblServicios[Conductor],$BA863)=$T$2,"Conductor",IF(INDEX(tblServicios[Personal adicional],$BA863)=$T$2,"Personal adicional","")))</f>
        <v/>
      </c>
      <c r="BA863" s="33" t="str" cm="1">
        <f t="array" ref="BA8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adicional]=$T$2))&gt;0)),ROW(A865)),"")</f>
        <v/>
      </c>
    </row>
    <row r="864" spans="15:53" x14ac:dyDescent="0.35">
      <c r="O864" s="1" t="str" cm="1">
        <f t="array" ref="O864">IF($BA864="","",INDEX(tblServicios[Fecha],$BA864))</f>
        <v/>
      </c>
      <c r="P864" t="str" cm="1">
        <f t="array" ref="P864">IF($BA864="","",INDEX(tblServicios[Contrato],$BA864))</f>
        <v/>
      </c>
      <c r="Q864" t="str" cm="1">
        <f t="array" ref="Q864">IF($BA864="","",INDEX(tblServicios[Vehículo],$BA864))</f>
        <v/>
      </c>
      <c r="R864" s="34" t="str" cm="1">
        <f t="array" ref="R864">IF($BA864="","",INDEX(tblServicios[Base imponible (€)],$BA864)-INDEX(tblServicios[Imp. suplemento (€)],$BA864))</f>
        <v/>
      </c>
      <c r="S864" s="34" t="str" cm="1">
        <f t="array" ref="S864">IF($BA864="","",INDEX(tblServicios[Imp. suplemento (€)],$BA864))</f>
        <v/>
      </c>
      <c r="T864" t="str" cm="1">
        <f t="array" ref="T864">IF($BA864="","",INDEX(tblServicios[Tipo suplemento],$BA864))</f>
        <v/>
      </c>
      <c r="U864" s="2" t="str">
        <f t="shared" si="15"/>
        <v/>
      </c>
      <c r="V864" t="str" cm="1">
        <f t="array" ref="V864">IF($BA864="","",IF(INDEX(tblServicios[Conductor],$BA864)=$T$2,"Conductor",IF(INDEX(tblServicios[Personal adicional],$BA864)=$T$2,"Personal adicional","")))</f>
        <v/>
      </c>
      <c r="BA864" s="33" t="str" cm="1">
        <f t="array" ref="BA8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adicional]=$T$2))&gt;0)),ROW(A866)),"")</f>
        <v/>
      </c>
    </row>
    <row r="865" spans="15:53" x14ac:dyDescent="0.35">
      <c r="O865" s="1" t="str" cm="1">
        <f t="array" ref="O865">IF($BA865="","",INDEX(tblServicios[Fecha],$BA865))</f>
        <v/>
      </c>
      <c r="P865" t="str" cm="1">
        <f t="array" ref="P865">IF($BA865="","",INDEX(tblServicios[Contrato],$BA865))</f>
        <v/>
      </c>
      <c r="Q865" t="str" cm="1">
        <f t="array" ref="Q865">IF($BA865="","",INDEX(tblServicios[Vehículo],$BA865))</f>
        <v/>
      </c>
      <c r="R865" s="34" t="str" cm="1">
        <f t="array" ref="R865">IF($BA865="","",INDEX(tblServicios[Base imponible (€)],$BA865)-INDEX(tblServicios[Imp. suplemento (€)],$BA865))</f>
        <v/>
      </c>
      <c r="S865" s="34" t="str" cm="1">
        <f t="array" ref="S865">IF($BA865="","",INDEX(tblServicios[Imp. suplemento (€)],$BA865))</f>
        <v/>
      </c>
      <c r="T865" t="str" cm="1">
        <f t="array" ref="T865">IF($BA865="","",INDEX(tblServicios[Tipo suplemento],$BA865))</f>
        <v/>
      </c>
      <c r="U865" s="2" t="str">
        <f t="shared" si="15"/>
        <v/>
      </c>
      <c r="V865" t="str" cm="1">
        <f t="array" ref="V865">IF($BA865="","",IF(INDEX(tblServicios[Conductor],$BA865)=$T$2,"Conductor",IF(INDEX(tblServicios[Personal adicional],$BA865)=$T$2,"Personal adicional","")))</f>
        <v/>
      </c>
      <c r="BA865" s="33" t="str" cm="1">
        <f t="array" ref="BA8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adicional]=$T$2))&gt;0)),ROW(A867)),"")</f>
        <v/>
      </c>
    </row>
    <row r="866" spans="15:53" x14ac:dyDescent="0.35">
      <c r="O866" s="1" t="str" cm="1">
        <f t="array" ref="O866">IF($BA866="","",INDEX(tblServicios[Fecha],$BA866))</f>
        <v/>
      </c>
      <c r="P866" t="str" cm="1">
        <f t="array" ref="P866">IF($BA866="","",INDEX(tblServicios[Contrato],$BA866))</f>
        <v/>
      </c>
      <c r="Q866" t="str" cm="1">
        <f t="array" ref="Q866">IF($BA866="","",INDEX(tblServicios[Vehículo],$BA866))</f>
        <v/>
      </c>
      <c r="R866" s="34" t="str" cm="1">
        <f t="array" ref="R866">IF($BA866="","",INDEX(tblServicios[Base imponible (€)],$BA866)-INDEX(tblServicios[Imp. suplemento (€)],$BA866))</f>
        <v/>
      </c>
      <c r="S866" s="34" t="str" cm="1">
        <f t="array" ref="S866">IF($BA866="","",INDEX(tblServicios[Imp. suplemento (€)],$BA866))</f>
        <v/>
      </c>
      <c r="T866" t="str" cm="1">
        <f t="array" ref="T866">IF($BA866="","",INDEX(tblServicios[Tipo suplemento],$BA866))</f>
        <v/>
      </c>
      <c r="U866" s="2" t="str">
        <f t="shared" si="15"/>
        <v/>
      </c>
      <c r="V866" t="str" cm="1">
        <f t="array" ref="V866">IF($BA866="","",IF(INDEX(tblServicios[Conductor],$BA866)=$T$2,"Conductor",IF(INDEX(tblServicios[Personal adicional],$BA866)=$T$2,"Personal adicional","")))</f>
        <v/>
      </c>
      <c r="BA866" s="33" t="str" cm="1">
        <f t="array" ref="BA8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adicional]=$T$2))&gt;0)),ROW(A868)),"")</f>
        <v/>
      </c>
    </row>
    <row r="867" spans="15:53" x14ac:dyDescent="0.35">
      <c r="O867" s="1" t="str" cm="1">
        <f t="array" ref="O867">IF($BA867="","",INDEX(tblServicios[Fecha],$BA867))</f>
        <v/>
      </c>
      <c r="P867" t="str" cm="1">
        <f t="array" ref="P867">IF($BA867="","",INDEX(tblServicios[Contrato],$BA867))</f>
        <v/>
      </c>
      <c r="Q867" t="str" cm="1">
        <f t="array" ref="Q867">IF($BA867="","",INDEX(tblServicios[Vehículo],$BA867))</f>
        <v/>
      </c>
      <c r="R867" s="34" t="str" cm="1">
        <f t="array" ref="R867">IF($BA867="","",INDEX(tblServicios[Base imponible (€)],$BA867)-INDEX(tblServicios[Imp. suplemento (€)],$BA867))</f>
        <v/>
      </c>
      <c r="S867" s="34" t="str" cm="1">
        <f t="array" ref="S867">IF($BA867="","",INDEX(tblServicios[Imp. suplemento (€)],$BA867))</f>
        <v/>
      </c>
      <c r="T867" t="str" cm="1">
        <f t="array" ref="T867">IF($BA867="","",INDEX(tblServicios[Tipo suplemento],$BA867))</f>
        <v/>
      </c>
      <c r="U867" s="2" t="str">
        <f t="shared" si="15"/>
        <v/>
      </c>
      <c r="V867" t="str" cm="1">
        <f t="array" ref="V867">IF($BA867="","",IF(INDEX(tblServicios[Conductor],$BA867)=$T$2,"Conductor",IF(INDEX(tblServicios[Personal adicional],$BA867)=$T$2,"Personal adicional","")))</f>
        <v/>
      </c>
      <c r="BA867" s="33" t="str" cm="1">
        <f t="array" ref="BA8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adicional]=$T$2))&gt;0)),ROW(A869)),"")</f>
        <v/>
      </c>
    </row>
    <row r="868" spans="15:53" x14ac:dyDescent="0.35">
      <c r="O868" s="1" t="str" cm="1">
        <f t="array" ref="O868">IF($BA868="","",INDEX(tblServicios[Fecha],$BA868))</f>
        <v/>
      </c>
      <c r="P868" t="str" cm="1">
        <f t="array" ref="P868">IF($BA868="","",INDEX(tblServicios[Contrato],$BA868))</f>
        <v/>
      </c>
      <c r="Q868" t="str" cm="1">
        <f t="array" ref="Q868">IF($BA868="","",INDEX(tblServicios[Vehículo],$BA868))</f>
        <v/>
      </c>
      <c r="R868" s="34" t="str" cm="1">
        <f t="array" ref="R868">IF($BA868="","",INDEX(tblServicios[Base imponible (€)],$BA868)-INDEX(tblServicios[Imp. suplemento (€)],$BA868))</f>
        <v/>
      </c>
      <c r="S868" s="34" t="str" cm="1">
        <f t="array" ref="S868">IF($BA868="","",INDEX(tblServicios[Imp. suplemento (€)],$BA868))</f>
        <v/>
      </c>
      <c r="T868" t="str" cm="1">
        <f t="array" ref="T868">IF($BA868="","",INDEX(tblServicios[Tipo suplemento],$BA868))</f>
        <v/>
      </c>
      <c r="U868" s="2" t="str">
        <f t="shared" si="15"/>
        <v/>
      </c>
      <c r="V868" t="str" cm="1">
        <f t="array" ref="V868">IF($BA868="","",IF(INDEX(tblServicios[Conductor],$BA868)=$T$2,"Conductor",IF(INDEX(tblServicios[Personal adicional],$BA868)=$T$2,"Personal adicional","")))</f>
        <v/>
      </c>
      <c r="BA868" s="33" t="str" cm="1">
        <f t="array" ref="BA8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adicional]=$T$2))&gt;0)),ROW(A870)),"")</f>
        <v/>
      </c>
    </row>
    <row r="869" spans="15:53" x14ac:dyDescent="0.35">
      <c r="O869" s="1" t="str" cm="1">
        <f t="array" ref="O869">IF($BA869="","",INDEX(tblServicios[Fecha],$BA869))</f>
        <v/>
      </c>
      <c r="P869" t="str" cm="1">
        <f t="array" ref="P869">IF($BA869="","",INDEX(tblServicios[Contrato],$BA869))</f>
        <v/>
      </c>
      <c r="Q869" t="str" cm="1">
        <f t="array" ref="Q869">IF($BA869="","",INDEX(tblServicios[Vehículo],$BA869))</f>
        <v/>
      </c>
      <c r="R869" s="34" t="str" cm="1">
        <f t="array" ref="R869">IF($BA869="","",INDEX(tblServicios[Base imponible (€)],$BA869)-INDEX(tblServicios[Imp. suplemento (€)],$BA869))</f>
        <v/>
      </c>
      <c r="S869" s="34" t="str" cm="1">
        <f t="array" ref="S869">IF($BA869="","",INDEX(tblServicios[Imp. suplemento (€)],$BA869))</f>
        <v/>
      </c>
      <c r="T869" t="str" cm="1">
        <f t="array" ref="T869">IF($BA869="","",INDEX(tblServicios[Tipo suplemento],$BA869))</f>
        <v/>
      </c>
      <c r="U869" s="2" t="str">
        <f t="shared" si="15"/>
        <v/>
      </c>
      <c r="V869" t="str" cm="1">
        <f t="array" ref="V869">IF($BA869="","",IF(INDEX(tblServicios[Conductor],$BA869)=$T$2,"Conductor",IF(INDEX(tblServicios[Personal adicional],$BA869)=$T$2,"Personal adicional","")))</f>
        <v/>
      </c>
      <c r="BA869" s="33" t="str" cm="1">
        <f t="array" ref="BA8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adicional]=$T$2))&gt;0)),ROW(A871)),"")</f>
        <v/>
      </c>
    </row>
    <row r="870" spans="15:53" x14ac:dyDescent="0.35">
      <c r="O870" s="1" t="str" cm="1">
        <f t="array" ref="O870">IF($BA870="","",INDEX(tblServicios[Fecha],$BA870))</f>
        <v/>
      </c>
      <c r="P870" t="str" cm="1">
        <f t="array" ref="P870">IF($BA870="","",INDEX(tblServicios[Contrato],$BA870))</f>
        <v/>
      </c>
      <c r="Q870" t="str" cm="1">
        <f t="array" ref="Q870">IF($BA870="","",INDEX(tblServicios[Vehículo],$BA870))</f>
        <v/>
      </c>
      <c r="R870" s="34" t="str" cm="1">
        <f t="array" ref="R870">IF($BA870="","",INDEX(tblServicios[Base imponible (€)],$BA870)-INDEX(tblServicios[Imp. suplemento (€)],$BA870))</f>
        <v/>
      </c>
      <c r="S870" s="34" t="str" cm="1">
        <f t="array" ref="S870">IF($BA870="","",INDEX(tblServicios[Imp. suplemento (€)],$BA870))</f>
        <v/>
      </c>
      <c r="T870" t="str" cm="1">
        <f t="array" ref="T870">IF($BA870="","",INDEX(tblServicios[Tipo suplemento],$BA870))</f>
        <v/>
      </c>
      <c r="U870" s="2" t="str">
        <f t="shared" si="15"/>
        <v/>
      </c>
      <c r="V870" t="str" cm="1">
        <f t="array" ref="V870">IF($BA870="","",IF(INDEX(tblServicios[Conductor],$BA870)=$T$2,"Conductor",IF(INDEX(tblServicios[Personal adicional],$BA870)=$T$2,"Personal adicional","")))</f>
        <v/>
      </c>
      <c r="BA870" s="33" t="str" cm="1">
        <f t="array" ref="BA8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adicional]=$T$2))&gt;0)),ROW(A872)),"")</f>
        <v/>
      </c>
    </row>
    <row r="871" spans="15:53" x14ac:dyDescent="0.35">
      <c r="O871" s="1" t="str" cm="1">
        <f t="array" ref="O871">IF($BA871="","",INDEX(tblServicios[Fecha],$BA871))</f>
        <v/>
      </c>
      <c r="P871" t="str" cm="1">
        <f t="array" ref="P871">IF($BA871="","",INDEX(tblServicios[Contrato],$BA871))</f>
        <v/>
      </c>
      <c r="Q871" t="str" cm="1">
        <f t="array" ref="Q871">IF($BA871="","",INDEX(tblServicios[Vehículo],$BA871))</f>
        <v/>
      </c>
      <c r="R871" s="34" t="str" cm="1">
        <f t="array" ref="R871">IF($BA871="","",INDEX(tblServicios[Base imponible (€)],$BA871)-INDEX(tblServicios[Imp. suplemento (€)],$BA871))</f>
        <v/>
      </c>
      <c r="S871" s="34" t="str" cm="1">
        <f t="array" ref="S871">IF($BA871="","",INDEX(tblServicios[Imp. suplemento (€)],$BA871))</f>
        <v/>
      </c>
      <c r="T871" t="str" cm="1">
        <f t="array" ref="T871">IF($BA871="","",INDEX(tblServicios[Tipo suplemento],$BA871))</f>
        <v/>
      </c>
      <c r="U871" s="2" t="str">
        <f t="shared" si="15"/>
        <v/>
      </c>
      <c r="V871" t="str" cm="1">
        <f t="array" ref="V871">IF($BA871="","",IF(INDEX(tblServicios[Conductor],$BA871)=$T$2,"Conductor",IF(INDEX(tblServicios[Personal adicional],$BA871)=$T$2,"Personal adicional","")))</f>
        <v/>
      </c>
      <c r="BA871" s="33" t="str" cm="1">
        <f t="array" ref="BA8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adicional]=$T$2))&gt;0)),ROW(A873)),"")</f>
        <v/>
      </c>
    </row>
    <row r="872" spans="15:53" x14ac:dyDescent="0.35">
      <c r="O872" s="1" t="str" cm="1">
        <f t="array" ref="O872">IF($BA872="","",INDEX(tblServicios[Fecha],$BA872))</f>
        <v/>
      </c>
      <c r="P872" t="str" cm="1">
        <f t="array" ref="P872">IF($BA872="","",INDEX(tblServicios[Contrato],$BA872))</f>
        <v/>
      </c>
      <c r="Q872" t="str" cm="1">
        <f t="array" ref="Q872">IF($BA872="","",INDEX(tblServicios[Vehículo],$BA872))</f>
        <v/>
      </c>
      <c r="R872" s="34" t="str" cm="1">
        <f t="array" ref="R872">IF($BA872="","",INDEX(tblServicios[Base imponible (€)],$BA872)-INDEX(tblServicios[Imp. suplemento (€)],$BA872))</f>
        <v/>
      </c>
      <c r="S872" s="34" t="str" cm="1">
        <f t="array" ref="S872">IF($BA872="","",INDEX(tblServicios[Imp. suplemento (€)],$BA872))</f>
        <v/>
      </c>
      <c r="T872" t="str" cm="1">
        <f t="array" ref="T872">IF($BA872="","",INDEX(tblServicios[Tipo suplemento],$BA872))</f>
        <v/>
      </c>
      <c r="U872" s="2" t="str">
        <f t="shared" si="15"/>
        <v/>
      </c>
      <c r="V872" t="str" cm="1">
        <f t="array" ref="V872">IF($BA872="","",IF(INDEX(tblServicios[Conductor],$BA872)=$T$2,"Conductor",IF(INDEX(tblServicios[Personal adicional],$BA872)=$T$2,"Personal adicional","")))</f>
        <v/>
      </c>
      <c r="BA872" s="33" t="str" cm="1">
        <f t="array" ref="BA8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adicional]=$T$2))&gt;0)),ROW(A874)),"")</f>
        <v/>
      </c>
    </row>
    <row r="873" spans="15:53" x14ac:dyDescent="0.35">
      <c r="O873" s="1" t="str" cm="1">
        <f t="array" ref="O873">IF($BA873="","",INDEX(tblServicios[Fecha],$BA873))</f>
        <v/>
      </c>
      <c r="P873" t="str" cm="1">
        <f t="array" ref="P873">IF($BA873="","",INDEX(tblServicios[Contrato],$BA873))</f>
        <v/>
      </c>
      <c r="Q873" t="str" cm="1">
        <f t="array" ref="Q873">IF($BA873="","",INDEX(tblServicios[Vehículo],$BA873))</f>
        <v/>
      </c>
      <c r="R873" s="34" t="str" cm="1">
        <f t="array" ref="R873">IF($BA873="","",INDEX(tblServicios[Base imponible (€)],$BA873)-INDEX(tblServicios[Imp. suplemento (€)],$BA873))</f>
        <v/>
      </c>
      <c r="S873" s="34" t="str" cm="1">
        <f t="array" ref="S873">IF($BA873="","",INDEX(tblServicios[Imp. suplemento (€)],$BA873))</f>
        <v/>
      </c>
      <c r="T873" t="str" cm="1">
        <f t="array" ref="T873">IF($BA873="","",INDEX(tblServicios[Tipo suplemento],$BA873))</f>
        <v/>
      </c>
      <c r="U873" s="2" t="str">
        <f t="shared" si="15"/>
        <v/>
      </c>
      <c r="V873" t="str" cm="1">
        <f t="array" ref="V873">IF($BA873="","",IF(INDEX(tblServicios[Conductor],$BA873)=$T$2,"Conductor",IF(INDEX(tblServicios[Personal adicional],$BA873)=$T$2,"Personal adicional","")))</f>
        <v/>
      </c>
      <c r="BA873" s="33" t="str" cm="1">
        <f t="array" ref="BA8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adicional]=$T$2))&gt;0)),ROW(A875)),"")</f>
        <v/>
      </c>
    </row>
    <row r="874" spans="15:53" x14ac:dyDescent="0.35">
      <c r="O874" s="1" t="str" cm="1">
        <f t="array" ref="O874">IF($BA874="","",INDEX(tblServicios[Fecha],$BA874))</f>
        <v/>
      </c>
      <c r="P874" t="str" cm="1">
        <f t="array" ref="P874">IF($BA874="","",INDEX(tblServicios[Contrato],$BA874))</f>
        <v/>
      </c>
      <c r="Q874" t="str" cm="1">
        <f t="array" ref="Q874">IF($BA874="","",INDEX(tblServicios[Vehículo],$BA874))</f>
        <v/>
      </c>
      <c r="R874" s="34" t="str" cm="1">
        <f t="array" ref="R874">IF($BA874="","",INDEX(tblServicios[Base imponible (€)],$BA874)-INDEX(tblServicios[Imp. suplemento (€)],$BA874))</f>
        <v/>
      </c>
      <c r="S874" s="34" t="str" cm="1">
        <f t="array" ref="S874">IF($BA874="","",INDEX(tblServicios[Imp. suplemento (€)],$BA874))</f>
        <v/>
      </c>
      <c r="T874" t="str" cm="1">
        <f t="array" ref="T874">IF($BA874="","",INDEX(tblServicios[Tipo suplemento],$BA874))</f>
        <v/>
      </c>
      <c r="U874" s="2" t="str">
        <f t="shared" si="15"/>
        <v/>
      </c>
      <c r="V874" t="str" cm="1">
        <f t="array" ref="V874">IF($BA874="","",IF(INDEX(tblServicios[Conductor],$BA874)=$T$2,"Conductor",IF(INDEX(tblServicios[Personal adicional],$BA874)=$T$2,"Personal adicional","")))</f>
        <v/>
      </c>
      <c r="BA874" s="33" t="str" cm="1">
        <f t="array" ref="BA8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adicional]=$T$2))&gt;0)),ROW(A876)),"")</f>
        <v/>
      </c>
    </row>
    <row r="875" spans="15:53" x14ac:dyDescent="0.35">
      <c r="O875" s="1" t="str" cm="1">
        <f t="array" ref="O875">IF($BA875="","",INDEX(tblServicios[Fecha],$BA875))</f>
        <v/>
      </c>
      <c r="P875" t="str" cm="1">
        <f t="array" ref="P875">IF($BA875="","",INDEX(tblServicios[Contrato],$BA875))</f>
        <v/>
      </c>
      <c r="Q875" t="str" cm="1">
        <f t="array" ref="Q875">IF($BA875="","",INDEX(tblServicios[Vehículo],$BA875))</f>
        <v/>
      </c>
      <c r="R875" s="34" t="str" cm="1">
        <f t="array" ref="R875">IF($BA875="","",INDEX(tblServicios[Base imponible (€)],$BA875)-INDEX(tblServicios[Imp. suplemento (€)],$BA875))</f>
        <v/>
      </c>
      <c r="S875" s="34" t="str" cm="1">
        <f t="array" ref="S875">IF($BA875="","",INDEX(tblServicios[Imp. suplemento (€)],$BA875))</f>
        <v/>
      </c>
      <c r="T875" t="str" cm="1">
        <f t="array" ref="T875">IF($BA875="","",INDEX(tblServicios[Tipo suplemento],$BA875))</f>
        <v/>
      </c>
      <c r="U875" s="2" t="str">
        <f t="shared" si="15"/>
        <v/>
      </c>
      <c r="V875" t="str" cm="1">
        <f t="array" ref="V875">IF($BA875="","",IF(INDEX(tblServicios[Conductor],$BA875)=$T$2,"Conductor",IF(INDEX(tblServicios[Personal adicional],$BA875)=$T$2,"Personal adicional","")))</f>
        <v/>
      </c>
      <c r="BA875" s="33" t="str" cm="1">
        <f t="array" ref="BA8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adicional]=$T$2))&gt;0)),ROW(A877)),"")</f>
        <v/>
      </c>
    </row>
    <row r="876" spans="15:53" x14ac:dyDescent="0.35">
      <c r="O876" s="1" t="str" cm="1">
        <f t="array" ref="O876">IF($BA876="","",INDEX(tblServicios[Fecha],$BA876))</f>
        <v/>
      </c>
      <c r="P876" t="str" cm="1">
        <f t="array" ref="P876">IF($BA876="","",INDEX(tblServicios[Contrato],$BA876))</f>
        <v/>
      </c>
      <c r="Q876" t="str" cm="1">
        <f t="array" ref="Q876">IF($BA876="","",INDEX(tblServicios[Vehículo],$BA876))</f>
        <v/>
      </c>
      <c r="R876" s="34" t="str" cm="1">
        <f t="array" ref="R876">IF($BA876="","",INDEX(tblServicios[Base imponible (€)],$BA876)-INDEX(tblServicios[Imp. suplemento (€)],$BA876))</f>
        <v/>
      </c>
      <c r="S876" s="34" t="str" cm="1">
        <f t="array" ref="S876">IF($BA876="","",INDEX(tblServicios[Imp. suplemento (€)],$BA876))</f>
        <v/>
      </c>
      <c r="T876" t="str" cm="1">
        <f t="array" ref="T876">IF($BA876="","",INDEX(tblServicios[Tipo suplemento],$BA876))</f>
        <v/>
      </c>
      <c r="U876" s="2" t="str">
        <f t="shared" si="15"/>
        <v/>
      </c>
      <c r="V876" t="str" cm="1">
        <f t="array" ref="V876">IF($BA876="","",IF(INDEX(tblServicios[Conductor],$BA876)=$T$2,"Conductor",IF(INDEX(tblServicios[Personal adicional],$BA876)=$T$2,"Personal adicional","")))</f>
        <v/>
      </c>
      <c r="BA876" s="33" t="str" cm="1">
        <f t="array" ref="BA8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adicional]=$T$2))&gt;0)),ROW(A878)),"")</f>
        <v/>
      </c>
    </row>
    <row r="877" spans="15:53" x14ac:dyDescent="0.35">
      <c r="O877" s="1" t="str" cm="1">
        <f t="array" ref="O877">IF($BA877="","",INDEX(tblServicios[Fecha],$BA877))</f>
        <v/>
      </c>
      <c r="P877" t="str" cm="1">
        <f t="array" ref="P877">IF($BA877="","",INDEX(tblServicios[Contrato],$BA877))</f>
        <v/>
      </c>
      <c r="Q877" t="str" cm="1">
        <f t="array" ref="Q877">IF($BA877="","",INDEX(tblServicios[Vehículo],$BA877))</f>
        <v/>
      </c>
      <c r="R877" s="34" t="str" cm="1">
        <f t="array" ref="R877">IF($BA877="","",INDEX(tblServicios[Base imponible (€)],$BA877)-INDEX(tblServicios[Imp. suplemento (€)],$BA877))</f>
        <v/>
      </c>
      <c r="S877" s="34" t="str" cm="1">
        <f t="array" ref="S877">IF($BA877="","",INDEX(tblServicios[Imp. suplemento (€)],$BA877))</f>
        <v/>
      </c>
      <c r="T877" t="str" cm="1">
        <f t="array" ref="T877">IF($BA877="","",INDEX(tblServicios[Tipo suplemento],$BA877))</f>
        <v/>
      </c>
      <c r="U877" s="2" t="str">
        <f t="shared" si="15"/>
        <v/>
      </c>
      <c r="V877" t="str" cm="1">
        <f t="array" ref="V877">IF($BA877="","",IF(INDEX(tblServicios[Conductor],$BA877)=$T$2,"Conductor",IF(INDEX(tblServicios[Personal adicional],$BA877)=$T$2,"Personal adicional","")))</f>
        <v/>
      </c>
      <c r="BA877" s="33" t="str" cm="1">
        <f t="array" ref="BA8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adicional]=$T$2))&gt;0)),ROW(A879)),"")</f>
        <v/>
      </c>
    </row>
    <row r="878" spans="15:53" x14ac:dyDescent="0.35">
      <c r="O878" s="1" t="str" cm="1">
        <f t="array" ref="O878">IF($BA878="","",INDEX(tblServicios[Fecha],$BA878))</f>
        <v/>
      </c>
      <c r="P878" t="str" cm="1">
        <f t="array" ref="P878">IF($BA878="","",INDEX(tblServicios[Contrato],$BA878))</f>
        <v/>
      </c>
      <c r="Q878" t="str" cm="1">
        <f t="array" ref="Q878">IF($BA878="","",INDEX(tblServicios[Vehículo],$BA878))</f>
        <v/>
      </c>
      <c r="R878" s="34" t="str" cm="1">
        <f t="array" ref="R878">IF($BA878="","",INDEX(tblServicios[Base imponible (€)],$BA878)-INDEX(tblServicios[Imp. suplemento (€)],$BA878))</f>
        <v/>
      </c>
      <c r="S878" s="34" t="str" cm="1">
        <f t="array" ref="S878">IF($BA878="","",INDEX(tblServicios[Imp. suplemento (€)],$BA878))</f>
        <v/>
      </c>
      <c r="T878" t="str" cm="1">
        <f t="array" ref="T878">IF($BA878="","",INDEX(tblServicios[Tipo suplemento],$BA878))</f>
        <v/>
      </c>
      <c r="U878" s="2" t="str">
        <f t="shared" si="15"/>
        <v/>
      </c>
      <c r="V878" t="str" cm="1">
        <f t="array" ref="V878">IF($BA878="","",IF(INDEX(tblServicios[Conductor],$BA878)=$T$2,"Conductor",IF(INDEX(tblServicios[Personal adicional],$BA878)=$T$2,"Personal adicional","")))</f>
        <v/>
      </c>
      <c r="BA878" s="33" t="str" cm="1">
        <f t="array" ref="BA8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adicional]=$T$2))&gt;0)),ROW(A880)),"")</f>
        <v/>
      </c>
    </row>
    <row r="879" spans="15:53" x14ac:dyDescent="0.35">
      <c r="O879" s="1" t="str" cm="1">
        <f t="array" ref="O879">IF($BA879="","",INDEX(tblServicios[Fecha],$BA879))</f>
        <v/>
      </c>
      <c r="P879" t="str" cm="1">
        <f t="array" ref="P879">IF($BA879="","",INDEX(tblServicios[Contrato],$BA879))</f>
        <v/>
      </c>
      <c r="Q879" t="str" cm="1">
        <f t="array" ref="Q879">IF($BA879="","",INDEX(tblServicios[Vehículo],$BA879))</f>
        <v/>
      </c>
      <c r="R879" s="34" t="str" cm="1">
        <f t="array" ref="R879">IF($BA879="","",INDEX(tblServicios[Base imponible (€)],$BA879)-INDEX(tblServicios[Imp. suplemento (€)],$BA879))</f>
        <v/>
      </c>
      <c r="S879" s="34" t="str" cm="1">
        <f t="array" ref="S879">IF($BA879="","",INDEX(tblServicios[Imp. suplemento (€)],$BA879))</f>
        <v/>
      </c>
      <c r="T879" t="str" cm="1">
        <f t="array" ref="T879">IF($BA879="","",INDEX(tblServicios[Tipo suplemento],$BA879))</f>
        <v/>
      </c>
      <c r="U879" s="2" t="str">
        <f t="shared" si="15"/>
        <v/>
      </c>
      <c r="V879" t="str" cm="1">
        <f t="array" ref="V879">IF($BA879="","",IF(INDEX(tblServicios[Conductor],$BA879)=$T$2,"Conductor",IF(INDEX(tblServicios[Personal adicional],$BA879)=$T$2,"Personal adicional","")))</f>
        <v/>
      </c>
      <c r="BA879" s="33" t="str" cm="1">
        <f t="array" ref="BA8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adicional]=$T$2))&gt;0)),ROW(A881)),"")</f>
        <v/>
      </c>
    </row>
    <row r="880" spans="15:53" x14ac:dyDescent="0.35">
      <c r="O880" s="1" t="str" cm="1">
        <f t="array" ref="O880">IF($BA880="","",INDEX(tblServicios[Fecha],$BA880))</f>
        <v/>
      </c>
      <c r="P880" t="str" cm="1">
        <f t="array" ref="P880">IF($BA880="","",INDEX(tblServicios[Contrato],$BA880))</f>
        <v/>
      </c>
      <c r="Q880" t="str" cm="1">
        <f t="array" ref="Q880">IF($BA880="","",INDEX(tblServicios[Vehículo],$BA880))</f>
        <v/>
      </c>
      <c r="R880" s="34" t="str" cm="1">
        <f t="array" ref="R880">IF($BA880="","",INDEX(tblServicios[Base imponible (€)],$BA880)-INDEX(tblServicios[Imp. suplemento (€)],$BA880))</f>
        <v/>
      </c>
      <c r="S880" s="34" t="str" cm="1">
        <f t="array" ref="S880">IF($BA880="","",INDEX(tblServicios[Imp. suplemento (€)],$BA880))</f>
        <v/>
      </c>
      <c r="T880" t="str" cm="1">
        <f t="array" ref="T880">IF($BA880="","",INDEX(tblServicios[Tipo suplemento],$BA880))</f>
        <v/>
      </c>
      <c r="U880" s="2" t="str">
        <f t="shared" si="15"/>
        <v/>
      </c>
      <c r="V880" t="str" cm="1">
        <f t="array" ref="V880">IF($BA880="","",IF(INDEX(tblServicios[Conductor],$BA880)=$T$2,"Conductor",IF(INDEX(tblServicios[Personal adicional],$BA880)=$T$2,"Personal adicional","")))</f>
        <v/>
      </c>
      <c r="BA880" s="33" t="str" cm="1">
        <f t="array" ref="BA8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adicional]=$T$2))&gt;0)),ROW(A882)),"")</f>
        <v/>
      </c>
    </row>
    <row r="881" spans="15:53" x14ac:dyDescent="0.35">
      <c r="O881" s="1" t="str" cm="1">
        <f t="array" ref="O881">IF($BA881="","",INDEX(tblServicios[Fecha],$BA881))</f>
        <v/>
      </c>
      <c r="P881" t="str" cm="1">
        <f t="array" ref="P881">IF($BA881="","",INDEX(tblServicios[Contrato],$BA881))</f>
        <v/>
      </c>
      <c r="Q881" t="str" cm="1">
        <f t="array" ref="Q881">IF($BA881="","",INDEX(tblServicios[Vehículo],$BA881))</f>
        <v/>
      </c>
      <c r="R881" s="34" t="str" cm="1">
        <f t="array" ref="R881">IF($BA881="","",INDEX(tblServicios[Base imponible (€)],$BA881)-INDEX(tblServicios[Imp. suplemento (€)],$BA881))</f>
        <v/>
      </c>
      <c r="S881" s="34" t="str" cm="1">
        <f t="array" ref="S881">IF($BA881="","",INDEX(tblServicios[Imp. suplemento (€)],$BA881))</f>
        <v/>
      </c>
      <c r="T881" t="str" cm="1">
        <f t="array" ref="T881">IF($BA881="","",INDEX(tblServicios[Tipo suplemento],$BA881))</f>
        <v/>
      </c>
      <c r="U881" s="2" t="str">
        <f t="shared" si="15"/>
        <v/>
      </c>
      <c r="V881" t="str" cm="1">
        <f t="array" ref="V881">IF($BA881="","",IF(INDEX(tblServicios[Conductor],$BA881)=$T$2,"Conductor",IF(INDEX(tblServicios[Personal adicional],$BA881)=$T$2,"Personal adicional","")))</f>
        <v/>
      </c>
      <c r="BA881" s="33" t="str" cm="1">
        <f t="array" ref="BA8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adicional]=$T$2))&gt;0)),ROW(A883)),"")</f>
        <v/>
      </c>
    </row>
    <row r="882" spans="15:53" x14ac:dyDescent="0.35">
      <c r="O882" s="1" t="str" cm="1">
        <f t="array" ref="O882">IF($BA882="","",INDEX(tblServicios[Fecha],$BA882))</f>
        <v/>
      </c>
      <c r="P882" t="str" cm="1">
        <f t="array" ref="P882">IF($BA882="","",INDEX(tblServicios[Contrato],$BA882))</f>
        <v/>
      </c>
      <c r="Q882" t="str" cm="1">
        <f t="array" ref="Q882">IF($BA882="","",INDEX(tblServicios[Vehículo],$BA882))</f>
        <v/>
      </c>
      <c r="R882" s="34" t="str" cm="1">
        <f t="array" ref="R882">IF($BA882="","",INDEX(tblServicios[Base imponible (€)],$BA882)-INDEX(tblServicios[Imp. suplemento (€)],$BA882))</f>
        <v/>
      </c>
      <c r="S882" s="34" t="str" cm="1">
        <f t="array" ref="S882">IF($BA882="","",INDEX(tblServicios[Imp. suplemento (€)],$BA882))</f>
        <v/>
      </c>
      <c r="T882" t="str" cm="1">
        <f t="array" ref="T882">IF($BA882="","",INDEX(tblServicios[Tipo suplemento],$BA882))</f>
        <v/>
      </c>
      <c r="U882" s="2" t="str">
        <f t="shared" si="15"/>
        <v/>
      </c>
      <c r="V882" t="str" cm="1">
        <f t="array" ref="V882">IF($BA882="","",IF(INDEX(tblServicios[Conductor],$BA882)=$T$2,"Conductor",IF(INDEX(tblServicios[Personal adicional],$BA882)=$T$2,"Personal adicional","")))</f>
        <v/>
      </c>
      <c r="BA882" s="33" t="str" cm="1">
        <f t="array" ref="BA8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adicional]=$T$2))&gt;0)),ROW(A884)),"")</f>
        <v/>
      </c>
    </row>
    <row r="883" spans="15:53" x14ac:dyDescent="0.35">
      <c r="O883" s="1" t="str" cm="1">
        <f t="array" ref="O883">IF($BA883="","",INDEX(tblServicios[Fecha],$BA883))</f>
        <v/>
      </c>
      <c r="P883" t="str" cm="1">
        <f t="array" ref="P883">IF($BA883="","",INDEX(tblServicios[Contrato],$BA883))</f>
        <v/>
      </c>
      <c r="Q883" t="str" cm="1">
        <f t="array" ref="Q883">IF($BA883="","",INDEX(tblServicios[Vehículo],$BA883))</f>
        <v/>
      </c>
      <c r="R883" s="34" t="str" cm="1">
        <f t="array" ref="R883">IF($BA883="","",INDEX(tblServicios[Base imponible (€)],$BA883)-INDEX(tblServicios[Imp. suplemento (€)],$BA883))</f>
        <v/>
      </c>
      <c r="S883" s="34" t="str" cm="1">
        <f t="array" ref="S883">IF($BA883="","",INDEX(tblServicios[Imp. suplemento (€)],$BA883))</f>
        <v/>
      </c>
      <c r="T883" t="str" cm="1">
        <f t="array" ref="T883">IF($BA883="","",INDEX(tblServicios[Tipo suplemento],$BA883))</f>
        <v/>
      </c>
      <c r="U883" s="2" t="str">
        <f t="shared" si="15"/>
        <v/>
      </c>
      <c r="V883" t="str" cm="1">
        <f t="array" ref="V883">IF($BA883="","",IF(INDEX(tblServicios[Conductor],$BA883)=$T$2,"Conductor",IF(INDEX(tblServicios[Personal adicional],$BA883)=$T$2,"Personal adicional","")))</f>
        <v/>
      </c>
      <c r="BA883" s="33" t="str" cm="1">
        <f t="array" ref="BA8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adicional]=$T$2))&gt;0)),ROW(A885)),"")</f>
        <v/>
      </c>
    </row>
    <row r="884" spans="15:53" x14ac:dyDescent="0.35">
      <c r="O884" s="1" t="str" cm="1">
        <f t="array" ref="O884">IF($BA884="","",INDEX(tblServicios[Fecha],$BA884))</f>
        <v/>
      </c>
      <c r="P884" t="str" cm="1">
        <f t="array" ref="P884">IF($BA884="","",INDEX(tblServicios[Contrato],$BA884))</f>
        <v/>
      </c>
      <c r="Q884" t="str" cm="1">
        <f t="array" ref="Q884">IF($BA884="","",INDEX(tblServicios[Vehículo],$BA884))</f>
        <v/>
      </c>
      <c r="R884" s="34" t="str" cm="1">
        <f t="array" ref="R884">IF($BA884="","",INDEX(tblServicios[Base imponible (€)],$BA884)-INDEX(tblServicios[Imp. suplemento (€)],$BA884))</f>
        <v/>
      </c>
      <c r="S884" s="34" t="str" cm="1">
        <f t="array" ref="S884">IF($BA884="","",INDEX(tblServicios[Imp. suplemento (€)],$BA884))</f>
        <v/>
      </c>
      <c r="T884" t="str" cm="1">
        <f t="array" ref="T884">IF($BA884="","",INDEX(tblServicios[Tipo suplemento],$BA884))</f>
        <v/>
      </c>
      <c r="U884" s="2" t="str">
        <f t="shared" si="15"/>
        <v/>
      </c>
      <c r="V884" t="str" cm="1">
        <f t="array" ref="V884">IF($BA884="","",IF(INDEX(tblServicios[Conductor],$BA884)=$T$2,"Conductor",IF(INDEX(tblServicios[Personal adicional],$BA884)=$T$2,"Personal adicional","")))</f>
        <v/>
      </c>
      <c r="BA884" s="33" t="str" cm="1">
        <f t="array" ref="BA8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adicional]=$T$2))&gt;0)),ROW(A886)),"")</f>
        <v/>
      </c>
    </row>
    <row r="885" spans="15:53" x14ac:dyDescent="0.35">
      <c r="O885" s="1" t="str" cm="1">
        <f t="array" ref="O885">IF($BA885="","",INDEX(tblServicios[Fecha],$BA885))</f>
        <v/>
      </c>
      <c r="P885" t="str" cm="1">
        <f t="array" ref="P885">IF($BA885="","",INDEX(tblServicios[Contrato],$BA885))</f>
        <v/>
      </c>
      <c r="Q885" t="str" cm="1">
        <f t="array" ref="Q885">IF($BA885="","",INDEX(tblServicios[Vehículo],$BA885))</f>
        <v/>
      </c>
      <c r="R885" s="34" t="str" cm="1">
        <f t="array" ref="R885">IF($BA885="","",INDEX(tblServicios[Base imponible (€)],$BA885)-INDEX(tblServicios[Imp. suplemento (€)],$BA885))</f>
        <v/>
      </c>
      <c r="S885" s="34" t="str" cm="1">
        <f t="array" ref="S885">IF($BA885="","",INDEX(tblServicios[Imp. suplemento (€)],$BA885))</f>
        <v/>
      </c>
      <c r="T885" t="str" cm="1">
        <f t="array" ref="T885">IF($BA885="","",INDEX(tblServicios[Tipo suplemento],$BA885))</f>
        <v/>
      </c>
      <c r="U885" s="2" t="str">
        <f t="shared" si="15"/>
        <v/>
      </c>
      <c r="V885" t="str" cm="1">
        <f t="array" ref="V885">IF($BA885="","",IF(INDEX(tblServicios[Conductor],$BA885)=$T$2,"Conductor",IF(INDEX(tblServicios[Personal adicional],$BA885)=$T$2,"Personal adicional","")))</f>
        <v/>
      </c>
      <c r="BA885" s="33" t="str" cm="1">
        <f t="array" ref="BA8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adicional]=$T$2))&gt;0)),ROW(A887)),"")</f>
        <v/>
      </c>
    </row>
    <row r="886" spans="15:53" x14ac:dyDescent="0.35">
      <c r="O886" s="1" t="str" cm="1">
        <f t="array" ref="O886">IF($BA886="","",INDEX(tblServicios[Fecha],$BA886))</f>
        <v/>
      </c>
      <c r="P886" t="str" cm="1">
        <f t="array" ref="P886">IF($BA886="","",INDEX(tblServicios[Contrato],$BA886))</f>
        <v/>
      </c>
      <c r="Q886" t="str" cm="1">
        <f t="array" ref="Q886">IF($BA886="","",INDEX(tblServicios[Vehículo],$BA886))</f>
        <v/>
      </c>
      <c r="R886" s="34" t="str" cm="1">
        <f t="array" ref="R886">IF($BA886="","",INDEX(tblServicios[Base imponible (€)],$BA886)-INDEX(tblServicios[Imp. suplemento (€)],$BA886))</f>
        <v/>
      </c>
      <c r="S886" s="34" t="str" cm="1">
        <f t="array" ref="S886">IF($BA886="","",INDEX(tblServicios[Imp. suplemento (€)],$BA886))</f>
        <v/>
      </c>
      <c r="T886" t="str" cm="1">
        <f t="array" ref="T886">IF($BA886="","",INDEX(tblServicios[Tipo suplemento],$BA886))</f>
        <v/>
      </c>
      <c r="U886" s="2" t="str">
        <f t="shared" si="15"/>
        <v/>
      </c>
      <c r="V886" t="str" cm="1">
        <f t="array" ref="V886">IF($BA886="","",IF(INDEX(tblServicios[Conductor],$BA886)=$T$2,"Conductor",IF(INDEX(tblServicios[Personal adicional],$BA886)=$T$2,"Personal adicional","")))</f>
        <v/>
      </c>
      <c r="BA886" s="33" t="str" cm="1">
        <f t="array" ref="BA8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adicional]=$T$2))&gt;0)),ROW(A888)),"")</f>
        <v/>
      </c>
    </row>
    <row r="887" spans="15:53" x14ac:dyDescent="0.35">
      <c r="O887" s="1" t="str" cm="1">
        <f t="array" ref="O887">IF($BA887="","",INDEX(tblServicios[Fecha],$BA887))</f>
        <v/>
      </c>
      <c r="P887" t="str" cm="1">
        <f t="array" ref="P887">IF($BA887="","",INDEX(tblServicios[Contrato],$BA887))</f>
        <v/>
      </c>
      <c r="Q887" t="str" cm="1">
        <f t="array" ref="Q887">IF($BA887="","",INDEX(tblServicios[Vehículo],$BA887))</f>
        <v/>
      </c>
      <c r="R887" s="34" t="str" cm="1">
        <f t="array" ref="R887">IF($BA887="","",INDEX(tblServicios[Base imponible (€)],$BA887)-INDEX(tblServicios[Imp. suplemento (€)],$BA887))</f>
        <v/>
      </c>
      <c r="S887" s="34" t="str" cm="1">
        <f t="array" ref="S887">IF($BA887="","",INDEX(tblServicios[Imp. suplemento (€)],$BA887))</f>
        <v/>
      </c>
      <c r="T887" t="str" cm="1">
        <f t="array" ref="T887">IF($BA887="","",INDEX(tblServicios[Tipo suplemento],$BA887))</f>
        <v/>
      </c>
      <c r="U887" s="2" t="str">
        <f t="shared" si="15"/>
        <v/>
      </c>
      <c r="V887" t="str" cm="1">
        <f t="array" ref="V887">IF($BA887="","",IF(INDEX(tblServicios[Conductor],$BA887)=$T$2,"Conductor",IF(INDEX(tblServicios[Personal adicional],$BA887)=$T$2,"Personal adicional","")))</f>
        <v/>
      </c>
      <c r="BA887" s="33" t="str" cm="1">
        <f t="array" ref="BA8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adicional]=$T$2))&gt;0)),ROW(A889)),"")</f>
        <v/>
      </c>
    </row>
    <row r="888" spans="15:53" x14ac:dyDescent="0.35">
      <c r="O888" s="1" t="str" cm="1">
        <f t="array" ref="O888">IF($BA888="","",INDEX(tblServicios[Fecha],$BA888))</f>
        <v/>
      </c>
      <c r="P888" t="str" cm="1">
        <f t="array" ref="P888">IF($BA888="","",INDEX(tblServicios[Contrato],$BA888))</f>
        <v/>
      </c>
      <c r="Q888" t="str" cm="1">
        <f t="array" ref="Q888">IF($BA888="","",INDEX(tblServicios[Vehículo],$BA888))</f>
        <v/>
      </c>
      <c r="R888" s="34" t="str" cm="1">
        <f t="array" ref="R888">IF($BA888="","",INDEX(tblServicios[Base imponible (€)],$BA888)-INDEX(tblServicios[Imp. suplemento (€)],$BA888))</f>
        <v/>
      </c>
      <c r="S888" s="34" t="str" cm="1">
        <f t="array" ref="S888">IF($BA888="","",INDEX(tblServicios[Imp. suplemento (€)],$BA888))</f>
        <v/>
      </c>
      <c r="T888" t="str" cm="1">
        <f t="array" ref="T888">IF($BA888="","",INDEX(tblServicios[Tipo suplemento],$BA888))</f>
        <v/>
      </c>
      <c r="U888" s="2" t="str">
        <f t="shared" si="15"/>
        <v/>
      </c>
      <c r="V888" t="str" cm="1">
        <f t="array" ref="V888">IF($BA888="","",IF(INDEX(tblServicios[Conductor],$BA888)=$T$2,"Conductor",IF(INDEX(tblServicios[Personal adicional],$BA888)=$T$2,"Personal adicional","")))</f>
        <v/>
      </c>
      <c r="BA888" s="33" t="str" cm="1">
        <f t="array" ref="BA8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adicional]=$T$2))&gt;0)),ROW(A890)),"")</f>
        <v/>
      </c>
    </row>
    <row r="889" spans="15:53" x14ac:dyDescent="0.35">
      <c r="O889" s="1" t="str" cm="1">
        <f t="array" ref="O889">IF($BA889="","",INDEX(tblServicios[Fecha],$BA889))</f>
        <v/>
      </c>
      <c r="P889" t="str" cm="1">
        <f t="array" ref="P889">IF($BA889="","",INDEX(tblServicios[Contrato],$BA889))</f>
        <v/>
      </c>
      <c r="Q889" t="str" cm="1">
        <f t="array" ref="Q889">IF($BA889="","",INDEX(tblServicios[Vehículo],$BA889))</f>
        <v/>
      </c>
      <c r="R889" s="34" t="str" cm="1">
        <f t="array" ref="R889">IF($BA889="","",INDEX(tblServicios[Base imponible (€)],$BA889)-INDEX(tblServicios[Imp. suplemento (€)],$BA889))</f>
        <v/>
      </c>
      <c r="S889" s="34" t="str" cm="1">
        <f t="array" ref="S889">IF($BA889="","",INDEX(tblServicios[Imp. suplemento (€)],$BA889))</f>
        <v/>
      </c>
      <c r="T889" t="str" cm="1">
        <f t="array" ref="T889">IF($BA889="","",INDEX(tblServicios[Tipo suplemento],$BA889))</f>
        <v/>
      </c>
      <c r="U889" s="2" t="str">
        <f t="shared" si="15"/>
        <v/>
      </c>
      <c r="V889" t="str" cm="1">
        <f t="array" ref="V889">IF($BA889="","",IF(INDEX(tblServicios[Conductor],$BA889)=$T$2,"Conductor",IF(INDEX(tblServicios[Personal adicional],$BA889)=$T$2,"Personal adicional","")))</f>
        <v/>
      </c>
      <c r="BA889" s="33" t="str" cm="1">
        <f t="array" ref="BA8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adicional]=$T$2))&gt;0)),ROW(A891)),"")</f>
        <v/>
      </c>
    </row>
    <row r="890" spans="15:53" x14ac:dyDescent="0.35">
      <c r="O890" s="1" t="str" cm="1">
        <f t="array" ref="O890">IF($BA890="","",INDEX(tblServicios[Fecha],$BA890))</f>
        <v/>
      </c>
      <c r="P890" t="str" cm="1">
        <f t="array" ref="P890">IF($BA890="","",INDEX(tblServicios[Contrato],$BA890))</f>
        <v/>
      </c>
      <c r="Q890" t="str" cm="1">
        <f t="array" ref="Q890">IF($BA890="","",INDEX(tblServicios[Vehículo],$BA890))</f>
        <v/>
      </c>
      <c r="R890" s="34" t="str" cm="1">
        <f t="array" ref="R890">IF($BA890="","",INDEX(tblServicios[Base imponible (€)],$BA890)-INDEX(tblServicios[Imp. suplemento (€)],$BA890))</f>
        <v/>
      </c>
      <c r="S890" s="34" t="str" cm="1">
        <f t="array" ref="S890">IF($BA890="","",INDEX(tblServicios[Imp. suplemento (€)],$BA890))</f>
        <v/>
      </c>
      <c r="T890" t="str" cm="1">
        <f t="array" ref="T890">IF($BA890="","",INDEX(tblServicios[Tipo suplemento],$BA890))</f>
        <v/>
      </c>
      <c r="U890" s="2" t="str">
        <f t="shared" si="15"/>
        <v/>
      </c>
      <c r="V890" t="str" cm="1">
        <f t="array" ref="V890">IF($BA890="","",IF(INDEX(tblServicios[Conductor],$BA890)=$T$2,"Conductor",IF(INDEX(tblServicios[Personal adicional],$BA890)=$T$2,"Personal adicional","")))</f>
        <v/>
      </c>
      <c r="BA890" s="33" t="str" cm="1">
        <f t="array" ref="BA8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adicional]=$T$2))&gt;0)),ROW(A892)),"")</f>
        <v/>
      </c>
    </row>
    <row r="891" spans="15:53" x14ac:dyDescent="0.35">
      <c r="O891" s="1" t="str" cm="1">
        <f t="array" ref="O891">IF($BA891="","",INDEX(tblServicios[Fecha],$BA891))</f>
        <v/>
      </c>
      <c r="P891" t="str" cm="1">
        <f t="array" ref="P891">IF($BA891="","",INDEX(tblServicios[Contrato],$BA891))</f>
        <v/>
      </c>
      <c r="Q891" t="str" cm="1">
        <f t="array" ref="Q891">IF($BA891="","",INDEX(tblServicios[Vehículo],$BA891))</f>
        <v/>
      </c>
      <c r="R891" s="34" t="str" cm="1">
        <f t="array" ref="R891">IF($BA891="","",INDEX(tblServicios[Base imponible (€)],$BA891)-INDEX(tblServicios[Imp. suplemento (€)],$BA891))</f>
        <v/>
      </c>
      <c r="S891" s="34" t="str" cm="1">
        <f t="array" ref="S891">IF($BA891="","",INDEX(tblServicios[Imp. suplemento (€)],$BA891))</f>
        <v/>
      </c>
      <c r="T891" t="str" cm="1">
        <f t="array" ref="T891">IF($BA891="","",INDEX(tblServicios[Tipo suplemento],$BA891))</f>
        <v/>
      </c>
      <c r="U891" s="2" t="str">
        <f t="shared" si="15"/>
        <v/>
      </c>
      <c r="V891" t="str" cm="1">
        <f t="array" ref="V891">IF($BA891="","",IF(INDEX(tblServicios[Conductor],$BA891)=$T$2,"Conductor",IF(INDEX(tblServicios[Personal adicional],$BA891)=$T$2,"Personal adicional","")))</f>
        <v/>
      </c>
      <c r="BA891" s="33" t="str" cm="1">
        <f t="array" ref="BA8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adicional]=$T$2))&gt;0)),ROW(A893)),"")</f>
        <v/>
      </c>
    </row>
    <row r="892" spans="15:53" x14ac:dyDescent="0.35">
      <c r="O892" s="1" t="str" cm="1">
        <f t="array" ref="O892">IF($BA892="","",INDEX(tblServicios[Fecha],$BA892))</f>
        <v/>
      </c>
      <c r="P892" t="str" cm="1">
        <f t="array" ref="P892">IF($BA892="","",INDEX(tblServicios[Contrato],$BA892))</f>
        <v/>
      </c>
      <c r="Q892" t="str" cm="1">
        <f t="array" ref="Q892">IF($BA892="","",INDEX(tblServicios[Vehículo],$BA892))</f>
        <v/>
      </c>
      <c r="R892" s="34" t="str" cm="1">
        <f t="array" ref="R892">IF($BA892="","",INDEX(tblServicios[Base imponible (€)],$BA892)-INDEX(tblServicios[Imp. suplemento (€)],$BA892))</f>
        <v/>
      </c>
      <c r="S892" s="34" t="str" cm="1">
        <f t="array" ref="S892">IF($BA892="","",INDEX(tblServicios[Imp. suplemento (€)],$BA892))</f>
        <v/>
      </c>
      <c r="T892" t="str" cm="1">
        <f t="array" ref="T892">IF($BA892="","",INDEX(tblServicios[Tipo suplemento],$BA892))</f>
        <v/>
      </c>
      <c r="U892" s="2" t="str">
        <f t="shared" si="15"/>
        <v/>
      </c>
      <c r="V892" t="str" cm="1">
        <f t="array" ref="V892">IF($BA892="","",IF(INDEX(tblServicios[Conductor],$BA892)=$T$2,"Conductor",IF(INDEX(tblServicios[Personal adicional],$BA892)=$T$2,"Personal adicional","")))</f>
        <v/>
      </c>
      <c r="BA892" s="33" t="str" cm="1">
        <f t="array" ref="BA8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adicional]=$T$2))&gt;0)),ROW(A894)),"")</f>
        <v/>
      </c>
    </row>
    <row r="893" spans="15:53" x14ac:dyDescent="0.35">
      <c r="O893" s="1" t="str" cm="1">
        <f t="array" ref="O893">IF($BA893="","",INDEX(tblServicios[Fecha],$BA893))</f>
        <v/>
      </c>
      <c r="P893" t="str" cm="1">
        <f t="array" ref="P893">IF($BA893="","",INDEX(tblServicios[Contrato],$BA893))</f>
        <v/>
      </c>
      <c r="Q893" t="str" cm="1">
        <f t="array" ref="Q893">IF($BA893="","",INDEX(tblServicios[Vehículo],$BA893))</f>
        <v/>
      </c>
      <c r="R893" s="34" t="str" cm="1">
        <f t="array" ref="R893">IF($BA893="","",INDEX(tblServicios[Base imponible (€)],$BA893)-INDEX(tblServicios[Imp. suplemento (€)],$BA893))</f>
        <v/>
      </c>
      <c r="S893" s="34" t="str" cm="1">
        <f t="array" ref="S893">IF($BA893="","",INDEX(tblServicios[Imp. suplemento (€)],$BA893))</f>
        <v/>
      </c>
      <c r="T893" t="str" cm="1">
        <f t="array" ref="T893">IF($BA893="","",INDEX(tblServicios[Tipo suplemento],$BA893))</f>
        <v/>
      </c>
      <c r="U893" s="2" t="str">
        <f t="shared" si="15"/>
        <v/>
      </c>
      <c r="V893" t="str" cm="1">
        <f t="array" ref="V893">IF($BA893="","",IF(INDEX(tblServicios[Conductor],$BA893)=$T$2,"Conductor",IF(INDEX(tblServicios[Personal adicional],$BA893)=$T$2,"Personal adicional","")))</f>
        <v/>
      </c>
      <c r="BA893" s="33" t="str" cm="1">
        <f t="array" ref="BA8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adicional]=$T$2))&gt;0)),ROW(A895)),"")</f>
        <v/>
      </c>
    </row>
    <row r="894" spans="15:53" x14ac:dyDescent="0.35">
      <c r="O894" s="1" t="str" cm="1">
        <f t="array" ref="O894">IF($BA894="","",INDEX(tblServicios[Fecha],$BA894))</f>
        <v/>
      </c>
      <c r="P894" t="str" cm="1">
        <f t="array" ref="P894">IF($BA894="","",INDEX(tblServicios[Contrato],$BA894))</f>
        <v/>
      </c>
      <c r="Q894" t="str" cm="1">
        <f t="array" ref="Q894">IF($BA894="","",INDEX(tblServicios[Vehículo],$BA894))</f>
        <v/>
      </c>
      <c r="R894" s="34" t="str" cm="1">
        <f t="array" ref="R894">IF($BA894="","",INDEX(tblServicios[Base imponible (€)],$BA894)-INDEX(tblServicios[Imp. suplemento (€)],$BA894))</f>
        <v/>
      </c>
      <c r="S894" s="34" t="str" cm="1">
        <f t="array" ref="S894">IF($BA894="","",INDEX(tblServicios[Imp. suplemento (€)],$BA894))</f>
        <v/>
      </c>
      <c r="T894" t="str" cm="1">
        <f t="array" ref="T894">IF($BA894="","",INDEX(tblServicios[Tipo suplemento],$BA894))</f>
        <v/>
      </c>
      <c r="U894" s="2" t="str">
        <f t="shared" si="15"/>
        <v/>
      </c>
      <c r="V894" t="str" cm="1">
        <f t="array" ref="V894">IF($BA894="","",IF(INDEX(tblServicios[Conductor],$BA894)=$T$2,"Conductor",IF(INDEX(tblServicios[Personal adicional],$BA894)=$T$2,"Personal adicional","")))</f>
        <v/>
      </c>
      <c r="BA894" s="33" t="str" cm="1">
        <f t="array" ref="BA8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adicional]=$T$2))&gt;0)),ROW(A896)),"")</f>
        <v/>
      </c>
    </row>
    <row r="895" spans="15:53" x14ac:dyDescent="0.35">
      <c r="O895" s="1" t="str" cm="1">
        <f t="array" ref="O895">IF($BA895="","",INDEX(tblServicios[Fecha],$BA895))</f>
        <v/>
      </c>
      <c r="P895" t="str" cm="1">
        <f t="array" ref="P895">IF($BA895="","",INDEX(tblServicios[Contrato],$BA895))</f>
        <v/>
      </c>
      <c r="Q895" t="str" cm="1">
        <f t="array" ref="Q895">IF($BA895="","",INDEX(tblServicios[Vehículo],$BA895))</f>
        <v/>
      </c>
      <c r="R895" s="34" t="str" cm="1">
        <f t="array" ref="R895">IF($BA895="","",INDEX(tblServicios[Base imponible (€)],$BA895)-INDEX(tblServicios[Imp. suplemento (€)],$BA895))</f>
        <v/>
      </c>
      <c r="S895" s="34" t="str" cm="1">
        <f t="array" ref="S895">IF($BA895="","",INDEX(tblServicios[Imp. suplemento (€)],$BA895))</f>
        <v/>
      </c>
      <c r="T895" t="str" cm="1">
        <f t="array" ref="T895">IF($BA895="","",INDEX(tblServicios[Tipo suplemento],$BA895))</f>
        <v/>
      </c>
      <c r="U895" s="2" t="str">
        <f t="shared" si="15"/>
        <v/>
      </c>
      <c r="V895" t="str" cm="1">
        <f t="array" ref="V895">IF($BA895="","",IF(INDEX(tblServicios[Conductor],$BA895)=$T$2,"Conductor",IF(INDEX(tblServicios[Personal adicional],$BA895)=$T$2,"Personal adicional","")))</f>
        <v/>
      </c>
      <c r="BA895" s="33" t="str" cm="1">
        <f t="array" ref="BA8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adicional]=$T$2))&gt;0)),ROW(A897)),"")</f>
        <v/>
      </c>
    </row>
    <row r="896" spans="15:53" x14ac:dyDescent="0.35">
      <c r="O896" s="1" t="str" cm="1">
        <f t="array" ref="O896">IF($BA896="","",INDEX(tblServicios[Fecha],$BA896))</f>
        <v/>
      </c>
      <c r="P896" t="str" cm="1">
        <f t="array" ref="P896">IF($BA896="","",INDEX(tblServicios[Contrato],$BA896))</f>
        <v/>
      </c>
      <c r="Q896" t="str" cm="1">
        <f t="array" ref="Q896">IF($BA896="","",INDEX(tblServicios[Vehículo],$BA896))</f>
        <v/>
      </c>
      <c r="R896" s="34" t="str" cm="1">
        <f t="array" ref="R896">IF($BA896="","",INDEX(tblServicios[Base imponible (€)],$BA896)-INDEX(tblServicios[Imp. suplemento (€)],$BA896))</f>
        <v/>
      </c>
      <c r="S896" s="34" t="str" cm="1">
        <f t="array" ref="S896">IF($BA896="","",INDEX(tblServicios[Imp. suplemento (€)],$BA896))</f>
        <v/>
      </c>
      <c r="T896" t="str" cm="1">
        <f t="array" ref="T896">IF($BA896="","",INDEX(tblServicios[Tipo suplemento],$BA896))</f>
        <v/>
      </c>
      <c r="U896" s="2" t="str">
        <f t="shared" si="15"/>
        <v/>
      </c>
      <c r="V896" t="str" cm="1">
        <f t="array" ref="V896">IF($BA896="","",IF(INDEX(tblServicios[Conductor],$BA896)=$T$2,"Conductor",IF(INDEX(tblServicios[Personal adicional],$BA896)=$T$2,"Personal adicional","")))</f>
        <v/>
      </c>
      <c r="BA896" s="33" t="str" cm="1">
        <f t="array" ref="BA8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adicional]=$T$2))&gt;0)),ROW(A898)),"")</f>
        <v/>
      </c>
    </row>
    <row r="897" spans="15:53" x14ac:dyDescent="0.35">
      <c r="O897" s="1" t="str" cm="1">
        <f t="array" ref="O897">IF($BA897="","",INDEX(tblServicios[Fecha],$BA897))</f>
        <v/>
      </c>
      <c r="P897" t="str" cm="1">
        <f t="array" ref="P897">IF($BA897="","",INDEX(tblServicios[Contrato],$BA897))</f>
        <v/>
      </c>
      <c r="Q897" t="str" cm="1">
        <f t="array" ref="Q897">IF($BA897="","",INDEX(tblServicios[Vehículo],$BA897))</f>
        <v/>
      </c>
      <c r="R897" s="34" t="str" cm="1">
        <f t="array" ref="R897">IF($BA897="","",INDEX(tblServicios[Base imponible (€)],$BA897)-INDEX(tblServicios[Imp. suplemento (€)],$BA897))</f>
        <v/>
      </c>
      <c r="S897" s="34" t="str" cm="1">
        <f t="array" ref="S897">IF($BA897="","",INDEX(tblServicios[Imp. suplemento (€)],$BA897))</f>
        <v/>
      </c>
      <c r="T897" t="str" cm="1">
        <f t="array" ref="T897">IF($BA897="","",INDEX(tblServicios[Tipo suplemento],$BA897))</f>
        <v/>
      </c>
      <c r="U897" s="2" t="str">
        <f t="shared" si="15"/>
        <v/>
      </c>
      <c r="V897" t="str" cm="1">
        <f t="array" ref="V897">IF($BA897="","",IF(INDEX(tblServicios[Conductor],$BA897)=$T$2,"Conductor",IF(INDEX(tblServicios[Personal adicional],$BA897)=$T$2,"Personal adicional","")))</f>
        <v/>
      </c>
      <c r="BA897" s="33" t="str" cm="1">
        <f t="array" ref="BA8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adicional]=$T$2))&gt;0)),ROW(A899)),"")</f>
        <v/>
      </c>
    </row>
    <row r="898" spans="15:53" x14ac:dyDescent="0.35">
      <c r="O898" s="1" t="str" cm="1">
        <f t="array" ref="O898">IF($BA898="","",INDEX(tblServicios[Fecha],$BA898))</f>
        <v/>
      </c>
      <c r="P898" t="str" cm="1">
        <f t="array" ref="P898">IF($BA898="","",INDEX(tblServicios[Contrato],$BA898))</f>
        <v/>
      </c>
      <c r="Q898" t="str" cm="1">
        <f t="array" ref="Q898">IF($BA898="","",INDEX(tblServicios[Vehículo],$BA898))</f>
        <v/>
      </c>
      <c r="R898" s="34" t="str" cm="1">
        <f t="array" ref="R898">IF($BA898="","",INDEX(tblServicios[Base imponible (€)],$BA898)-INDEX(tblServicios[Imp. suplemento (€)],$BA898))</f>
        <v/>
      </c>
      <c r="S898" s="34" t="str" cm="1">
        <f t="array" ref="S898">IF($BA898="","",INDEX(tblServicios[Imp. suplemento (€)],$BA898))</f>
        <v/>
      </c>
      <c r="T898" t="str" cm="1">
        <f t="array" ref="T898">IF($BA898="","",INDEX(tblServicios[Tipo suplemento],$BA898))</f>
        <v/>
      </c>
      <c r="U898" s="2" t="str">
        <f t="shared" si="15"/>
        <v/>
      </c>
      <c r="V898" t="str" cm="1">
        <f t="array" ref="V898">IF($BA898="","",IF(INDEX(tblServicios[Conductor],$BA898)=$T$2,"Conductor",IF(INDEX(tblServicios[Personal adicional],$BA898)=$T$2,"Personal adicional","")))</f>
        <v/>
      </c>
      <c r="BA898" s="33" t="str" cm="1">
        <f t="array" ref="BA8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adicional]=$T$2))&gt;0)),ROW(A900)),"")</f>
        <v/>
      </c>
    </row>
    <row r="899" spans="15:53" x14ac:dyDescent="0.35">
      <c r="O899" s="1" t="str" cm="1">
        <f t="array" ref="O899">IF($BA899="","",INDEX(tblServicios[Fecha],$BA899))</f>
        <v/>
      </c>
      <c r="P899" t="str" cm="1">
        <f t="array" ref="P899">IF($BA899="","",INDEX(tblServicios[Contrato],$BA899))</f>
        <v/>
      </c>
      <c r="Q899" t="str" cm="1">
        <f t="array" ref="Q899">IF($BA899="","",INDEX(tblServicios[Vehículo],$BA899))</f>
        <v/>
      </c>
      <c r="R899" s="34" t="str" cm="1">
        <f t="array" ref="R899">IF($BA899="","",INDEX(tblServicios[Base imponible (€)],$BA899)-INDEX(tblServicios[Imp. suplemento (€)],$BA899))</f>
        <v/>
      </c>
      <c r="S899" s="34" t="str" cm="1">
        <f t="array" ref="S899">IF($BA899="","",INDEX(tblServicios[Imp. suplemento (€)],$BA899))</f>
        <v/>
      </c>
      <c r="T899" t="str" cm="1">
        <f t="array" ref="T899">IF($BA899="","",INDEX(tblServicios[Tipo suplemento],$BA899))</f>
        <v/>
      </c>
      <c r="U899" s="2" t="str">
        <f t="shared" si="15"/>
        <v/>
      </c>
      <c r="V899" t="str" cm="1">
        <f t="array" ref="V899">IF($BA899="","",IF(INDEX(tblServicios[Conductor],$BA899)=$T$2,"Conductor",IF(INDEX(tblServicios[Personal adicional],$BA899)=$T$2,"Personal adicional","")))</f>
        <v/>
      </c>
      <c r="BA899" s="33" t="str" cm="1">
        <f t="array" ref="BA8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adicional]=$T$2))&gt;0)),ROW(A901)),"")</f>
        <v/>
      </c>
    </row>
    <row r="900" spans="15:53" x14ac:dyDescent="0.35">
      <c r="O900" s="1" t="str" cm="1">
        <f t="array" ref="O900">IF($BA900="","",INDEX(tblServicios[Fecha],$BA900))</f>
        <v/>
      </c>
      <c r="P900" t="str" cm="1">
        <f t="array" ref="P900">IF($BA900="","",INDEX(tblServicios[Contrato],$BA900))</f>
        <v/>
      </c>
      <c r="Q900" t="str" cm="1">
        <f t="array" ref="Q900">IF($BA900="","",INDEX(tblServicios[Vehículo],$BA900))</f>
        <v/>
      </c>
      <c r="R900" s="34" t="str" cm="1">
        <f t="array" ref="R900">IF($BA900="","",INDEX(tblServicios[Base imponible (€)],$BA900)-INDEX(tblServicios[Imp. suplemento (€)],$BA900))</f>
        <v/>
      </c>
      <c r="S900" s="34" t="str" cm="1">
        <f t="array" ref="S900">IF($BA900="","",INDEX(tblServicios[Imp. suplemento (€)],$BA900))</f>
        <v/>
      </c>
      <c r="T900" t="str" cm="1">
        <f t="array" ref="T900">IF($BA900="","",INDEX(tblServicios[Tipo suplemento],$BA900))</f>
        <v/>
      </c>
      <c r="U900" s="2" t="str">
        <f t="shared" si="15"/>
        <v/>
      </c>
      <c r="V900" t="str" cm="1">
        <f t="array" ref="V900">IF($BA900="","",IF(INDEX(tblServicios[Conductor],$BA900)=$T$2,"Conductor",IF(INDEX(tblServicios[Personal adicional],$BA900)=$T$2,"Personal adicional","")))</f>
        <v/>
      </c>
      <c r="BA900" s="33" t="str" cm="1">
        <f t="array" ref="BA9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adicional]=$T$2))&gt;0)),ROW(A902)),"")</f>
        <v/>
      </c>
    </row>
    <row r="901" spans="15:53" x14ac:dyDescent="0.35">
      <c r="O901" s="1" t="str" cm="1">
        <f t="array" ref="O901">IF($BA901="","",INDEX(tblServicios[Fecha],$BA901))</f>
        <v/>
      </c>
      <c r="P901" t="str" cm="1">
        <f t="array" ref="P901">IF($BA901="","",INDEX(tblServicios[Contrato],$BA901))</f>
        <v/>
      </c>
      <c r="Q901" t="str" cm="1">
        <f t="array" ref="Q901">IF($BA901="","",INDEX(tblServicios[Vehículo],$BA901))</f>
        <v/>
      </c>
      <c r="R901" s="34" t="str" cm="1">
        <f t="array" ref="R901">IF($BA901="","",INDEX(tblServicios[Base imponible (€)],$BA901)-INDEX(tblServicios[Imp. suplemento (€)],$BA901))</f>
        <v/>
      </c>
      <c r="S901" s="34" t="str" cm="1">
        <f t="array" ref="S901">IF($BA901="","",INDEX(tblServicios[Imp. suplemento (€)],$BA901))</f>
        <v/>
      </c>
      <c r="T901" t="str" cm="1">
        <f t="array" ref="T901">IF($BA901="","",INDEX(tblServicios[Tipo suplemento],$BA901))</f>
        <v/>
      </c>
      <c r="U901" s="2" t="str">
        <f t="shared" si="15"/>
        <v/>
      </c>
      <c r="V901" t="str" cm="1">
        <f t="array" ref="V901">IF($BA901="","",IF(INDEX(tblServicios[Conductor],$BA901)=$T$2,"Conductor",IF(INDEX(tblServicios[Personal adicional],$BA901)=$T$2,"Personal adicional","")))</f>
        <v/>
      </c>
      <c r="BA901" s="33" t="str" cm="1">
        <f t="array" ref="BA9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adicional]=$T$2))&gt;0)),ROW(A903)),"")</f>
        <v/>
      </c>
    </row>
    <row r="902" spans="15:53" x14ac:dyDescent="0.35">
      <c r="O902" s="1" t="str" cm="1">
        <f t="array" ref="O902">IF($BA902="","",INDEX(tblServicios[Fecha],$BA902))</f>
        <v/>
      </c>
      <c r="P902" t="str" cm="1">
        <f t="array" ref="P902">IF($BA902="","",INDEX(tblServicios[Contrato],$BA902))</f>
        <v/>
      </c>
      <c r="Q902" t="str" cm="1">
        <f t="array" ref="Q902">IF($BA902="","",INDEX(tblServicios[Vehículo],$BA902))</f>
        <v/>
      </c>
      <c r="R902" s="34" t="str" cm="1">
        <f t="array" ref="R902">IF($BA902="","",INDEX(tblServicios[Base imponible (€)],$BA902)-INDEX(tblServicios[Imp. suplemento (€)],$BA902))</f>
        <v/>
      </c>
      <c r="S902" s="34" t="str" cm="1">
        <f t="array" ref="S902">IF($BA902="","",INDEX(tblServicios[Imp. suplemento (€)],$BA902))</f>
        <v/>
      </c>
      <c r="T902" t="str" cm="1">
        <f t="array" ref="T902">IF($BA902="","",INDEX(tblServicios[Tipo suplemento],$BA902))</f>
        <v/>
      </c>
      <c r="U902" s="2" t="str">
        <f t="shared" si="15"/>
        <v/>
      </c>
      <c r="V902" t="str" cm="1">
        <f t="array" ref="V902">IF($BA902="","",IF(INDEX(tblServicios[Conductor],$BA902)=$T$2,"Conductor",IF(INDEX(tblServicios[Personal adicional],$BA902)=$T$2,"Personal adicional","")))</f>
        <v/>
      </c>
      <c r="BA902" s="33" t="str" cm="1">
        <f t="array" ref="BA9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adicional]=$T$2))&gt;0)),ROW(A904)),"")</f>
        <v/>
      </c>
    </row>
    <row r="903" spans="15:53" x14ac:dyDescent="0.35">
      <c r="O903" s="1" t="str" cm="1">
        <f t="array" ref="O903">IF($BA903="","",INDEX(tblServicios[Fecha],$BA903))</f>
        <v/>
      </c>
      <c r="P903" t="str" cm="1">
        <f t="array" ref="P903">IF($BA903="","",INDEX(tblServicios[Contrato],$BA903))</f>
        <v/>
      </c>
      <c r="Q903" t="str" cm="1">
        <f t="array" ref="Q903">IF($BA903="","",INDEX(tblServicios[Vehículo],$BA903))</f>
        <v/>
      </c>
      <c r="R903" s="34" t="str" cm="1">
        <f t="array" ref="R903">IF($BA903="","",INDEX(tblServicios[Base imponible (€)],$BA903)-INDEX(tblServicios[Imp. suplemento (€)],$BA903))</f>
        <v/>
      </c>
      <c r="S903" s="34" t="str" cm="1">
        <f t="array" ref="S903">IF($BA903="","",INDEX(tblServicios[Imp. suplemento (€)],$BA903))</f>
        <v/>
      </c>
      <c r="T903" t="str" cm="1">
        <f t="array" ref="T903">IF($BA903="","",INDEX(tblServicios[Tipo suplemento],$BA903))</f>
        <v/>
      </c>
      <c r="U903" s="2" t="str">
        <f t="shared" ref="U903:U966" si="16">IF($BA903="","",R903+S903)</f>
        <v/>
      </c>
      <c r="V903" t="str" cm="1">
        <f t="array" ref="V903">IF($BA903="","",IF(INDEX(tblServicios[Conductor],$BA903)=$T$2,"Conductor",IF(INDEX(tblServicios[Personal adicional],$BA903)=$T$2,"Personal adicional","")))</f>
        <v/>
      </c>
      <c r="BA903" s="33" t="str" cm="1">
        <f t="array" ref="BA9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adicional]=$T$2))&gt;0)),ROW(A905)),"")</f>
        <v/>
      </c>
    </row>
    <row r="904" spans="15:53" x14ac:dyDescent="0.35">
      <c r="O904" s="1" t="str" cm="1">
        <f t="array" ref="O904">IF($BA904="","",INDEX(tblServicios[Fecha],$BA904))</f>
        <v/>
      </c>
      <c r="P904" t="str" cm="1">
        <f t="array" ref="P904">IF($BA904="","",INDEX(tblServicios[Contrato],$BA904))</f>
        <v/>
      </c>
      <c r="Q904" t="str" cm="1">
        <f t="array" ref="Q904">IF($BA904="","",INDEX(tblServicios[Vehículo],$BA904))</f>
        <v/>
      </c>
      <c r="R904" s="34" t="str" cm="1">
        <f t="array" ref="R904">IF($BA904="","",INDEX(tblServicios[Base imponible (€)],$BA904)-INDEX(tblServicios[Imp. suplemento (€)],$BA904))</f>
        <v/>
      </c>
      <c r="S904" s="34" t="str" cm="1">
        <f t="array" ref="S904">IF($BA904="","",INDEX(tblServicios[Imp. suplemento (€)],$BA904))</f>
        <v/>
      </c>
      <c r="T904" t="str" cm="1">
        <f t="array" ref="T904">IF($BA904="","",INDEX(tblServicios[Tipo suplemento],$BA904))</f>
        <v/>
      </c>
      <c r="U904" s="2" t="str">
        <f t="shared" si="16"/>
        <v/>
      </c>
      <c r="V904" t="str" cm="1">
        <f t="array" ref="V904">IF($BA904="","",IF(INDEX(tblServicios[Conductor],$BA904)=$T$2,"Conductor",IF(INDEX(tblServicios[Personal adicional],$BA904)=$T$2,"Personal adicional","")))</f>
        <v/>
      </c>
      <c r="BA904" s="33" t="str" cm="1">
        <f t="array" ref="BA9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adicional]=$T$2))&gt;0)),ROW(A906)),"")</f>
        <v/>
      </c>
    </row>
    <row r="905" spans="15:53" x14ac:dyDescent="0.35">
      <c r="O905" s="1" t="str" cm="1">
        <f t="array" ref="O905">IF($BA905="","",INDEX(tblServicios[Fecha],$BA905))</f>
        <v/>
      </c>
      <c r="P905" t="str" cm="1">
        <f t="array" ref="P905">IF($BA905="","",INDEX(tblServicios[Contrato],$BA905))</f>
        <v/>
      </c>
      <c r="Q905" t="str" cm="1">
        <f t="array" ref="Q905">IF($BA905="","",INDEX(tblServicios[Vehículo],$BA905))</f>
        <v/>
      </c>
      <c r="R905" s="34" t="str" cm="1">
        <f t="array" ref="R905">IF($BA905="","",INDEX(tblServicios[Base imponible (€)],$BA905)-INDEX(tblServicios[Imp. suplemento (€)],$BA905))</f>
        <v/>
      </c>
      <c r="S905" s="34" t="str" cm="1">
        <f t="array" ref="S905">IF($BA905="","",INDEX(tblServicios[Imp. suplemento (€)],$BA905))</f>
        <v/>
      </c>
      <c r="T905" t="str" cm="1">
        <f t="array" ref="T905">IF($BA905="","",INDEX(tblServicios[Tipo suplemento],$BA905))</f>
        <v/>
      </c>
      <c r="U905" s="2" t="str">
        <f t="shared" si="16"/>
        <v/>
      </c>
      <c r="V905" t="str" cm="1">
        <f t="array" ref="V905">IF($BA905="","",IF(INDEX(tblServicios[Conductor],$BA905)=$T$2,"Conductor",IF(INDEX(tblServicios[Personal adicional],$BA905)=$T$2,"Personal adicional","")))</f>
        <v/>
      </c>
      <c r="BA905" s="33" t="str" cm="1">
        <f t="array" ref="BA9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adicional]=$T$2))&gt;0)),ROW(A907)),"")</f>
        <v/>
      </c>
    </row>
    <row r="906" spans="15:53" x14ac:dyDescent="0.35">
      <c r="O906" s="1" t="str" cm="1">
        <f t="array" ref="O906">IF($BA906="","",INDEX(tblServicios[Fecha],$BA906))</f>
        <v/>
      </c>
      <c r="P906" t="str" cm="1">
        <f t="array" ref="P906">IF($BA906="","",INDEX(tblServicios[Contrato],$BA906))</f>
        <v/>
      </c>
      <c r="Q906" t="str" cm="1">
        <f t="array" ref="Q906">IF($BA906="","",INDEX(tblServicios[Vehículo],$BA906))</f>
        <v/>
      </c>
      <c r="R906" s="34" t="str" cm="1">
        <f t="array" ref="R906">IF($BA906="","",INDEX(tblServicios[Base imponible (€)],$BA906)-INDEX(tblServicios[Imp. suplemento (€)],$BA906))</f>
        <v/>
      </c>
      <c r="S906" s="34" t="str" cm="1">
        <f t="array" ref="S906">IF($BA906="","",INDEX(tblServicios[Imp. suplemento (€)],$BA906))</f>
        <v/>
      </c>
      <c r="T906" t="str" cm="1">
        <f t="array" ref="T906">IF($BA906="","",INDEX(tblServicios[Tipo suplemento],$BA906))</f>
        <v/>
      </c>
      <c r="U906" s="2" t="str">
        <f t="shared" si="16"/>
        <v/>
      </c>
      <c r="V906" t="str" cm="1">
        <f t="array" ref="V906">IF($BA906="","",IF(INDEX(tblServicios[Conductor],$BA906)=$T$2,"Conductor",IF(INDEX(tblServicios[Personal adicional],$BA906)=$T$2,"Personal adicional","")))</f>
        <v/>
      </c>
      <c r="BA906" s="33" t="str" cm="1">
        <f t="array" ref="BA9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adicional]=$T$2))&gt;0)),ROW(A908)),"")</f>
        <v/>
      </c>
    </row>
    <row r="907" spans="15:53" x14ac:dyDescent="0.35">
      <c r="O907" s="1" t="str" cm="1">
        <f t="array" ref="O907">IF($BA907="","",INDEX(tblServicios[Fecha],$BA907))</f>
        <v/>
      </c>
      <c r="P907" t="str" cm="1">
        <f t="array" ref="P907">IF($BA907="","",INDEX(tblServicios[Contrato],$BA907))</f>
        <v/>
      </c>
      <c r="Q907" t="str" cm="1">
        <f t="array" ref="Q907">IF($BA907="","",INDEX(tblServicios[Vehículo],$BA907))</f>
        <v/>
      </c>
      <c r="R907" s="34" t="str" cm="1">
        <f t="array" ref="R907">IF($BA907="","",INDEX(tblServicios[Base imponible (€)],$BA907)-INDEX(tblServicios[Imp. suplemento (€)],$BA907))</f>
        <v/>
      </c>
      <c r="S907" s="34" t="str" cm="1">
        <f t="array" ref="S907">IF($BA907="","",INDEX(tblServicios[Imp. suplemento (€)],$BA907))</f>
        <v/>
      </c>
      <c r="T907" t="str" cm="1">
        <f t="array" ref="T907">IF($BA907="","",INDEX(tblServicios[Tipo suplemento],$BA907))</f>
        <v/>
      </c>
      <c r="U907" s="2" t="str">
        <f t="shared" si="16"/>
        <v/>
      </c>
      <c r="V907" t="str" cm="1">
        <f t="array" ref="V907">IF($BA907="","",IF(INDEX(tblServicios[Conductor],$BA907)=$T$2,"Conductor",IF(INDEX(tblServicios[Personal adicional],$BA907)=$T$2,"Personal adicional","")))</f>
        <v/>
      </c>
      <c r="BA907" s="33" t="str" cm="1">
        <f t="array" ref="BA9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adicional]=$T$2))&gt;0)),ROW(A909)),"")</f>
        <v/>
      </c>
    </row>
    <row r="908" spans="15:53" x14ac:dyDescent="0.35">
      <c r="O908" s="1" t="str" cm="1">
        <f t="array" ref="O908">IF($BA908="","",INDEX(tblServicios[Fecha],$BA908))</f>
        <v/>
      </c>
      <c r="P908" t="str" cm="1">
        <f t="array" ref="P908">IF($BA908="","",INDEX(tblServicios[Contrato],$BA908))</f>
        <v/>
      </c>
      <c r="Q908" t="str" cm="1">
        <f t="array" ref="Q908">IF($BA908="","",INDEX(tblServicios[Vehículo],$BA908))</f>
        <v/>
      </c>
      <c r="R908" s="34" t="str" cm="1">
        <f t="array" ref="R908">IF($BA908="","",INDEX(tblServicios[Base imponible (€)],$BA908)-INDEX(tblServicios[Imp. suplemento (€)],$BA908))</f>
        <v/>
      </c>
      <c r="S908" s="34" t="str" cm="1">
        <f t="array" ref="S908">IF($BA908="","",INDEX(tblServicios[Imp. suplemento (€)],$BA908))</f>
        <v/>
      </c>
      <c r="T908" t="str" cm="1">
        <f t="array" ref="T908">IF($BA908="","",INDEX(tblServicios[Tipo suplemento],$BA908))</f>
        <v/>
      </c>
      <c r="U908" s="2" t="str">
        <f t="shared" si="16"/>
        <v/>
      </c>
      <c r="V908" t="str" cm="1">
        <f t="array" ref="V908">IF($BA908="","",IF(INDEX(tblServicios[Conductor],$BA908)=$T$2,"Conductor",IF(INDEX(tblServicios[Personal adicional],$BA908)=$T$2,"Personal adicional","")))</f>
        <v/>
      </c>
      <c r="BA908" s="33" t="str" cm="1">
        <f t="array" ref="BA9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adicional]=$T$2))&gt;0)),ROW(A910)),"")</f>
        <v/>
      </c>
    </row>
    <row r="909" spans="15:53" x14ac:dyDescent="0.35">
      <c r="O909" s="1" t="str" cm="1">
        <f t="array" ref="O909">IF($BA909="","",INDEX(tblServicios[Fecha],$BA909))</f>
        <v/>
      </c>
      <c r="P909" t="str" cm="1">
        <f t="array" ref="P909">IF($BA909="","",INDEX(tblServicios[Contrato],$BA909))</f>
        <v/>
      </c>
      <c r="Q909" t="str" cm="1">
        <f t="array" ref="Q909">IF($BA909="","",INDEX(tblServicios[Vehículo],$BA909))</f>
        <v/>
      </c>
      <c r="R909" s="34" t="str" cm="1">
        <f t="array" ref="R909">IF($BA909="","",INDEX(tblServicios[Base imponible (€)],$BA909)-INDEX(tblServicios[Imp. suplemento (€)],$BA909))</f>
        <v/>
      </c>
      <c r="S909" s="34" t="str" cm="1">
        <f t="array" ref="S909">IF($BA909="","",INDEX(tblServicios[Imp. suplemento (€)],$BA909))</f>
        <v/>
      </c>
      <c r="T909" t="str" cm="1">
        <f t="array" ref="T909">IF($BA909="","",INDEX(tblServicios[Tipo suplemento],$BA909))</f>
        <v/>
      </c>
      <c r="U909" s="2" t="str">
        <f t="shared" si="16"/>
        <v/>
      </c>
      <c r="V909" t="str" cm="1">
        <f t="array" ref="V909">IF($BA909="","",IF(INDEX(tblServicios[Conductor],$BA909)=$T$2,"Conductor",IF(INDEX(tblServicios[Personal adicional],$BA909)=$T$2,"Personal adicional","")))</f>
        <v/>
      </c>
      <c r="BA909" s="33" t="str" cm="1">
        <f t="array" ref="BA9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adicional]=$T$2))&gt;0)),ROW(A911)),"")</f>
        <v/>
      </c>
    </row>
    <row r="910" spans="15:53" x14ac:dyDescent="0.35">
      <c r="O910" s="1" t="str" cm="1">
        <f t="array" ref="O910">IF($BA910="","",INDEX(tblServicios[Fecha],$BA910))</f>
        <v/>
      </c>
      <c r="P910" t="str" cm="1">
        <f t="array" ref="P910">IF($BA910="","",INDEX(tblServicios[Contrato],$BA910))</f>
        <v/>
      </c>
      <c r="Q910" t="str" cm="1">
        <f t="array" ref="Q910">IF($BA910="","",INDEX(tblServicios[Vehículo],$BA910))</f>
        <v/>
      </c>
      <c r="R910" s="34" t="str" cm="1">
        <f t="array" ref="R910">IF($BA910="","",INDEX(tblServicios[Base imponible (€)],$BA910)-INDEX(tblServicios[Imp. suplemento (€)],$BA910))</f>
        <v/>
      </c>
      <c r="S910" s="34" t="str" cm="1">
        <f t="array" ref="S910">IF($BA910="","",INDEX(tblServicios[Imp. suplemento (€)],$BA910))</f>
        <v/>
      </c>
      <c r="T910" t="str" cm="1">
        <f t="array" ref="T910">IF($BA910="","",INDEX(tblServicios[Tipo suplemento],$BA910))</f>
        <v/>
      </c>
      <c r="U910" s="2" t="str">
        <f t="shared" si="16"/>
        <v/>
      </c>
      <c r="V910" t="str" cm="1">
        <f t="array" ref="V910">IF($BA910="","",IF(INDEX(tblServicios[Conductor],$BA910)=$T$2,"Conductor",IF(INDEX(tblServicios[Personal adicional],$BA910)=$T$2,"Personal adicional","")))</f>
        <v/>
      </c>
      <c r="BA910" s="33" t="str" cm="1">
        <f t="array" ref="BA9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adicional]=$T$2))&gt;0)),ROW(A912)),"")</f>
        <v/>
      </c>
    </row>
    <row r="911" spans="15:53" x14ac:dyDescent="0.35">
      <c r="O911" s="1" t="str" cm="1">
        <f t="array" ref="O911">IF($BA911="","",INDEX(tblServicios[Fecha],$BA911))</f>
        <v/>
      </c>
      <c r="P911" t="str" cm="1">
        <f t="array" ref="P911">IF($BA911="","",INDEX(tblServicios[Contrato],$BA911))</f>
        <v/>
      </c>
      <c r="Q911" t="str" cm="1">
        <f t="array" ref="Q911">IF($BA911="","",INDEX(tblServicios[Vehículo],$BA911))</f>
        <v/>
      </c>
      <c r="R911" s="34" t="str" cm="1">
        <f t="array" ref="R911">IF($BA911="","",INDEX(tblServicios[Base imponible (€)],$BA911)-INDEX(tblServicios[Imp. suplemento (€)],$BA911))</f>
        <v/>
      </c>
      <c r="S911" s="34" t="str" cm="1">
        <f t="array" ref="S911">IF($BA911="","",INDEX(tblServicios[Imp. suplemento (€)],$BA911))</f>
        <v/>
      </c>
      <c r="T911" t="str" cm="1">
        <f t="array" ref="T911">IF($BA911="","",INDEX(tblServicios[Tipo suplemento],$BA911))</f>
        <v/>
      </c>
      <c r="U911" s="2" t="str">
        <f t="shared" si="16"/>
        <v/>
      </c>
      <c r="V911" t="str" cm="1">
        <f t="array" ref="V911">IF($BA911="","",IF(INDEX(tblServicios[Conductor],$BA911)=$T$2,"Conductor",IF(INDEX(tblServicios[Personal adicional],$BA911)=$T$2,"Personal adicional","")))</f>
        <v/>
      </c>
      <c r="BA911" s="33" t="str" cm="1">
        <f t="array" ref="BA9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adicional]=$T$2))&gt;0)),ROW(A913)),"")</f>
        <v/>
      </c>
    </row>
    <row r="912" spans="15:53" x14ac:dyDescent="0.35">
      <c r="O912" s="1" t="str" cm="1">
        <f t="array" ref="O912">IF($BA912="","",INDEX(tblServicios[Fecha],$BA912))</f>
        <v/>
      </c>
      <c r="P912" t="str" cm="1">
        <f t="array" ref="P912">IF($BA912="","",INDEX(tblServicios[Contrato],$BA912))</f>
        <v/>
      </c>
      <c r="Q912" t="str" cm="1">
        <f t="array" ref="Q912">IF($BA912="","",INDEX(tblServicios[Vehículo],$BA912))</f>
        <v/>
      </c>
      <c r="R912" s="34" t="str" cm="1">
        <f t="array" ref="R912">IF($BA912="","",INDEX(tblServicios[Base imponible (€)],$BA912)-INDEX(tblServicios[Imp. suplemento (€)],$BA912))</f>
        <v/>
      </c>
      <c r="S912" s="34" t="str" cm="1">
        <f t="array" ref="S912">IF($BA912="","",INDEX(tblServicios[Imp. suplemento (€)],$BA912))</f>
        <v/>
      </c>
      <c r="T912" t="str" cm="1">
        <f t="array" ref="T912">IF($BA912="","",INDEX(tblServicios[Tipo suplemento],$BA912))</f>
        <v/>
      </c>
      <c r="U912" s="2" t="str">
        <f t="shared" si="16"/>
        <v/>
      </c>
      <c r="V912" t="str" cm="1">
        <f t="array" ref="V912">IF($BA912="","",IF(INDEX(tblServicios[Conductor],$BA912)=$T$2,"Conductor",IF(INDEX(tblServicios[Personal adicional],$BA912)=$T$2,"Personal adicional","")))</f>
        <v/>
      </c>
      <c r="BA912" s="33" t="str" cm="1">
        <f t="array" ref="BA9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adicional]=$T$2))&gt;0)),ROW(A914)),"")</f>
        <v/>
      </c>
    </row>
    <row r="913" spans="15:53" x14ac:dyDescent="0.35">
      <c r="O913" s="1" t="str" cm="1">
        <f t="array" ref="O913">IF($BA913="","",INDEX(tblServicios[Fecha],$BA913))</f>
        <v/>
      </c>
      <c r="P913" t="str" cm="1">
        <f t="array" ref="P913">IF($BA913="","",INDEX(tblServicios[Contrato],$BA913))</f>
        <v/>
      </c>
      <c r="Q913" t="str" cm="1">
        <f t="array" ref="Q913">IF($BA913="","",INDEX(tblServicios[Vehículo],$BA913))</f>
        <v/>
      </c>
      <c r="R913" s="34" t="str" cm="1">
        <f t="array" ref="R913">IF($BA913="","",INDEX(tblServicios[Base imponible (€)],$BA913)-INDEX(tblServicios[Imp. suplemento (€)],$BA913))</f>
        <v/>
      </c>
      <c r="S913" s="34" t="str" cm="1">
        <f t="array" ref="S913">IF($BA913="","",INDEX(tblServicios[Imp. suplemento (€)],$BA913))</f>
        <v/>
      </c>
      <c r="T913" t="str" cm="1">
        <f t="array" ref="T913">IF($BA913="","",INDEX(tblServicios[Tipo suplemento],$BA913))</f>
        <v/>
      </c>
      <c r="U913" s="2" t="str">
        <f t="shared" si="16"/>
        <v/>
      </c>
      <c r="V913" t="str" cm="1">
        <f t="array" ref="V913">IF($BA913="","",IF(INDEX(tblServicios[Conductor],$BA913)=$T$2,"Conductor",IF(INDEX(tblServicios[Personal adicional],$BA913)=$T$2,"Personal adicional","")))</f>
        <v/>
      </c>
      <c r="BA913" s="33" t="str" cm="1">
        <f t="array" ref="BA9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adicional]=$T$2))&gt;0)),ROW(A915)),"")</f>
        <v/>
      </c>
    </row>
    <row r="914" spans="15:53" x14ac:dyDescent="0.35">
      <c r="O914" s="1" t="str" cm="1">
        <f t="array" ref="O914">IF($BA914="","",INDEX(tblServicios[Fecha],$BA914))</f>
        <v/>
      </c>
      <c r="P914" t="str" cm="1">
        <f t="array" ref="P914">IF($BA914="","",INDEX(tblServicios[Contrato],$BA914))</f>
        <v/>
      </c>
      <c r="Q914" t="str" cm="1">
        <f t="array" ref="Q914">IF($BA914="","",INDEX(tblServicios[Vehículo],$BA914))</f>
        <v/>
      </c>
      <c r="R914" s="34" t="str" cm="1">
        <f t="array" ref="R914">IF($BA914="","",INDEX(tblServicios[Base imponible (€)],$BA914)-INDEX(tblServicios[Imp. suplemento (€)],$BA914))</f>
        <v/>
      </c>
      <c r="S914" s="34" t="str" cm="1">
        <f t="array" ref="S914">IF($BA914="","",INDEX(tblServicios[Imp. suplemento (€)],$BA914))</f>
        <v/>
      </c>
      <c r="T914" t="str" cm="1">
        <f t="array" ref="T914">IF($BA914="","",INDEX(tblServicios[Tipo suplemento],$BA914))</f>
        <v/>
      </c>
      <c r="U914" s="2" t="str">
        <f t="shared" si="16"/>
        <v/>
      </c>
      <c r="V914" t="str" cm="1">
        <f t="array" ref="V914">IF($BA914="","",IF(INDEX(tblServicios[Conductor],$BA914)=$T$2,"Conductor",IF(INDEX(tblServicios[Personal adicional],$BA914)=$T$2,"Personal adicional","")))</f>
        <v/>
      </c>
      <c r="BA914" s="33" t="str" cm="1">
        <f t="array" ref="BA9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adicional]=$T$2))&gt;0)),ROW(A916)),"")</f>
        <v/>
      </c>
    </row>
    <row r="915" spans="15:53" x14ac:dyDescent="0.35">
      <c r="O915" s="1" t="str" cm="1">
        <f t="array" ref="O915">IF($BA915="","",INDEX(tblServicios[Fecha],$BA915))</f>
        <v/>
      </c>
      <c r="P915" t="str" cm="1">
        <f t="array" ref="P915">IF($BA915="","",INDEX(tblServicios[Contrato],$BA915))</f>
        <v/>
      </c>
      <c r="Q915" t="str" cm="1">
        <f t="array" ref="Q915">IF($BA915="","",INDEX(tblServicios[Vehículo],$BA915))</f>
        <v/>
      </c>
      <c r="R915" s="34" t="str" cm="1">
        <f t="array" ref="R915">IF($BA915="","",INDEX(tblServicios[Base imponible (€)],$BA915)-INDEX(tblServicios[Imp. suplemento (€)],$BA915))</f>
        <v/>
      </c>
      <c r="S915" s="34" t="str" cm="1">
        <f t="array" ref="S915">IF($BA915="","",INDEX(tblServicios[Imp. suplemento (€)],$BA915))</f>
        <v/>
      </c>
      <c r="T915" t="str" cm="1">
        <f t="array" ref="T915">IF($BA915="","",INDEX(tblServicios[Tipo suplemento],$BA915))</f>
        <v/>
      </c>
      <c r="U915" s="2" t="str">
        <f t="shared" si="16"/>
        <v/>
      </c>
      <c r="V915" t="str" cm="1">
        <f t="array" ref="V915">IF($BA915="","",IF(INDEX(tblServicios[Conductor],$BA915)=$T$2,"Conductor",IF(INDEX(tblServicios[Personal adicional],$BA915)=$T$2,"Personal adicional","")))</f>
        <v/>
      </c>
      <c r="BA915" s="33" t="str" cm="1">
        <f t="array" ref="BA9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adicional]=$T$2))&gt;0)),ROW(A917)),"")</f>
        <v/>
      </c>
    </row>
    <row r="916" spans="15:53" x14ac:dyDescent="0.35">
      <c r="O916" s="1" t="str" cm="1">
        <f t="array" ref="O916">IF($BA916="","",INDEX(tblServicios[Fecha],$BA916))</f>
        <v/>
      </c>
      <c r="P916" t="str" cm="1">
        <f t="array" ref="P916">IF($BA916="","",INDEX(tblServicios[Contrato],$BA916))</f>
        <v/>
      </c>
      <c r="Q916" t="str" cm="1">
        <f t="array" ref="Q916">IF($BA916="","",INDEX(tblServicios[Vehículo],$BA916))</f>
        <v/>
      </c>
      <c r="R916" s="34" t="str" cm="1">
        <f t="array" ref="R916">IF($BA916="","",INDEX(tblServicios[Base imponible (€)],$BA916)-INDEX(tblServicios[Imp. suplemento (€)],$BA916))</f>
        <v/>
      </c>
      <c r="S916" s="34" t="str" cm="1">
        <f t="array" ref="S916">IF($BA916="","",INDEX(tblServicios[Imp. suplemento (€)],$BA916))</f>
        <v/>
      </c>
      <c r="T916" t="str" cm="1">
        <f t="array" ref="T916">IF($BA916="","",INDEX(tblServicios[Tipo suplemento],$BA916))</f>
        <v/>
      </c>
      <c r="U916" s="2" t="str">
        <f t="shared" si="16"/>
        <v/>
      </c>
      <c r="V916" t="str" cm="1">
        <f t="array" ref="V916">IF($BA916="","",IF(INDEX(tblServicios[Conductor],$BA916)=$T$2,"Conductor",IF(INDEX(tblServicios[Personal adicional],$BA916)=$T$2,"Personal adicional","")))</f>
        <v/>
      </c>
      <c r="BA916" s="33" t="str" cm="1">
        <f t="array" ref="BA9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adicional]=$T$2))&gt;0)),ROW(A918)),"")</f>
        <v/>
      </c>
    </row>
    <row r="917" spans="15:53" x14ac:dyDescent="0.35">
      <c r="O917" s="1" t="str" cm="1">
        <f t="array" ref="O917">IF($BA917="","",INDEX(tblServicios[Fecha],$BA917))</f>
        <v/>
      </c>
      <c r="P917" t="str" cm="1">
        <f t="array" ref="P917">IF($BA917="","",INDEX(tblServicios[Contrato],$BA917))</f>
        <v/>
      </c>
      <c r="Q917" t="str" cm="1">
        <f t="array" ref="Q917">IF($BA917="","",INDEX(tblServicios[Vehículo],$BA917))</f>
        <v/>
      </c>
      <c r="R917" s="34" t="str" cm="1">
        <f t="array" ref="R917">IF($BA917="","",INDEX(tblServicios[Base imponible (€)],$BA917)-INDEX(tblServicios[Imp. suplemento (€)],$BA917))</f>
        <v/>
      </c>
      <c r="S917" s="34" t="str" cm="1">
        <f t="array" ref="S917">IF($BA917="","",INDEX(tblServicios[Imp. suplemento (€)],$BA917))</f>
        <v/>
      </c>
      <c r="T917" t="str" cm="1">
        <f t="array" ref="T917">IF($BA917="","",INDEX(tblServicios[Tipo suplemento],$BA917))</f>
        <v/>
      </c>
      <c r="U917" s="2" t="str">
        <f t="shared" si="16"/>
        <v/>
      </c>
      <c r="V917" t="str" cm="1">
        <f t="array" ref="V917">IF($BA917="","",IF(INDEX(tblServicios[Conductor],$BA917)=$T$2,"Conductor",IF(INDEX(tblServicios[Personal adicional],$BA917)=$T$2,"Personal adicional","")))</f>
        <v/>
      </c>
      <c r="BA917" s="33" t="str" cm="1">
        <f t="array" ref="BA9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adicional]=$T$2))&gt;0)),ROW(A919)),"")</f>
        <v/>
      </c>
    </row>
    <row r="918" spans="15:53" x14ac:dyDescent="0.35">
      <c r="O918" s="1" t="str" cm="1">
        <f t="array" ref="O918">IF($BA918="","",INDEX(tblServicios[Fecha],$BA918))</f>
        <v/>
      </c>
      <c r="P918" t="str" cm="1">
        <f t="array" ref="P918">IF($BA918="","",INDEX(tblServicios[Contrato],$BA918))</f>
        <v/>
      </c>
      <c r="Q918" t="str" cm="1">
        <f t="array" ref="Q918">IF($BA918="","",INDEX(tblServicios[Vehículo],$BA918))</f>
        <v/>
      </c>
      <c r="R918" s="34" t="str" cm="1">
        <f t="array" ref="R918">IF($BA918="","",INDEX(tblServicios[Base imponible (€)],$BA918)-INDEX(tblServicios[Imp. suplemento (€)],$BA918))</f>
        <v/>
      </c>
      <c r="S918" s="34" t="str" cm="1">
        <f t="array" ref="S918">IF($BA918="","",INDEX(tblServicios[Imp. suplemento (€)],$BA918))</f>
        <v/>
      </c>
      <c r="T918" t="str" cm="1">
        <f t="array" ref="T918">IF($BA918="","",INDEX(tblServicios[Tipo suplemento],$BA918))</f>
        <v/>
      </c>
      <c r="U918" s="2" t="str">
        <f t="shared" si="16"/>
        <v/>
      </c>
      <c r="V918" t="str" cm="1">
        <f t="array" ref="V918">IF($BA918="","",IF(INDEX(tblServicios[Conductor],$BA918)=$T$2,"Conductor",IF(INDEX(tblServicios[Personal adicional],$BA918)=$T$2,"Personal adicional","")))</f>
        <v/>
      </c>
      <c r="BA918" s="33" t="str" cm="1">
        <f t="array" ref="BA9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adicional]=$T$2))&gt;0)),ROW(A920)),"")</f>
        <v/>
      </c>
    </row>
    <row r="919" spans="15:53" x14ac:dyDescent="0.35">
      <c r="O919" s="1" t="str" cm="1">
        <f t="array" ref="O919">IF($BA919="","",INDEX(tblServicios[Fecha],$BA919))</f>
        <v/>
      </c>
      <c r="P919" t="str" cm="1">
        <f t="array" ref="P919">IF($BA919="","",INDEX(tblServicios[Contrato],$BA919))</f>
        <v/>
      </c>
      <c r="Q919" t="str" cm="1">
        <f t="array" ref="Q919">IF($BA919="","",INDEX(tblServicios[Vehículo],$BA919))</f>
        <v/>
      </c>
      <c r="R919" s="34" t="str" cm="1">
        <f t="array" ref="R919">IF($BA919="","",INDEX(tblServicios[Base imponible (€)],$BA919)-INDEX(tblServicios[Imp. suplemento (€)],$BA919))</f>
        <v/>
      </c>
      <c r="S919" s="34" t="str" cm="1">
        <f t="array" ref="S919">IF($BA919="","",INDEX(tblServicios[Imp. suplemento (€)],$BA919))</f>
        <v/>
      </c>
      <c r="T919" t="str" cm="1">
        <f t="array" ref="T919">IF($BA919="","",INDEX(tblServicios[Tipo suplemento],$BA919))</f>
        <v/>
      </c>
      <c r="U919" s="2" t="str">
        <f t="shared" si="16"/>
        <v/>
      </c>
      <c r="V919" t="str" cm="1">
        <f t="array" ref="V919">IF($BA919="","",IF(INDEX(tblServicios[Conductor],$BA919)=$T$2,"Conductor",IF(INDEX(tblServicios[Personal adicional],$BA919)=$T$2,"Personal adicional","")))</f>
        <v/>
      </c>
      <c r="BA919" s="33" t="str" cm="1">
        <f t="array" ref="BA9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adicional]=$T$2))&gt;0)),ROW(A921)),"")</f>
        <v/>
      </c>
    </row>
    <row r="920" spans="15:53" x14ac:dyDescent="0.35">
      <c r="O920" s="1" t="str" cm="1">
        <f t="array" ref="O920">IF($BA920="","",INDEX(tblServicios[Fecha],$BA920))</f>
        <v/>
      </c>
      <c r="P920" t="str" cm="1">
        <f t="array" ref="P920">IF($BA920="","",INDEX(tblServicios[Contrato],$BA920))</f>
        <v/>
      </c>
      <c r="Q920" t="str" cm="1">
        <f t="array" ref="Q920">IF($BA920="","",INDEX(tblServicios[Vehículo],$BA920))</f>
        <v/>
      </c>
      <c r="R920" s="34" t="str" cm="1">
        <f t="array" ref="R920">IF($BA920="","",INDEX(tblServicios[Base imponible (€)],$BA920)-INDEX(tblServicios[Imp. suplemento (€)],$BA920))</f>
        <v/>
      </c>
      <c r="S920" s="34" t="str" cm="1">
        <f t="array" ref="S920">IF($BA920="","",INDEX(tblServicios[Imp. suplemento (€)],$BA920))</f>
        <v/>
      </c>
      <c r="T920" t="str" cm="1">
        <f t="array" ref="T920">IF($BA920="","",INDEX(tblServicios[Tipo suplemento],$BA920))</f>
        <v/>
      </c>
      <c r="U920" s="2" t="str">
        <f t="shared" si="16"/>
        <v/>
      </c>
      <c r="V920" t="str" cm="1">
        <f t="array" ref="V920">IF($BA920="","",IF(INDEX(tblServicios[Conductor],$BA920)=$T$2,"Conductor",IF(INDEX(tblServicios[Personal adicional],$BA920)=$T$2,"Personal adicional","")))</f>
        <v/>
      </c>
      <c r="BA920" s="33" t="str" cm="1">
        <f t="array" ref="BA9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adicional]=$T$2))&gt;0)),ROW(A922)),"")</f>
        <v/>
      </c>
    </row>
    <row r="921" spans="15:53" x14ac:dyDescent="0.35">
      <c r="O921" s="1" t="str" cm="1">
        <f t="array" ref="O921">IF($BA921="","",INDEX(tblServicios[Fecha],$BA921))</f>
        <v/>
      </c>
      <c r="P921" t="str" cm="1">
        <f t="array" ref="P921">IF($BA921="","",INDEX(tblServicios[Contrato],$BA921))</f>
        <v/>
      </c>
      <c r="Q921" t="str" cm="1">
        <f t="array" ref="Q921">IF($BA921="","",INDEX(tblServicios[Vehículo],$BA921))</f>
        <v/>
      </c>
      <c r="R921" s="34" t="str" cm="1">
        <f t="array" ref="R921">IF($BA921="","",INDEX(tblServicios[Base imponible (€)],$BA921)-INDEX(tblServicios[Imp. suplemento (€)],$BA921))</f>
        <v/>
      </c>
      <c r="S921" s="34" t="str" cm="1">
        <f t="array" ref="S921">IF($BA921="","",INDEX(tblServicios[Imp. suplemento (€)],$BA921))</f>
        <v/>
      </c>
      <c r="T921" t="str" cm="1">
        <f t="array" ref="T921">IF($BA921="","",INDEX(tblServicios[Tipo suplemento],$BA921))</f>
        <v/>
      </c>
      <c r="U921" s="2" t="str">
        <f t="shared" si="16"/>
        <v/>
      </c>
      <c r="V921" t="str" cm="1">
        <f t="array" ref="V921">IF($BA921="","",IF(INDEX(tblServicios[Conductor],$BA921)=$T$2,"Conductor",IF(INDEX(tblServicios[Personal adicional],$BA921)=$T$2,"Personal adicional","")))</f>
        <v/>
      </c>
      <c r="BA921" s="33" t="str" cm="1">
        <f t="array" ref="BA9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adicional]=$T$2))&gt;0)),ROW(A923)),"")</f>
        <v/>
      </c>
    </row>
    <row r="922" spans="15:53" x14ac:dyDescent="0.35">
      <c r="O922" s="1" t="str" cm="1">
        <f t="array" ref="O922">IF($BA922="","",INDEX(tblServicios[Fecha],$BA922))</f>
        <v/>
      </c>
      <c r="P922" t="str" cm="1">
        <f t="array" ref="P922">IF($BA922="","",INDEX(tblServicios[Contrato],$BA922))</f>
        <v/>
      </c>
      <c r="Q922" t="str" cm="1">
        <f t="array" ref="Q922">IF($BA922="","",INDEX(tblServicios[Vehículo],$BA922))</f>
        <v/>
      </c>
      <c r="R922" s="34" t="str" cm="1">
        <f t="array" ref="R922">IF($BA922="","",INDEX(tblServicios[Base imponible (€)],$BA922)-INDEX(tblServicios[Imp. suplemento (€)],$BA922))</f>
        <v/>
      </c>
      <c r="S922" s="34" t="str" cm="1">
        <f t="array" ref="S922">IF($BA922="","",INDEX(tblServicios[Imp. suplemento (€)],$BA922))</f>
        <v/>
      </c>
      <c r="T922" t="str" cm="1">
        <f t="array" ref="T922">IF($BA922="","",INDEX(tblServicios[Tipo suplemento],$BA922))</f>
        <v/>
      </c>
      <c r="U922" s="2" t="str">
        <f t="shared" si="16"/>
        <v/>
      </c>
      <c r="V922" t="str" cm="1">
        <f t="array" ref="V922">IF($BA922="","",IF(INDEX(tblServicios[Conductor],$BA922)=$T$2,"Conductor",IF(INDEX(tblServicios[Personal adicional],$BA922)=$T$2,"Personal adicional","")))</f>
        <v/>
      </c>
      <c r="BA922" s="33" t="str" cm="1">
        <f t="array" ref="BA9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adicional]=$T$2))&gt;0)),ROW(A924)),"")</f>
        <v/>
      </c>
    </row>
    <row r="923" spans="15:53" x14ac:dyDescent="0.35">
      <c r="O923" s="1" t="str" cm="1">
        <f t="array" ref="O923">IF($BA923="","",INDEX(tblServicios[Fecha],$BA923))</f>
        <v/>
      </c>
      <c r="P923" t="str" cm="1">
        <f t="array" ref="P923">IF($BA923="","",INDEX(tblServicios[Contrato],$BA923))</f>
        <v/>
      </c>
      <c r="Q923" t="str" cm="1">
        <f t="array" ref="Q923">IF($BA923="","",INDEX(tblServicios[Vehículo],$BA923))</f>
        <v/>
      </c>
      <c r="R923" s="34" t="str" cm="1">
        <f t="array" ref="R923">IF($BA923="","",INDEX(tblServicios[Base imponible (€)],$BA923)-INDEX(tblServicios[Imp. suplemento (€)],$BA923))</f>
        <v/>
      </c>
      <c r="S923" s="34" t="str" cm="1">
        <f t="array" ref="S923">IF($BA923="","",INDEX(tblServicios[Imp. suplemento (€)],$BA923))</f>
        <v/>
      </c>
      <c r="T923" t="str" cm="1">
        <f t="array" ref="T923">IF($BA923="","",INDEX(tblServicios[Tipo suplemento],$BA923))</f>
        <v/>
      </c>
      <c r="U923" s="2" t="str">
        <f t="shared" si="16"/>
        <v/>
      </c>
      <c r="V923" t="str" cm="1">
        <f t="array" ref="V923">IF($BA923="","",IF(INDEX(tblServicios[Conductor],$BA923)=$T$2,"Conductor",IF(INDEX(tblServicios[Personal adicional],$BA923)=$T$2,"Personal adicional","")))</f>
        <v/>
      </c>
      <c r="BA923" s="33" t="str" cm="1">
        <f t="array" ref="BA9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adicional]=$T$2))&gt;0)),ROW(A925)),"")</f>
        <v/>
      </c>
    </row>
    <row r="924" spans="15:53" x14ac:dyDescent="0.35">
      <c r="O924" s="1" t="str" cm="1">
        <f t="array" ref="O924">IF($BA924="","",INDEX(tblServicios[Fecha],$BA924))</f>
        <v/>
      </c>
      <c r="P924" t="str" cm="1">
        <f t="array" ref="P924">IF($BA924="","",INDEX(tblServicios[Contrato],$BA924))</f>
        <v/>
      </c>
      <c r="Q924" t="str" cm="1">
        <f t="array" ref="Q924">IF($BA924="","",INDEX(tblServicios[Vehículo],$BA924))</f>
        <v/>
      </c>
      <c r="R924" s="34" t="str" cm="1">
        <f t="array" ref="R924">IF($BA924="","",INDEX(tblServicios[Base imponible (€)],$BA924)-INDEX(tblServicios[Imp. suplemento (€)],$BA924))</f>
        <v/>
      </c>
      <c r="S924" s="34" t="str" cm="1">
        <f t="array" ref="S924">IF($BA924="","",INDEX(tblServicios[Imp. suplemento (€)],$BA924))</f>
        <v/>
      </c>
      <c r="T924" t="str" cm="1">
        <f t="array" ref="T924">IF($BA924="","",INDEX(tblServicios[Tipo suplemento],$BA924))</f>
        <v/>
      </c>
      <c r="U924" s="2" t="str">
        <f t="shared" si="16"/>
        <v/>
      </c>
      <c r="V924" t="str" cm="1">
        <f t="array" ref="V924">IF($BA924="","",IF(INDEX(tblServicios[Conductor],$BA924)=$T$2,"Conductor",IF(INDEX(tblServicios[Personal adicional],$BA924)=$T$2,"Personal adicional","")))</f>
        <v/>
      </c>
      <c r="BA924" s="33" t="str" cm="1">
        <f t="array" ref="BA9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adicional]=$T$2))&gt;0)),ROW(A926)),"")</f>
        <v/>
      </c>
    </row>
    <row r="925" spans="15:53" x14ac:dyDescent="0.35">
      <c r="O925" s="1" t="str" cm="1">
        <f t="array" ref="O925">IF($BA925="","",INDEX(tblServicios[Fecha],$BA925))</f>
        <v/>
      </c>
      <c r="P925" t="str" cm="1">
        <f t="array" ref="P925">IF($BA925="","",INDEX(tblServicios[Contrato],$BA925))</f>
        <v/>
      </c>
      <c r="Q925" t="str" cm="1">
        <f t="array" ref="Q925">IF($BA925="","",INDEX(tblServicios[Vehículo],$BA925))</f>
        <v/>
      </c>
      <c r="R925" s="34" t="str" cm="1">
        <f t="array" ref="R925">IF($BA925="","",INDEX(tblServicios[Base imponible (€)],$BA925)-INDEX(tblServicios[Imp. suplemento (€)],$BA925))</f>
        <v/>
      </c>
      <c r="S925" s="34" t="str" cm="1">
        <f t="array" ref="S925">IF($BA925="","",INDEX(tblServicios[Imp. suplemento (€)],$BA925))</f>
        <v/>
      </c>
      <c r="T925" t="str" cm="1">
        <f t="array" ref="T925">IF($BA925="","",INDEX(tblServicios[Tipo suplemento],$BA925))</f>
        <v/>
      </c>
      <c r="U925" s="2" t="str">
        <f t="shared" si="16"/>
        <v/>
      </c>
      <c r="V925" t="str" cm="1">
        <f t="array" ref="V925">IF($BA925="","",IF(INDEX(tblServicios[Conductor],$BA925)=$T$2,"Conductor",IF(INDEX(tblServicios[Personal adicional],$BA925)=$T$2,"Personal adicional","")))</f>
        <v/>
      </c>
      <c r="BA925" s="33" t="str" cm="1">
        <f t="array" ref="BA9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adicional]=$T$2))&gt;0)),ROW(A927)),"")</f>
        <v/>
      </c>
    </row>
    <row r="926" spans="15:53" x14ac:dyDescent="0.35">
      <c r="O926" s="1" t="str" cm="1">
        <f t="array" ref="O926">IF($BA926="","",INDEX(tblServicios[Fecha],$BA926))</f>
        <v/>
      </c>
      <c r="P926" t="str" cm="1">
        <f t="array" ref="P926">IF($BA926="","",INDEX(tblServicios[Contrato],$BA926))</f>
        <v/>
      </c>
      <c r="Q926" t="str" cm="1">
        <f t="array" ref="Q926">IF($BA926="","",INDEX(tblServicios[Vehículo],$BA926))</f>
        <v/>
      </c>
      <c r="R926" s="34" t="str" cm="1">
        <f t="array" ref="R926">IF($BA926="","",INDEX(tblServicios[Base imponible (€)],$BA926)-INDEX(tblServicios[Imp. suplemento (€)],$BA926))</f>
        <v/>
      </c>
      <c r="S926" s="34" t="str" cm="1">
        <f t="array" ref="S926">IF($BA926="","",INDEX(tblServicios[Imp. suplemento (€)],$BA926))</f>
        <v/>
      </c>
      <c r="T926" t="str" cm="1">
        <f t="array" ref="T926">IF($BA926="","",INDEX(tblServicios[Tipo suplemento],$BA926))</f>
        <v/>
      </c>
      <c r="U926" s="2" t="str">
        <f t="shared" si="16"/>
        <v/>
      </c>
      <c r="V926" t="str" cm="1">
        <f t="array" ref="V926">IF($BA926="","",IF(INDEX(tblServicios[Conductor],$BA926)=$T$2,"Conductor",IF(INDEX(tblServicios[Personal adicional],$BA926)=$T$2,"Personal adicional","")))</f>
        <v/>
      </c>
      <c r="BA926" s="33" t="str" cm="1">
        <f t="array" ref="BA9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adicional]=$T$2))&gt;0)),ROW(A928)),"")</f>
        <v/>
      </c>
    </row>
    <row r="927" spans="15:53" x14ac:dyDescent="0.35">
      <c r="O927" s="1" t="str" cm="1">
        <f t="array" ref="O927">IF($BA927="","",INDEX(tblServicios[Fecha],$BA927))</f>
        <v/>
      </c>
      <c r="P927" t="str" cm="1">
        <f t="array" ref="P927">IF($BA927="","",INDEX(tblServicios[Contrato],$BA927))</f>
        <v/>
      </c>
      <c r="Q927" t="str" cm="1">
        <f t="array" ref="Q927">IF($BA927="","",INDEX(tblServicios[Vehículo],$BA927))</f>
        <v/>
      </c>
      <c r="R927" s="34" t="str" cm="1">
        <f t="array" ref="R927">IF($BA927="","",INDEX(tblServicios[Base imponible (€)],$BA927)-INDEX(tblServicios[Imp. suplemento (€)],$BA927))</f>
        <v/>
      </c>
      <c r="S927" s="34" t="str" cm="1">
        <f t="array" ref="S927">IF($BA927="","",INDEX(tblServicios[Imp. suplemento (€)],$BA927))</f>
        <v/>
      </c>
      <c r="T927" t="str" cm="1">
        <f t="array" ref="T927">IF($BA927="","",INDEX(tblServicios[Tipo suplemento],$BA927))</f>
        <v/>
      </c>
      <c r="U927" s="2" t="str">
        <f t="shared" si="16"/>
        <v/>
      </c>
      <c r="V927" t="str" cm="1">
        <f t="array" ref="V927">IF($BA927="","",IF(INDEX(tblServicios[Conductor],$BA927)=$T$2,"Conductor",IF(INDEX(tblServicios[Personal adicional],$BA927)=$T$2,"Personal adicional","")))</f>
        <v/>
      </c>
      <c r="BA927" s="33" t="str" cm="1">
        <f t="array" ref="BA9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adicional]=$T$2))&gt;0)),ROW(A929)),"")</f>
        <v/>
      </c>
    </row>
    <row r="928" spans="15:53" x14ac:dyDescent="0.35">
      <c r="O928" s="1" t="str" cm="1">
        <f t="array" ref="O928">IF($BA928="","",INDEX(tblServicios[Fecha],$BA928))</f>
        <v/>
      </c>
      <c r="P928" t="str" cm="1">
        <f t="array" ref="P928">IF($BA928="","",INDEX(tblServicios[Contrato],$BA928))</f>
        <v/>
      </c>
      <c r="Q928" t="str" cm="1">
        <f t="array" ref="Q928">IF($BA928="","",INDEX(tblServicios[Vehículo],$BA928))</f>
        <v/>
      </c>
      <c r="R928" s="34" t="str" cm="1">
        <f t="array" ref="R928">IF($BA928="","",INDEX(tblServicios[Base imponible (€)],$BA928)-INDEX(tblServicios[Imp. suplemento (€)],$BA928))</f>
        <v/>
      </c>
      <c r="S928" s="34" t="str" cm="1">
        <f t="array" ref="S928">IF($BA928="","",INDEX(tblServicios[Imp. suplemento (€)],$BA928))</f>
        <v/>
      </c>
      <c r="T928" t="str" cm="1">
        <f t="array" ref="T928">IF($BA928="","",INDEX(tblServicios[Tipo suplemento],$BA928))</f>
        <v/>
      </c>
      <c r="U928" s="2" t="str">
        <f t="shared" si="16"/>
        <v/>
      </c>
      <c r="V928" t="str" cm="1">
        <f t="array" ref="V928">IF($BA928="","",IF(INDEX(tblServicios[Conductor],$BA928)=$T$2,"Conductor",IF(INDEX(tblServicios[Personal adicional],$BA928)=$T$2,"Personal adicional","")))</f>
        <v/>
      </c>
      <c r="BA928" s="33" t="str" cm="1">
        <f t="array" ref="BA9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adicional]=$T$2))&gt;0)),ROW(A930)),"")</f>
        <v/>
      </c>
    </row>
    <row r="929" spans="15:53" x14ac:dyDescent="0.35">
      <c r="O929" s="1" t="str" cm="1">
        <f t="array" ref="O929">IF($BA929="","",INDEX(tblServicios[Fecha],$BA929))</f>
        <v/>
      </c>
      <c r="P929" t="str" cm="1">
        <f t="array" ref="P929">IF($BA929="","",INDEX(tblServicios[Contrato],$BA929))</f>
        <v/>
      </c>
      <c r="Q929" t="str" cm="1">
        <f t="array" ref="Q929">IF($BA929="","",INDEX(tblServicios[Vehículo],$BA929))</f>
        <v/>
      </c>
      <c r="R929" s="34" t="str" cm="1">
        <f t="array" ref="R929">IF($BA929="","",INDEX(tblServicios[Base imponible (€)],$BA929)-INDEX(tblServicios[Imp. suplemento (€)],$BA929))</f>
        <v/>
      </c>
      <c r="S929" s="34" t="str" cm="1">
        <f t="array" ref="S929">IF($BA929="","",INDEX(tblServicios[Imp. suplemento (€)],$BA929))</f>
        <v/>
      </c>
      <c r="T929" t="str" cm="1">
        <f t="array" ref="T929">IF($BA929="","",INDEX(tblServicios[Tipo suplemento],$BA929))</f>
        <v/>
      </c>
      <c r="U929" s="2" t="str">
        <f t="shared" si="16"/>
        <v/>
      </c>
      <c r="V929" t="str" cm="1">
        <f t="array" ref="V929">IF($BA929="","",IF(INDEX(tblServicios[Conductor],$BA929)=$T$2,"Conductor",IF(INDEX(tblServicios[Personal adicional],$BA929)=$T$2,"Personal adicional","")))</f>
        <v/>
      </c>
      <c r="BA929" s="33" t="str" cm="1">
        <f t="array" ref="BA9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adicional]=$T$2))&gt;0)),ROW(A931)),"")</f>
        <v/>
      </c>
    </row>
    <row r="930" spans="15:53" x14ac:dyDescent="0.35">
      <c r="O930" s="1" t="str" cm="1">
        <f t="array" ref="O930">IF($BA930="","",INDEX(tblServicios[Fecha],$BA930))</f>
        <v/>
      </c>
      <c r="P930" t="str" cm="1">
        <f t="array" ref="P930">IF($BA930="","",INDEX(tblServicios[Contrato],$BA930))</f>
        <v/>
      </c>
      <c r="Q930" t="str" cm="1">
        <f t="array" ref="Q930">IF($BA930="","",INDEX(tblServicios[Vehículo],$BA930))</f>
        <v/>
      </c>
      <c r="R930" s="34" t="str" cm="1">
        <f t="array" ref="R930">IF($BA930="","",INDEX(tblServicios[Base imponible (€)],$BA930)-INDEX(tblServicios[Imp. suplemento (€)],$BA930))</f>
        <v/>
      </c>
      <c r="S930" s="34" t="str" cm="1">
        <f t="array" ref="S930">IF($BA930="","",INDEX(tblServicios[Imp. suplemento (€)],$BA930))</f>
        <v/>
      </c>
      <c r="T930" t="str" cm="1">
        <f t="array" ref="T930">IF($BA930="","",INDEX(tblServicios[Tipo suplemento],$BA930))</f>
        <v/>
      </c>
      <c r="U930" s="2" t="str">
        <f t="shared" si="16"/>
        <v/>
      </c>
      <c r="V930" t="str" cm="1">
        <f t="array" ref="V930">IF($BA930="","",IF(INDEX(tblServicios[Conductor],$BA930)=$T$2,"Conductor",IF(INDEX(tblServicios[Personal adicional],$BA930)=$T$2,"Personal adicional","")))</f>
        <v/>
      </c>
      <c r="BA930" s="33" t="str" cm="1">
        <f t="array" ref="BA9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adicional]=$T$2))&gt;0)),ROW(A932)),"")</f>
        <v/>
      </c>
    </row>
    <row r="931" spans="15:53" x14ac:dyDescent="0.35">
      <c r="O931" s="1" t="str" cm="1">
        <f t="array" ref="O931">IF($BA931="","",INDEX(tblServicios[Fecha],$BA931))</f>
        <v/>
      </c>
      <c r="P931" t="str" cm="1">
        <f t="array" ref="P931">IF($BA931="","",INDEX(tblServicios[Contrato],$BA931))</f>
        <v/>
      </c>
      <c r="Q931" t="str" cm="1">
        <f t="array" ref="Q931">IF($BA931="","",INDEX(tblServicios[Vehículo],$BA931))</f>
        <v/>
      </c>
      <c r="R931" s="34" t="str" cm="1">
        <f t="array" ref="R931">IF($BA931="","",INDEX(tblServicios[Base imponible (€)],$BA931)-INDEX(tblServicios[Imp. suplemento (€)],$BA931))</f>
        <v/>
      </c>
      <c r="S931" s="34" t="str" cm="1">
        <f t="array" ref="S931">IF($BA931="","",INDEX(tblServicios[Imp. suplemento (€)],$BA931))</f>
        <v/>
      </c>
      <c r="T931" t="str" cm="1">
        <f t="array" ref="T931">IF($BA931="","",INDEX(tblServicios[Tipo suplemento],$BA931))</f>
        <v/>
      </c>
      <c r="U931" s="2" t="str">
        <f t="shared" si="16"/>
        <v/>
      </c>
      <c r="V931" t="str" cm="1">
        <f t="array" ref="V931">IF($BA931="","",IF(INDEX(tblServicios[Conductor],$BA931)=$T$2,"Conductor",IF(INDEX(tblServicios[Personal adicional],$BA931)=$T$2,"Personal adicional","")))</f>
        <v/>
      </c>
      <c r="BA931" s="33" t="str" cm="1">
        <f t="array" ref="BA9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adicional]=$T$2))&gt;0)),ROW(A933)),"")</f>
        <v/>
      </c>
    </row>
    <row r="932" spans="15:53" x14ac:dyDescent="0.35">
      <c r="O932" s="1" t="str" cm="1">
        <f t="array" ref="O932">IF($BA932="","",INDEX(tblServicios[Fecha],$BA932))</f>
        <v/>
      </c>
      <c r="P932" t="str" cm="1">
        <f t="array" ref="P932">IF($BA932="","",INDEX(tblServicios[Contrato],$BA932))</f>
        <v/>
      </c>
      <c r="Q932" t="str" cm="1">
        <f t="array" ref="Q932">IF($BA932="","",INDEX(tblServicios[Vehículo],$BA932))</f>
        <v/>
      </c>
      <c r="R932" s="34" t="str" cm="1">
        <f t="array" ref="R932">IF($BA932="","",INDEX(tblServicios[Base imponible (€)],$BA932)-INDEX(tblServicios[Imp. suplemento (€)],$BA932))</f>
        <v/>
      </c>
      <c r="S932" s="34" t="str" cm="1">
        <f t="array" ref="S932">IF($BA932="","",INDEX(tblServicios[Imp. suplemento (€)],$BA932))</f>
        <v/>
      </c>
      <c r="T932" t="str" cm="1">
        <f t="array" ref="T932">IF($BA932="","",INDEX(tblServicios[Tipo suplemento],$BA932))</f>
        <v/>
      </c>
      <c r="U932" s="2" t="str">
        <f t="shared" si="16"/>
        <v/>
      </c>
      <c r="V932" t="str" cm="1">
        <f t="array" ref="V932">IF($BA932="","",IF(INDEX(tblServicios[Conductor],$BA932)=$T$2,"Conductor",IF(INDEX(tblServicios[Personal adicional],$BA932)=$T$2,"Personal adicional","")))</f>
        <v/>
      </c>
      <c r="BA932" s="33" t="str" cm="1">
        <f t="array" ref="BA9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adicional]=$T$2))&gt;0)),ROW(A934)),"")</f>
        <v/>
      </c>
    </row>
    <row r="933" spans="15:53" x14ac:dyDescent="0.35">
      <c r="O933" s="1" t="str" cm="1">
        <f t="array" ref="O933">IF($BA933="","",INDEX(tblServicios[Fecha],$BA933))</f>
        <v/>
      </c>
      <c r="P933" t="str" cm="1">
        <f t="array" ref="P933">IF($BA933="","",INDEX(tblServicios[Contrato],$BA933))</f>
        <v/>
      </c>
      <c r="Q933" t="str" cm="1">
        <f t="array" ref="Q933">IF($BA933="","",INDEX(tblServicios[Vehículo],$BA933))</f>
        <v/>
      </c>
      <c r="R933" s="34" t="str" cm="1">
        <f t="array" ref="R933">IF($BA933="","",INDEX(tblServicios[Base imponible (€)],$BA933)-INDEX(tblServicios[Imp. suplemento (€)],$BA933))</f>
        <v/>
      </c>
      <c r="S933" s="34" t="str" cm="1">
        <f t="array" ref="S933">IF($BA933="","",INDEX(tblServicios[Imp. suplemento (€)],$BA933))</f>
        <v/>
      </c>
      <c r="T933" t="str" cm="1">
        <f t="array" ref="T933">IF($BA933="","",INDEX(tblServicios[Tipo suplemento],$BA933))</f>
        <v/>
      </c>
      <c r="U933" s="2" t="str">
        <f t="shared" si="16"/>
        <v/>
      </c>
      <c r="V933" t="str" cm="1">
        <f t="array" ref="V933">IF($BA933="","",IF(INDEX(tblServicios[Conductor],$BA933)=$T$2,"Conductor",IF(INDEX(tblServicios[Personal adicional],$BA933)=$T$2,"Personal adicional","")))</f>
        <v/>
      </c>
      <c r="BA933" s="33" t="str" cm="1">
        <f t="array" ref="BA9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adicional]=$T$2))&gt;0)),ROW(A935)),"")</f>
        <v/>
      </c>
    </row>
    <row r="934" spans="15:53" x14ac:dyDescent="0.35">
      <c r="O934" s="1" t="str" cm="1">
        <f t="array" ref="O934">IF($BA934="","",INDEX(tblServicios[Fecha],$BA934))</f>
        <v/>
      </c>
      <c r="P934" t="str" cm="1">
        <f t="array" ref="P934">IF($BA934="","",INDEX(tblServicios[Contrato],$BA934))</f>
        <v/>
      </c>
      <c r="Q934" t="str" cm="1">
        <f t="array" ref="Q934">IF($BA934="","",INDEX(tblServicios[Vehículo],$BA934))</f>
        <v/>
      </c>
      <c r="R934" s="34" t="str" cm="1">
        <f t="array" ref="R934">IF($BA934="","",INDEX(tblServicios[Base imponible (€)],$BA934)-INDEX(tblServicios[Imp. suplemento (€)],$BA934))</f>
        <v/>
      </c>
      <c r="S934" s="34" t="str" cm="1">
        <f t="array" ref="S934">IF($BA934="","",INDEX(tblServicios[Imp. suplemento (€)],$BA934))</f>
        <v/>
      </c>
      <c r="T934" t="str" cm="1">
        <f t="array" ref="T934">IF($BA934="","",INDEX(tblServicios[Tipo suplemento],$BA934))</f>
        <v/>
      </c>
      <c r="U934" s="2" t="str">
        <f t="shared" si="16"/>
        <v/>
      </c>
      <c r="V934" t="str" cm="1">
        <f t="array" ref="V934">IF($BA934="","",IF(INDEX(tblServicios[Conductor],$BA934)=$T$2,"Conductor",IF(INDEX(tblServicios[Personal adicional],$BA934)=$T$2,"Personal adicional","")))</f>
        <v/>
      </c>
      <c r="BA934" s="33" t="str" cm="1">
        <f t="array" ref="BA9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adicional]=$T$2))&gt;0)),ROW(A936)),"")</f>
        <v/>
      </c>
    </row>
    <row r="935" spans="15:53" x14ac:dyDescent="0.35">
      <c r="O935" s="1" t="str" cm="1">
        <f t="array" ref="O935">IF($BA935="","",INDEX(tblServicios[Fecha],$BA935))</f>
        <v/>
      </c>
      <c r="P935" t="str" cm="1">
        <f t="array" ref="P935">IF($BA935="","",INDEX(tblServicios[Contrato],$BA935))</f>
        <v/>
      </c>
      <c r="Q935" t="str" cm="1">
        <f t="array" ref="Q935">IF($BA935="","",INDEX(tblServicios[Vehículo],$BA935))</f>
        <v/>
      </c>
      <c r="R935" s="34" t="str" cm="1">
        <f t="array" ref="R935">IF($BA935="","",INDEX(tblServicios[Base imponible (€)],$BA935)-INDEX(tblServicios[Imp. suplemento (€)],$BA935))</f>
        <v/>
      </c>
      <c r="S935" s="34" t="str" cm="1">
        <f t="array" ref="S935">IF($BA935="","",INDEX(tblServicios[Imp. suplemento (€)],$BA935))</f>
        <v/>
      </c>
      <c r="T935" t="str" cm="1">
        <f t="array" ref="T935">IF($BA935="","",INDEX(tblServicios[Tipo suplemento],$BA935))</f>
        <v/>
      </c>
      <c r="U935" s="2" t="str">
        <f t="shared" si="16"/>
        <v/>
      </c>
      <c r="V935" t="str" cm="1">
        <f t="array" ref="V935">IF($BA935="","",IF(INDEX(tblServicios[Conductor],$BA935)=$T$2,"Conductor",IF(INDEX(tblServicios[Personal adicional],$BA935)=$T$2,"Personal adicional","")))</f>
        <v/>
      </c>
      <c r="BA935" s="33" t="str" cm="1">
        <f t="array" ref="BA9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adicional]=$T$2))&gt;0)),ROW(A937)),"")</f>
        <v/>
      </c>
    </row>
    <row r="936" spans="15:53" x14ac:dyDescent="0.35">
      <c r="O936" s="1" t="str" cm="1">
        <f t="array" ref="O936">IF($BA936="","",INDEX(tblServicios[Fecha],$BA936))</f>
        <v/>
      </c>
      <c r="P936" t="str" cm="1">
        <f t="array" ref="P936">IF($BA936="","",INDEX(tblServicios[Contrato],$BA936))</f>
        <v/>
      </c>
      <c r="Q936" t="str" cm="1">
        <f t="array" ref="Q936">IF($BA936="","",INDEX(tblServicios[Vehículo],$BA936))</f>
        <v/>
      </c>
      <c r="R936" s="34" t="str" cm="1">
        <f t="array" ref="R936">IF($BA936="","",INDEX(tblServicios[Base imponible (€)],$BA936)-INDEX(tblServicios[Imp. suplemento (€)],$BA936))</f>
        <v/>
      </c>
      <c r="S936" s="34" t="str" cm="1">
        <f t="array" ref="S936">IF($BA936="","",INDEX(tblServicios[Imp. suplemento (€)],$BA936))</f>
        <v/>
      </c>
      <c r="T936" t="str" cm="1">
        <f t="array" ref="T936">IF($BA936="","",INDEX(tblServicios[Tipo suplemento],$BA936))</f>
        <v/>
      </c>
      <c r="U936" s="2" t="str">
        <f t="shared" si="16"/>
        <v/>
      </c>
      <c r="V936" t="str" cm="1">
        <f t="array" ref="V936">IF($BA936="","",IF(INDEX(tblServicios[Conductor],$BA936)=$T$2,"Conductor",IF(INDEX(tblServicios[Personal adicional],$BA936)=$T$2,"Personal adicional","")))</f>
        <v/>
      </c>
      <c r="BA936" s="33" t="str" cm="1">
        <f t="array" ref="BA9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adicional]=$T$2))&gt;0)),ROW(A938)),"")</f>
        <v/>
      </c>
    </row>
    <row r="937" spans="15:53" x14ac:dyDescent="0.35">
      <c r="O937" s="1" t="str" cm="1">
        <f t="array" ref="O937">IF($BA937="","",INDEX(tblServicios[Fecha],$BA937))</f>
        <v/>
      </c>
      <c r="P937" t="str" cm="1">
        <f t="array" ref="P937">IF($BA937="","",INDEX(tblServicios[Contrato],$BA937))</f>
        <v/>
      </c>
      <c r="Q937" t="str" cm="1">
        <f t="array" ref="Q937">IF($BA937="","",INDEX(tblServicios[Vehículo],$BA937))</f>
        <v/>
      </c>
      <c r="R937" s="34" t="str" cm="1">
        <f t="array" ref="R937">IF($BA937="","",INDEX(tblServicios[Base imponible (€)],$BA937)-INDEX(tblServicios[Imp. suplemento (€)],$BA937))</f>
        <v/>
      </c>
      <c r="S937" s="34" t="str" cm="1">
        <f t="array" ref="S937">IF($BA937="","",INDEX(tblServicios[Imp. suplemento (€)],$BA937))</f>
        <v/>
      </c>
      <c r="T937" t="str" cm="1">
        <f t="array" ref="T937">IF($BA937="","",INDEX(tblServicios[Tipo suplemento],$BA937))</f>
        <v/>
      </c>
      <c r="U937" s="2" t="str">
        <f t="shared" si="16"/>
        <v/>
      </c>
      <c r="V937" t="str" cm="1">
        <f t="array" ref="V937">IF($BA937="","",IF(INDEX(tblServicios[Conductor],$BA937)=$T$2,"Conductor",IF(INDEX(tblServicios[Personal adicional],$BA937)=$T$2,"Personal adicional","")))</f>
        <v/>
      </c>
      <c r="BA937" s="33" t="str" cm="1">
        <f t="array" ref="BA9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adicional]=$T$2))&gt;0)),ROW(A939)),"")</f>
        <v/>
      </c>
    </row>
    <row r="938" spans="15:53" x14ac:dyDescent="0.35">
      <c r="O938" s="1" t="str" cm="1">
        <f t="array" ref="O938">IF($BA938="","",INDEX(tblServicios[Fecha],$BA938))</f>
        <v/>
      </c>
      <c r="P938" t="str" cm="1">
        <f t="array" ref="P938">IF($BA938="","",INDEX(tblServicios[Contrato],$BA938))</f>
        <v/>
      </c>
      <c r="Q938" t="str" cm="1">
        <f t="array" ref="Q938">IF($BA938="","",INDEX(tblServicios[Vehículo],$BA938))</f>
        <v/>
      </c>
      <c r="R938" s="34" t="str" cm="1">
        <f t="array" ref="R938">IF($BA938="","",INDEX(tblServicios[Base imponible (€)],$BA938)-INDEX(tblServicios[Imp. suplemento (€)],$BA938))</f>
        <v/>
      </c>
      <c r="S938" s="34" t="str" cm="1">
        <f t="array" ref="S938">IF($BA938="","",INDEX(tblServicios[Imp. suplemento (€)],$BA938))</f>
        <v/>
      </c>
      <c r="T938" t="str" cm="1">
        <f t="array" ref="T938">IF($BA938="","",INDEX(tblServicios[Tipo suplemento],$BA938))</f>
        <v/>
      </c>
      <c r="U938" s="2" t="str">
        <f t="shared" si="16"/>
        <v/>
      </c>
      <c r="V938" t="str" cm="1">
        <f t="array" ref="V938">IF($BA938="","",IF(INDEX(tblServicios[Conductor],$BA938)=$T$2,"Conductor",IF(INDEX(tblServicios[Personal adicional],$BA938)=$T$2,"Personal adicional","")))</f>
        <v/>
      </c>
      <c r="BA938" s="33" t="str" cm="1">
        <f t="array" ref="BA9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adicional]=$T$2))&gt;0)),ROW(A940)),"")</f>
        <v/>
      </c>
    </row>
    <row r="939" spans="15:53" x14ac:dyDescent="0.35">
      <c r="O939" s="1" t="str" cm="1">
        <f t="array" ref="O939">IF($BA939="","",INDEX(tblServicios[Fecha],$BA939))</f>
        <v/>
      </c>
      <c r="P939" t="str" cm="1">
        <f t="array" ref="P939">IF($BA939="","",INDEX(tblServicios[Contrato],$BA939))</f>
        <v/>
      </c>
      <c r="Q939" t="str" cm="1">
        <f t="array" ref="Q939">IF($BA939="","",INDEX(tblServicios[Vehículo],$BA939))</f>
        <v/>
      </c>
      <c r="R939" s="34" t="str" cm="1">
        <f t="array" ref="R939">IF($BA939="","",INDEX(tblServicios[Base imponible (€)],$BA939)-INDEX(tblServicios[Imp. suplemento (€)],$BA939))</f>
        <v/>
      </c>
      <c r="S939" s="34" t="str" cm="1">
        <f t="array" ref="S939">IF($BA939="","",INDEX(tblServicios[Imp. suplemento (€)],$BA939))</f>
        <v/>
      </c>
      <c r="T939" t="str" cm="1">
        <f t="array" ref="T939">IF($BA939="","",INDEX(tblServicios[Tipo suplemento],$BA939))</f>
        <v/>
      </c>
      <c r="U939" s="2" t="str">
        <f t="shared" si="16"/>
        <v/>
      </c>
      <c r="V939" t="str" cm="1">
        <f t="array" ref="V939">IF($BA939="","",IF(INDEX(tblServicios[Conductor],$BA939)=$T$2,"Conductor",IF(INDEX(tblServicios[Personal adicional],$BA939)=$T$2,"Personal adicional","")))</f>
        <v/>
      </c>
      <c r="BA939" s="33" t="str" cm="1">
        <f t="array" ref="BA9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adicional]=$T$2))&gt;0)),ROW(A941)),"")</f>
        <v/>
      </c>
    </row>
    <row r="940" spans="15:53" x14ac:dyDescent="0.35">
      <c r="O940" s="1" t="str" cm="1">
        <f t="array" ref="O940">IF($BA940="","",INDEX(tblServicios[Fecha],$BA940))</f>
        <v/>
      </c>
      <c r="P940" t="str" cm="1">
        <f t="array" ref="P940">IF($BA940="","",INDEX(tblServicios[Contrato],$BA940))</f>
        <v/>
      </c>
      <c r="Q940" t="str" cm="1">
        <f t="array" ref="Q940">IF($BA940="","",INDEX(tblServicios[Vehículo],$BA940))</f>
        <v/>
      </c>
      <c r="R940" s="34" t="str" cm="1">
        <f t="array" ref="R940">IF($BA940="","",INDEX(tblServicios[Base imponible (€)],$BA940)-INDEX(tblServicios[Imp. suplemento (€)],$BA940))</f>
        <v/>
      </c>
      <c r="S940" s="34" t="str" cm="1">
        <f t="array" ref="S940">IF($BA940="","",INDEX(tblServicios[Imp. suplemento (€)],$BA940))</f>
        <v/>
      </c>
      <c r="T940" t="str" cm="1">
        <f t="array" ref="T940">IF($BA940="","",INDEX(tblServicios[Tipo suplemento],$BA940))</f>
        <v/>
      </c>
      <c r="U940" s="2" t="str">
        <f t="shared" si="16"/>
        <v/>
      </c>
      <c r="V940" t="str" cm="1">
        <f t="array" ref="V940">IF($BA940="","",IF(INDEX(tblServicios[Conductor],$BA940)=$T$2,"Conductor",IF(INDEX(tblServicios[Personal adicional],$BA940)=$T$2,"Personal adicional","")))</f>
        <v/>
      </c>
      <c r="BA940" s="33" t="str" cm="1">
        <f t="array" ref="BA9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adicional]=$T$2))&gt;0)),ROW(A942)),"")</f>
        <v/>
      </c>
    </row>
    <row r="941" spans="15:53" x14ac:dyDescent="0.35">
      <c r="O941" s="1" t="str" cm="1">
        <f t="array" ref="O941">IF($BA941="","",INDEX(tblServicios[Fecha],$BA941))</f>
        <v/>
      </c>
      <c r="P941" t="str" cm="1">
        <f t="array" ref="P941">IF($BA941="","",INDEX(tblServicios[Contrato],$BA941))</f>
        <v/>
      </c>
      <c r="Q941" t="str" cm="1">
        <f t="array" ref="Q941">IF($BA941="","",INDEX(tblServicios[Vehículo],$BA941))</f>
        <v/>
      </c>
      <c r="R941" s="34" t="str" cm="1">
        <f t="array" ref="R941">IF($BA941="","",INDEX(tblServicios[Base imponible (€)],$BA941)-INDEX(tblServicios[Imp. suplemento (€)],$BA941))</f>
        <v/>
      </c>
      <c r="S941" s="34" t="str" cm="1">
        <f t="array" ref="S941">IF($BA941="","",INDEX(tblServicios[Imp. suplemento (€)],$BA941))</f>
        <v/>
      </c>
      <c r="T941" t="str" cm="1">
        <f t="array" ref="T941">IF($BA941="","",INDEX(tblServicios[Tipo suplemento],$BA941))</f>
        <v/>
      </c>
      <c r="U941" s="2" t="str">
        <f t="shared" si="16"/>
        <v/>
      </c>
      <c r="V941" t="str" cm="1">
        <f t="array" ref="V941">IF($BA941="","",IF(INDEX(tblServicios[Conductor],$BA941)=$T$2,"Conductor",IF(INDEX(tblServicios[Personal adicional],$BA941)=$T$2,"Personal adicional","")))</f>
        <v/>
      </c>
      <c r="BA941" s="33" t="str" cm="1">
        <f t="array" ref="BA9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adicional]=$T$2))&gt;0)),ROW(A943)),"")</f>
        <v/>
      </c>
    </row>
    <row r="942" spans="15:53" x14ac:dyDescent="0.35">
      <c r="O942" s="1" t="str" cm="1">
        <f t="array" ref="O942">IF($BA942="","",INDEX(tblServicios[Fecha],$BA942))</f>
        <v/>
      </c>
      <c r="P942" t="str" cm="1">
        <f t="array" ref="P942">IF($BA942="","",INDEX(tblServicios[Contrato],$BA942))</f>
        <v/>
      </c>
      <c r="Q942" t="str" cm="1">
        <f t="array" ref="Q942">IF($BA942="","",INDEX(tblServicios[Vehículo],$BA942))</f>
        <v/>
      </c>
      <c r="R942" s="34" t="str" cm="1">
        <f t="array" ref="R942">IF($BA942="","",INDEX(tblServicios[Base imponible (€)],$BA942)-INDEX(tblServicios[Imp. suplemento (€)],$BA942))</f>
        <v/>
      </c>
      <c r="S942" s="34" t="str" cm="1">
        <f t="array" ref="S942">IF($BA942="","",INDEX(tblServicios[Imp. suplemento (€)],$BA942))</f>
        <v/>
      </c>
      <c r="T942" t="str" cm="1">
        <f t="array" ref="T942">IF($BA942="","",INDEX(tblServicios[Tipo suplemento],$BA942))</f>
        <v/>
      </c>
      <c r="U942" s="2" t="str">
        <f t="shared" si="16"/>
        <v/>
      </c>
      <c r="V942" t="str" cm="1">
        <f t="array" ref="V942">IF($BA942="","",IF(INDEX(tblServicios[Conductor],$BA942)=$T$2,"Conductor",IF(INDEX(tblServicios[Personal adicional],$BA942)=$T$2,"Personal adicional","")))</f>
        <v/>
      </c>
      <c r="BA942" s="33" t="str" cm="1">
        <f t="array" ref="BA9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adicional]=$T$2))&gt;0)),ROW(A944)),"")</f>
        <v/>
      </c>
    </row>
    <row r="943" spans="15:53" x14ac:dyDescent="0.35">
      <c r="O943" s="1" t="str" cm="1">
        <f t="array" ref="O943">IF($BA943="","",INDEX(tblServicios[Fecha],$BA943))</f>
        <v/>
      </c>
      <c r="P943" t="str" cm="1">
        <f t="array" ref="P943">IF($BA943="","",INDEX(tblServicios[Contrato],$BA943))</f>
        <v/>
      </c>
      <c r="Q943" t="str" cm="1">
        <f t="array" ref="Q943">IF($BA943="","",INDEX(tblServicios[Vehículo],$BA943))</f>
        <v/>
      </c>
      <c r="R943" s="34" t="str" cm="1">
        <f t="array" ref="R943">IF($BA943="","",INDEX(tblServicios[Base imponible (€)],$BA943)-INDEX(tblServicios[Imp. suplemento (€)],$BA943))</f>
        <v/>
      </c>
      <c r="S943" s="34" t="str" cm="1">
        <f t="array" ref="S943">IF($BA943="","",INDEX(tblServicios[Imp. suplemento (€)],$BA943))</f>
        <v/>
      </c>
      <c r="T943" t="str" cm="1">
        <f t="array" ref="T943">IF($BA943="","",INDEX(tblServicios[Tipo suplemento],$BA943))</f>
        <v/>
      </c>
      <c r="U943" s="2" t="str">
        <f t="shared" si="16"/>
        <v/>
      </c>
      <c r="V943" t="str" cm="1">
        <f t="array" ref="V943">IF($BA943="","",IF(INDEX(tblServicios[Conductor],$BA943)=$T$2,"Conductor",IF(INDEX(tblServicios[Personal adicional],$BA943)=$T$2,"Personal adicional","")))</f>
        <v/>
      </c>
      <c r="BA943" s="33" t="str" cm="1">
        <f t="array" ref="BA9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adicional]=$T$2))&gt;0)),ROW(A945)),"")</f>
        <v/>
      </c>
    </row>
    <row r="944" spans="15:53" x14ac:dyDescent="0.35">
      <c r="O944" s="1" t="str" cm="1">
        <f t="array" ref="O944">IF($BA944="","",INDEX(tblServicios[Fecha],$BA944))</f>
        <v/>
      </c>
      <c r="P944" t="str" cm="1">
        <f t="array" ref="P944">IF($BA944="","",INDEX(tblServicios[Contrato],$BA944))</f>
        <v/>
      </c>
      <c r="Q944" t="str" cm="1">
        <f t="array" ref="Q944">IF($BA944="","",INDEX(tblServicios[Vehículo],$BA944))</f>
        <v/>
      </c>
      <c r="R944" s="34" t="str" cm="1">
        <f t="array" ref="R944">IF($BA944="","",INDEX(tblServicios[Base imponible (€)],$BA944)-INDEX(tblServicios[Imp. suplemento (€)],$BA944))</f>
        <v/>
      </c>
      <c r="S944" s="34" t="str" cm="1">
        <f t="array" ref="S944">IF($BA944="","",INDEX(tblServicios[Imp. suplemento (€)],$BA944))</f>
        <v/>
      </c>
      <c r="T944" t="str" cm="1">
        <f t="array" ref="T944">IF($BA944="","",INDEX(tblServicios[Tipo suplemento],$BA944))</f>
        <v/>
      </c>
      <c r="U944" s="2" t="str">
        <f t="shared" si="16"/>
        <v/>
      </c>
      <c r="V944" t="str" cm="1">
        <f t="array" ref="V944">IF($BA944="","",IF(INDEX(tblServicios[Conductor],$BA944)=$T$2,"Conductor",IF(INDEX(tblServicios[Personal adicional],$BA944)=$T$2,"Personal adicional","")))</f>
        <v/>
      </c>
      <c r="BA944" s="33" t="str" cm="1">
        <f t="array" ref="BA9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adicional]=$T$2))&gt;0)),ROW(A946)),"")</f>
        <v/>
      </c>
    </row>
    <row r="945" spans="15:53" x14ac:dyDescent="0.35">
      <c r="O945" s="1" t="str" cm="1">
        <f t="array" ref="O945">IF($BA945="","",INDEX(tblServicios[Fecha],$BA945))</f>
        <v/>
      </c>
      <c r="P945" t="str" cm="1">
        <f t="array" ref="P945">IF($BA945="","",INDEX(tblServicios[Contrato],$BA945))</f>
        <v/>
      </c>
      <c r="Q945" t="str" cm="1">
        <f t="array" ref="Q945">IF($BA945="","",INDEX(tblServicios[Vehículo],$BA945))</f>
        <v/>
      </c>
      <c r="R945" s="34" t="str" cm="1">
        <f t="array" ref="R945">IF($BA945="","",INDEX(tblServicios[Base imponible (€)],$BA945)-INDEX(tblServicios[Imp. suplemento (€)],$BA945))</f>
        <v/>
      </c>
      <c r="S945" s="34" t="str" cm="1">
        <f t="array" ref="S945">IF($BA945="","",INDEX(tblServicios[Imp. suplemento (€)],$BA945))</f>
        <v/>
      </c>
      <c r="T945" t="str" cm="1">
        <f t="array" ref="T945">IF($BA945="","",INDEX(tblServicios[Tipo suplemento],$BA945))</f>
        <v/>
      </c>
      <c r="U945" s="2" t="str">
        <f t="shared" si="16"/>
        <v/>
      </c>
      <c r="V945" t="str" cm="1">
        <f t="array" ref="V945">IF($BA945="","",IF(INDEX(tblServicios[Conductor],$BA945)=$T$2,"Conductor",IF(INDEX(tblServicios[Personal adicional],$BA945)=$T$2,"Personal adicional","")))</f>
        <v/>
      </c>
      <c r="BA945" s="33" t="str" cm="1">
        <f t="array" ref="BA9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adicional]=$T$2))&gt;0)),ROW(A947)),"")</f>
        <v/>
      </c>
    </row>
    <row r="946" spans="15:53" x14ac:dyDescent="0.35">
      <c r="O946" s="1" t="str" cm="1">
        <f t="array" ref="O946">IF($BA946="","",INDEX(tblServicios[Fecha],$BA946))</f>
        <v/>
      </c>
      <c r="P946" t="str" cm="1">
        <f t="array" ref="P946">IF($BA946="","",INDEX(tblServicios[Contrato],$BA946))</f>
        <v/>
      </c>
      <c r="Q946" t="str" cm="1">
        <f t="array" ref="Q946">IF($BA946="","",INDEX(tblServicios[Vehículo],$BA946))</f>
        <v/>
      </c>
      <c r="R946" s="34" t="str" cm="1">
        <f t="array" ref="R946">IF($BA946="","",INDEX(tblServicios[Base imponible (€)],$BA946)-INDEX(tblServicios[Imp. suplemento (€)],$BA946))</f>
        <v/>
      </c>
      <c r="S946" s="34" t="str" cm="1">
        <f t="array" ref="S946">IF($BA946="","",INDEX(tblServicios[Imp. suplemento (€)],$BA946))</f>
        <v/>
      </c>
      <c r="T946" t="str" cm="1">
        <f t="array" ref="T946">IF($BA946="","",INDEX(tblServicios[Tipo suplemento],$BA946))</f>
        <v/>
      </c>
      <c r="U946" s="2" t="str">
        <f t="shared" si="16"/>
        <v/>
      </c>
      <c r="V946" t="str" cm="1">
        <f t="array" ref="V946">IF($BA946="","",IF(INDEX(tblServicios[Conductor],$BA946)=$T$2,"Conductor",IF(INDEX(tblServicios[Personal adicional],$BA946)=$T$2,"Personal adicional","")))</f>
        <v/>
      </c>
      <c r="BA946" s="33" t="str" cm="1">
        <f t="array" ref="BA9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adicional]=$T$2))&gt;0)),ROW(A948)),"")</f>
        <v/>
      </c>
    </row>
    <row r="947" spans="15:53" x14ac:dyDescent="0.35">
      <c r="O947" s="1" t="str" cm="1">
        <f t="array" ref="O947">IF($BA947="","",INDEX(tblServicios[Fecha],$BA947))</f>
        <v/>
      </c>
      <c r="P947" t="str" cm="1">
        <f t="array" ref="P947">IF($BA947="","",INDEX(tblServicios[Contrato],$BA947))</f>
        <v/>
      </c>
      <c r="Q947" t="str" cm="1">
        <f t="array" ref="Q947">IF($BA947="","",INDEX(tblServicios[Vehículo],$BA947))</f>
        <v/>
      </c>
      <c r="R947" s="34" t="str" cm="1">
        <f t="array" ref="R947">IF($BA947="","",INDEX(tblServicios[Base imponible (€)],$BA947)-INDEX(tblServicios[Imp. suplemento (€)],$BA947))</f>
        <v/>
      </c>
      <c r="S947" s="34" t="str" cm="1">
        <f t="array" ref="S947">IF($BA947="","",INDEX(tblServicios[Imp. suplemento (€)],$BA947))</f>
        <v/>
      </c>
      <c r="T947" t="str" cm="1">
        <f t="array" ref="T947">IF($BA947="","",INDEX(tblServicios[Tipo suplemento],$BA947))</f>
        <v/>
      </c>
      <c r="U947" s="2" t="str">
        <f t="shared" si="16"/>
        <v/>
      </c>
      <c r="V947" t="str" cm="1">
        <f t="array" ref="V947">IF($BA947="","",IF(INDEX(tblServicios[Conductor],$BA947)=$T$2,"Conductor",IF(INDEX(tblServicios[Personal adicional],$BA947)=$T$2,"Personal adicional","")))</f>
        <v/>
      </c>
      <c r="BA947" s="33" t="str" cm="1">
        <f t="array" ref="BA9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adicional]=$T$2))&gt;0)),ROW(A949)),"")</f>
        <v/>
      </c>
    </row>
    <row r="948" spans="15:53" x14ac:dyDescent="0.35">
      <c r="O948" s="1" t="str" cm="1">
        <f t="array" ref="O948">IF($BA948="","",INDEX(tblServicios[Fecha],$BA948))</f>
        <v/>
      </c>
      <c r="P948" t="str" cm="1">
        <f t="array" ref="P948">IF($BA948="","",INDEX(tblServicios[Contrato],$BA948))</f>
        <v/>
      </c>
      <c r="Q948" t="str" cm="1">
        <f t="array" ref="Q948">IF($BA948="","",INDEX(tblServicios[Vehículo],$BA948))</f>
        <v/>
      </c>
      <c r="R948" s="34" t="str" cm="1">
        <f t="array" ref="R948">IF($BA948="","",INDEX(tblServicios[Base imponible (€)],$BA948)-INDEX(tblServicios[Imp. suplemento (€)],$BA948))</f>
        <v/>
      </c>
      <c r="S948" s="34" t="str" cm="1">
        <f t="array" ref="S948">IF($BA948="","",INDEX(tblServicios[Imp. suplemento (€)],$BA948))</f>
        <v/>
      </c>
      <c r="T948" t="str" cm="1">
        <f t="array" ref="T948">IF($BA948="","",INDEX(tblServicios[Tipo suplemento],$BA948))</f>
        <v/>
      </c>
      <c r="U948" s="2" t="str">
        <f t="shared" si="16"/>
        <v/>
      </c>
      <c r="V948" t="str" cm="1">
        <f t="array" ref="V948">IF($BA948="","",IF(INDEX(tblServicios[Conductor],$BA948)=$T$2,"Conductor",IF(INDEX(tblServicios[Personal adicional],$BA948)=$T$2,"Personal adicional","")))</f>
        <v/>
      </c>
      <c r="BA948" s="33" t="str" cm="1">
        <f t="array" ref="BA9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adicional]=$T$2))&gt;0)),ROW(A950)),"")</f>
        <v/>
      </c>
    </row>
    <row r="949" spans="15:53" x14ac:dyDescent="0.35">
      <c r="O949" s="1" t="str" cm="1">
        <f t="array" ref="O949">IF($BA949="","",INDEX(tblServicios[Fecha],$BA949))</f>
        <v/>
      </c>
      <c r="P949" t="str" cm="1">
        <f t="array" ref="P949">IF($BA949="","",INDEX(tblServicios[Contrato],$BA949))</f>
        <v/>
      </c>
      <c r="Q949" t="str" cm="1">
        <f t="array" ref="Q949">IF($BA949="","",INDEX(tblServicios[Vehículo],$BA949))</f>
        <v/>
      </c>
      <c r="R949" s="34" t="str" cm="1">
        <f t="array" ref="R949">IF($BA949="","",INDEX(tblServicios[Base imponible (€)],$BA949)-INDEX(tblServicios[Imp. suplemento (€)],$BA949))</f>
        <v/>
      </c>
      <c r="S949" s="34" t="str" cm="1">
        <f t="array" ref="S949">IF($BA949="","",INDEX(tblServicios[Imp. suplemento (€)],$BA949))</f>
        <v/>
      </c>
      <c r="T949" t="str" cm="1">
        <f t="array" ref="T949">IF($BA949="","",INDEX(tblServicios[Tipo suplemento],$BA949))</f>
        <v/>
      </c>
      <c r="U949" s="2" t="str">
        <f t="shared" si="16"/>
        <v/>
      </c>
      <c r="V949" t="str" cm="1">
        <f t="array" ref="V949">IF($BA949="","",IF(INDEX(tblServicios[Conductor],$BA949)=$T$2,"Conductor",IF(INDEX(tblServicios[Personal adicional],$BA949)=$T$2,"Personal adicional","")))</f>
        <v/>
      </c>
      <c r="BA949" s="33" t="str" cm="1">
        <f t="array" ref="BA9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adicional]=$T$2))&gt;0)),ROW(A951)),"")</f>
        <v/>
      </c>
    </row>
    <row r="950" spans="15:53" x14ac:dyDescent="0.35">
      <c r="O950" s="1" t="str" cm="1">
        <f t="array" ref="O950">IF($BA950="","",INDEX(tblServicios[Fecha],$BA950))</f>
        <v/>
      </c>
      <c r="P950" t="str" cm="1">
        <f t="array" ref="P950">IF($BA950="","",INDEX(tblServicios[Contrato],$BA950))</f>
        <v/>
      </c>
      <c r="Q950" t="str" cm="1">
        <f t="array" ref="Q950">IF($BA950="","",INDEX(tblServicios[Vehículo],$BA950))</f>
        <v/>
      </c>
      <c r="R950" s="34" t="str" cm="1">
        <f t="array" ref="R950">IF($BA950="","",INDEX(tblServicios[Base imponible (€)],$BA950)-INDEX(tblServicios[Imp. suplemento (€)],$BA950))</f>
        <v/>
      </c>
      <c r="S950" s="34" t="str" cm="1">
        <f t="array" ref="S950">IF($BA950="","",INDEX(tblServicios[Imp. suplemento (€)],$BA950))</f>
        <v/>
      </c>
      <c r="T950" t="str" cm="1">
        <f t="array" ref="T950">IF($BA950="","",INDEX(tblServicios[Tipo suplemento],$BA950))</f>
        <v/>
      </c>
      <c r="U950" s="2" t="str">
        <f t="shared" si="16"/>
        <v/>
      </c>
      <c r="V950" t="str" cm="1">
        <f t="array" ref="V950">IF($BA950="","",IF(INDEX(tblServicios[Conductor],$BA950)=$T$2,"Conductor",IF(INDEX(tblServicios[Personal adicional],$BA950)=$T$2,"Personal adicional","")))</f>
        <v/>
      </c>
      <c r="BA950" s="33" t="str" cm="1">
        <f t="array" ref="BA9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adicional]=$T$2))&gt;0)),ROW(A952)),"")</f>
        <v/>
      </c>
    </row>
    <row r="951" spans="15:53" x14ac:dyDescent="0.35">
      <c r="O951" s="1" t="str" cm="1">
        <f t="array" ref="O951">IF($BA951="","",INDEX(tblServicios[Fecha],$BA951))</f>
        <v/>
      </c>
      <c r="P951" t="str" cm="1">
        <f t="array" ref="P951">IF($BA951="","",INDEX(tblServicios[Contrato],$BA951))</f>
        <v/>
      </c>
      <c r="Q951" t="str" cm="1">
        <f t="array" ref="Q951">IF($BA951="","",INDEX(tblServicios[Vehículo],$BA951))</f>
        <v/>
      </c>
      <c r="R951" s="34" t="str" cm="1">
        <f t="array" ref="R951">IF($BA951="","",INDEX(tblServicios[Base imponible (€)],$BA951)-INDEX(tblServicios[Imp. suplemento (€)],$BA951))</f>
        <v/>
      </c>
      <c r="S951" s="34" t="str" cm="1">
        <f t="array" ref="S951">IF($BA951="","",INDEX(tblServicios[Imp. suplemento (€)],$BA951))</f>
        <v/>
      </c>
      <c r="T951" t="str" cm="1">
        <f t="array" ref="T951">IF($BA951="","",INDEX(tblServicios[Tipo suplemento],$BA951))</f>
        <v/>
      </c>
      <c r="U951" s="2" t="str">
        <f t="shared" si="16"/>
        <v/>
      </c>
      <c r="V951" t="str" cm="1">
        <f t="array" ref="V951">IF($BA951="","",IF(INDEX(tblServicios[Conductor],$BA951)=$T$2,"Conductor",IF(INDEX(tblServicios[Personal adicional],$BA951)=$T$2,"Personal adicional","")))</f>
        <v/>
      </c>
      <c r="BA951" s="33" t="str" cm="1">
        <f t="array" ref="BA9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adicional]=$T$2))&gt;0)),ROW(A953)),"")</f>
        <v/>
      </c>
    </row>
    <row r="952" spans="15:53" x14ac:dyDescent="0.35">
      <c r="O952" s="1" t="str" cm="1">
        <f t="array" ref="O952">IF($BA952="","",INDEX(tblServicios[Fecha],$BA952))</f>
        <v/>
      </c>
      <c r="P952" t="str" cm="1">
        <f t="array" ref="P952">IF($BA952="","",INDEX(tblServicios[Contrato],$BA952))</f>
        <v/>
      </c>
      <c r="Q952" t="str" cm="1">
        <f t="array" ref="Q952">IF($BA952="","",INDEX(tblServicios[Vehículo],$BA952))</f>
        <v/>
      </c>
      <c r="R952" s="34" t="str" cm="1">
        <f t="array" ref="R952">IF($BA952="","",INDEX(tblServicios[Base imponible (€)],$BA952)-INDEX(tblServicios[Imp. suplemento (€)],$BA952))</f>
        <v/>
      </c>
      <c r="S952" s="34" t="str" cm="1">
        <f t="array" ref="S952">IF($BA952="","",INDEX(tblServicios[Imp. suplemento (€)],$BA952))</f>
        <v/>
      </c>
      <c r="T952" t="str" cm="1">
        <f t="array" ref="T952">IF($BA952="","",INDEX(tblServicios[Tipo suplemento],$BA952))</f>
        <v/>
      </c>
      <c r="U952" s="2" t="str">
        <f t="shared" si="16"/>
        <v/>
      </c>
      <c r="V952" t="str" cm="1">
        <f t="array" ref="V952">IF($BA952="","",IF(INDEX(tblServicios[Conductor],$BA952)=$T$2,"Conductor",IF(INDEX(tblServicios[Personal adicional],$BA952)=$T$2,"Personal adicional","")))</f>
        <v/>
      </c>
      <c r="BA952" s="33" t="str" cm="1">
        <f t="array" ref="BA9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adicional]=$T$2))&gt;0)),ROW(A954)),"")</f>
        <v/>
      </c>
    </row>
    <row r="953" spans="15:53" x14ac:dyDescent="0.35">
      <c r="O953" s="1" t="str" cm="1">
        <f t="array" ref="O953">IF($BA953="","",INDEX(tblServicios[Fecha],$BA953))</f>
        <v/>
      </c>
      <c r="P953" t="str" cm="1">
        <f t="array" ref="P953">IF($BA953="","",INDEX(tblServicios[Contrato],$BA953))</f>
        <v/>
      </c>
      <c r="Q953" t="str" cm="1">
        <f t="array" ref="Q953">IF($BA953="","",INDEX(tblServicios[Vehículo],$BA953))</f>
        <v/>
      </c>
      <c r="R953" s="34" t="str" cm="1">
        <f t="array" ref="R953">IF($BA953="","",INDEX(tblServicios[Base imponible (€)],$BA953)-INDEX(tblServicios[Imp. suplemento (€)],$BA953))</f>
        <v/>
      </c>
      <c r="S953" s="34" t="str" cm="1">
        <f t="array" ref="S953">IF($BA953="","",INDEX(tblServicios[Imp. suplemento (€)],$BA953))</f>
        <v/>
      </c>
      <c r="T953" t="str" cm="1">
        <f t="array" ref="T953">IF($BA953="","",INDEX(tblServicios[Tipo suplemento],$BA953))</f>
        <v/>
      </c>
      <c r="U953" s="2" t="str">
        <f t="shared" si="16"/>
        <v/>
      </c>
      <c r="V953" t="str" cm="1">
        <f t="array" ref="V953">IF($BA953="","",IF(INDEX(tblServicios[Conductor],$BA953)=$T$2,"Conductor",IF(INDEX(tblServicios[Personal adicional],$BA953)=$T$2,"Personal adicional","")))</f>
        <v/>
      </c>
      <c r="BA953" s="33" t="str" cm="1">
        <f t="array" ref="BA9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adicional]=$T$2))&gt;0)),ROW(A955)),"")</f>
        <v/>
      </c>
    </row>
    <row r="954" spans="15:53" x14ac:dyDescent="0.35">
      <c r="O954" s="1" t="str" cm="1">
        <f t="array" ref="O954">IF($BA954="","",INDEX(tblServicios[Fecha],$BA954))</f>
        <v/>
      </c>
      <c r="P954" t="str" cm="1">
        <f t="array" ref="P954">IF($BA954="","",INDEX(tblServicios[Contrato],$BA954))</f>
        <v/>
      </c>
      <c r="Q954" t="str" cm="1">
        <f t="array" ref="Q954">IF($BA954="","",INDEX(tblServicios[Vehículo],$BA954))</f>
        <v/>
      </c>
      <c r="R954" s="34" t="str" cm="1">
        <f t="array" ref="R954">IF($BA954="","",INDEX(tblServicios[Base imponible (€)],$BA954)-INDEX(tblServicios[Imp. suplemento (€)],$BA954))</f>
        <v/>
      </c>
      <c r="S954" s="34" t="str" cm="1">
        <f t="array" ref="S954">IF($BA954="","",INDEX(tblServicios[Imp. suplemento (€)],$BA954))</f>
        <v/>
      </c>
      <c r="T954" t="str" cm="1">
        <f t="array" ref="T954">IF($BA954="","",INDEX(tblServicios[Tipo suplemento],$BA954))</f>
        <v/>
      </c>
      <c r="U954" s="2" t="str">
        <f t="shared" si="16"/>
        <v/>
      </c>
      <c r="V954" t="str" cm="1">
        <f t="array" ref="V954">IF($BA954="","",IF(INDEX(tblServicios[Conductor],$BA954)=$T$2,"Conductor",IF(INDEX(tblServicios[Personal adicional],$BA954)=$T$2,"Personal adicional","")))</f>
        <v/>
      </c>
      <c r="BA954" s="33" t="str" cm="1">
        <f t="array" ref="BA9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adicional]=$T$2))&gt;0)),ROW(A956)),"")</f>
        <v/>
      </c>
    </row>
    <row r="955" spans="15:53" x14ac:dyDescent="0.35">
      <c r="O955" s="1" t="str" cm="1">
        <f t="array" ref="O955">IF($BA955="","",INDEX(tblServicios[Fecha],$BA955))</f>
        <v/>
      </c>
      <c r="P955" t="str" cm="1">
        <f t="array" ref="P955">IF($BA955="","",INDEX(tblServicios[Contrato],$BA955))</f>
        <v/>
      </c>
      <c r="Q955" t="str" cm="1">
        <f t="array" ref="Q955">IF($BA955="","",INDEX(tblServicios[Vehículo],$BA955))</f>
        <v/>
      </c>
      <c r="R955" s="34" t="str" cm="1">
        <f t="array" ref="R955">IF($BA955="","",INDEX(tblServicios[Base imponible (€)],$BA955)-INDEX(tblServicios[Imp. suplemento (€)],$BA955))</f>
        <v/>
      </c>
      <c r="S955" s="34" t="str" cm="1">
        <f t="array" ref="S955">IF($BA955="","",INDEX(tblServicios[Imp. suplemento (€)],$BA955))</f>
        <v/>
      </c>
      <c r="T955" t="str" cm="1">
        <f t="array" ref="T955">IF($BA955="","",INDEX(tblServicios[Tipo suplemento],$BA955))</f>
        <v/>
      </c>
      <c r="U955" s="2" t="str">
        <f t="shared" si="16"/>
        <v/>
      </c>
      <c r="V955" t="str" cm="1">
        <f t="array" ref="V955">IF($BA955="","",IF(INDEX(tblServicios[Conductor],$BA955)=$T$2,"Conductor",IF(INDEX(tblServicios[Personal adicional],$BA955)=$T$2,"Personal adicional","")))</f>
        <v/>
      </c>
      <c r="BA955" s="33" t="str" cm="1">
        <f t="array" ref="BA9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adicional]=$T$2))&gt;0)),ROW(A957)),"")</f>
        <v/>
      </c>
    </row>
    <row r="956" spans="15:53" x14ac:dyDescent="0.35">
      <c r="O956" s="1" t="str" cm="1">
        <f t="array" ref="O956">IF($BA956="","",INDEX(tblServicios[Fecha],$BA956))</f>
        <v/>
      </c>
      <c r="P956" t="str" cm="1">
        <f t="array" ref="P956">IF($BA956="","",INDEX(tblServicios[Contrato],$BA956))</f>
        <v/>
      </c>
      <c r="Q956" t="str" cm="1">
        <f t="array" ref="Q956">IF($BA956="","",INDEX(tblServicios[Vehículo],$BA956))</f>
        <v/>
      </c>
      <c r="R956" s="34" t="str" cm="1">
        <f t="array" ref="R956">IF($BA956="","",INDEX(tblServicios[Base imponible (€)],$BA956)-INDEX(tblServicios[Imp. suplemento (€)],$BA956))</f>
        <v/>
      </c>
      <c r="S956" s="34" t="str" cm="1">
        <f t="array" ref="S956">IF($BA956="","",INDEX(tblServicios[Imp. suplemento (€)],$BA956))</f>
        <v/>
      </c>
      <c r="T956" t="str" cm="1">
        <f t="array" ref="T956">IF($BA956="","",INDEX(tblServicios[Tipo suplemento],$BA956))</f>
        <v/>
      </c>
      <c r="U956" s="2" t="str">
        <f t="shared" si="16"/>
        <v/>
      </c>
      <c r="V956" t="str" cm="1">
        <f t="array" ref="V956">IF($BA956="","",IF(INDEX(tblServicios[Conductor],$BA956)=$T$2,"Conductor",IF(INDEX(tblServicios[Personal adicional],$BA956)=$T$2,"Personal adicional","")))</f>
        <v/>
      </c>
      <c r="BA956" s="33" t="str" cm="1">
        <f t="array" ref="BA9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adicional]=$T$2))&gt;0)),ROW(A958)),"")</f>
        <v/>
      </c>
    </row>
    <row r="957" spans="15:53" x14ac:dyDescent="0.35">
      <c r="O957" s="1" t="str" cm="1">
        <f t="array" ref="O957">IF($BA957="","",INDEX(tblServicios[Fecha],$BA957))</f>
        <v/>
      </c>
      <c r="P957" t="str" cm="1">
        <f t="array" ref="P957">IF($BA957="","",INDEX(tblServicios[Contrato],$BA957))</f>
        <v/>
      </c>
      <c r="Q957" t="str" cm="1">
        <f t="array" ref="Q957">IF($BA957="","",INDEX(tblServicios[Vehículo],$BA957))</f>
        <v/>
      </c>
      <c r="R957" s="34" t="str" cm="1">
        <f t="array" ref="R957">IF($BA957="","",INDEX(tblServicios[Base imponible (€)],$BA957)-INDEX(tblServicios[Imp. suplemento (€)],$BA957))</f>
        <v/>
      </c>
      <c r="S957" s="34" t="str" cm="1">
        <f t="array" ref="S957">IF($BA957="","",INDEX(tblServicios[Imp. suplemento (€)],$BA957))</f>
        <v/>
      </c>
      <c r="T957" t="str" cm="1">
        <f t="array" ref="T957">IF($BA957="","",INDEX(tblServicios[Tipo suplemento],$BA957))</f>
        <v/>
      </c>
      <c r="U957" s="2" t="str">
        <f t="shared" si="16"/>
        <v/>
      </c>
      <c r="V957" t="str" cm="1">
        <f t="array" ref="V957">IF($BA957="","",IF(INDEX(tblServicios[Conductor],$BA957)=$T$2,"Conductor",IF(INDEX(tblServicios[Personal adicional],$BA957)=$T$2,"Personal adicional","")))</f>
        <v/>
      </c>
      <c r="BA957" s="33" t="str" cm="1">
        <f t="array" ref="BA9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adicional]=$T$2))&gt;0)),ROW(A959)),"")</f>
        <v/>
      </c>
    </row>
    <row r="958" spans="15:53" x14ac:dyDescent="0.35">
      <c r="O958" s="1" t="str" cm="1">
        <f t="array" ref="O958">IF($BA958="","",INDEX(tblServicios[Fecha],$BA958))</f>
        <v/>
      </c>
      <c r="P958" t="str" cm="1">
        <f t="array" ref="P958">IF($BA958="","",INDEX(tblServicios[Contrato],$BA958))</f>
        <v/>
      </c>
      <c r="Q958" t="str" cm="1">
        <f t="array" ref="Q958">IF($BA958="","",INDEX(tblServicios[Vehículo],$BA958))</f>
        <v/>
      </c>
      <c r="R958" s="34" t="str" cm="1">
        <f t="array" ref="R958">IF($BA958="","",INDEX(tblServicios[Base imponible (€)],$BA958)-INDEX(tblServicios[Imp. suplemento (€)],$BA958))</f>
        <v/>
      </c>
      <c r="S958" s="34" t="str" cm="1">
        <f t="array" ref="S958">IF($BA958="","",INDEX(tblServicios[Imp. suplemento (€)],$BA958))</f>
        <v/>
      </c>
      <c r="T958" t="str" cm="1">
        <f t="array" ref="T958">IF($BA958="","",INDEX(tblServicios[Tipo suplemento],$BA958))</f>
        <v/>
      </c>
      <c r="U958" s="2" t="str">
        <f t="shared" si="16"/>
        <v/>
      </c>
      <c r="V958" t="str" cm="1">
        <f t="array" ref="V958">IF($BA958="","",IF(INDEX(tblServicios[Conductor],$BA958)=$T$2,"Conductor",IF(INDEX(tblServicios[Personal adicional],$BA958)=$T$2,"Personal adicional","")))</f>
        <v/>
      </c>
      <c r="BA958" s="33" t="str" cm="1">
        <f t="array" ref="BA9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adicional]=$T$2))&gt;0)),ROW(A960)),"")</f>
        <v/>
      </c>
    </row>
    <row r="959" spans="15:53" x14ac:dyDescent="0.35">
      <c r="O959" s="1" t="str" cm="1">
        <f t="array" ref="O959">IF($BA959="","",INDEX(tblServicios[Fecha],$BA959))</f>
        <v/>
      </c>
      <c r="P959" t="str" cm="1">
        <f t="array" ref="P959">IF($BA959="","",INDEX(tblServicios[Contrato],$BA959))</f>
        <v/>
      </c>
      <c r="Q959" t="str" cm="1">
        <f t="array" ref="Q959">IF($BA959="","",INDEX(tblServicios[Vehículo],$BA959))</f>
        <v/>
      </c>
      <c r="R959" s="34" t="str" cm="1">
        <f t="array" ref="R959">IF($BA959="","",INDEX(tblServicios[Base imponible (€)],$BA959)-INDEX(tblServicios[Imp. suplemento (€)],$BA959))</f>
        <v/>
      </c>
      <c r="S959" s="34" t="str" cm="1">
        <f t="array" ref="S959">IF($BA959="","",INDEX(tblServicios[Imp. suplemento (€)],$BA959))</f>
        <v/>
      </c>
      <c r="T959" t="str" cm="1">
        <f t="array" ref="T959">IF($BA959="","",INDEX(tblServicios[Tipo suplemento],$BA959))</f>
        <v/>
      </c>
      <c r="U959" s="2" t="str">
        <f t="shared" si="16"/>
        <v/>
      </c>
      <c r="V959" t="str" cm="1">
        <f t="array" ref="V959">IF($BA959="","",IF(INDEX(tblServicios[Conductor],$BA959)=$T$2,"Conductor",IF(INDEX(tblServicios[Personal adicional],$BA959)=$T$2,"Personal adicional","")))</f>
        <v/>
      </c>
      <c r="BA959" s="33" t="str" cm="1">
        <f t="array" ref="BA9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adicional]=$T$2))&gt;0)),ROW(A961)),"")</f>
        <v/>
      </c>
    </row>
    <row r="960" spans="15:53" x14ac:dyDescent="0.35">
      <c r="O960" s="1" t="str" cm="1">
        <f t="array" ref="O960">IF($BA960="","",INDEX(tblServicios[Fecha],$BA960))</f>
        <v/>
      </c>
      <c r="P960" t="str" cm="1">
        <f t="array" ref="P960">IF($BA960="","",INDEX(tblServicios[Contrato],$BA960))</f>
        <v/>
      </c>
      <c r="Q960" t="str" cm="1">
        <f t="array" ref="Q960">IF($BA960="","",INDEX(tblServicios[Vehículo],$BA960))</f>
        <v/>
      </c>
      <c r="R960" s="34" t="str" cm="1">
        <f t="array" ref="R960">IF($BA960="","",INDEX(tblServicios[Base imponible (€)],$BA960)-INDEX(tblServicios[Imp. suplemento (€)],$BA960))</f>
        <v/>
      </c>
      <c r="S960" s="34" t="str" cm="1">
        <f t="array" ref="S960">IF($BA960="","",INDEX(tblServicios[Imp. suplemento (€)],$BA960))</f>
        <v/>
      </c>
      <c r="T960" t="str" cm="1">
        <f t="array" ref="T960">IF($BA960="","",INDEX(tblServicios[Tipo suplemento],$BA960))</f>
        <v/>
      </c>
      <c r="U960" s="2" t="str">
        <f t="shared" si="16"/>
        <v/>
      </c>
      <c r="V960" t="str" cm="1">
        <f t="array" ref="V960">IF($BA960="","",IF(INDEX(tblServicios[Conductor],$BA960)=$T$2,"Conductor",IF(INDEX(tblServicios[Personal adicional],$BA960)=$T$2,"Personal adicional","")))</f>
        <v/>
      </c>
      <c r="BA960" s="33" t="str" cm="1">
        <f t="array" ref="BA9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adicional]=$T$2))&gt;0)),ROW(A962)),"")</f>
        <v/>
      </c>
    </row>
    <row r="961" spans="15:53" x14ac:dyDescent="0.35">
      <c r="O961" s="1" t="str" cm="1">
        <f t="array" ref="O961">IF($BA961="","",INDEX(tblServicios[Fecha],$BA961))</f>
        <v/>
      </c>
      <c r="P961" t="str" cm="1">
        <f t="array" ref="P961">IF($BA961="","",INDEX(tblServicios[Contrato],$BA961))</f>
        <v/>
      </c>
      <c r="Q961" t="str" cm="1">
        <f t="array" ref="Q961">IF($BA961="","",INDEX(tblServicios[Vehículo],$BA961))</f>
        <v/>
      </c>
      <c r="R961" s="34" t="str" cm="1">
        <f t="array" ref="R961">IF($BA961="","",INDEX(tblServicios[Base imponible (€)],$BA961)-INDEX(tblServicios[Imp. suplemento (€)],$BA961))</f>
        <v/>
      </c>
      <c r="S961" s="34" t="str" cm="1">
        <f t="array" ref="S961">IF($BA961="","",INDEX(tblServicios[Imp. suplemento (€)],$BA961))</f>
        <v/>
      </c>
      <c r="T961" t="str" cm="1">
        <f t="array" ref="T961">IF($BA961="","",INDEX(tblServicios[Tipo suplemento],$BA961))</f>
        <v/>
      </c>
      <c r="U961" s="2" t="str">
        <f t="shared" si="16"/>
        <v/>
      </c>
      <c r="V961" t="str" cm="1">
        <f t="array" ref="V961">IF($BA961="","",IF(INDEX(tblServicios[Conductor],$BA961)=$T$2,"Conductor",IF(INDEX(tblServicios[Personal adicional],$BA961)=$T$2,"Personal adicional","")))</f>
        <v/>
      </c>
      <c r="BA961" s="33" t="str" cm="1">
        <f t="array" ref="BA9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adicional]=$T$2))&gt;0)),ROW(A963)),"")</f>
        <v/>
      </c>
    </row>
    <row r="962" spans="15:53" x14ac:dyDescent="0.35">
      <c r="O962" s="1" t="str" cm="1">
        <f t="array" ref="O962">IF($BA962="","",INDEX(tblServicios[Fecha],$BA962))</f>
        <v/>
      </c>
      <c r="P962" t="str" cm="1">
        <f t="array" ref="P962">IF($BA962="","",INDEX(tblServicios[Contrato],$BA962))</f>
        <v/>
      </c>
      <c r="Q962" t="str" cm="1">
        <f t="array" ref="Q962">IF($BA962="","",INDEX(tblServicios[Vehículo],$BA962))</f>
        <v/>
      </c>
      <c r="R962" s="34" t="str" cm="1">
        <f t="array" ref="R962">IF($BA962="","",INDEX(tblServicios[Base imponible (€)],$BA962)-INDEX(tblServicios[Imp. suplemento (€)],$BA962))</f>
        <v/>
      </c>
      <c r="S962" s="34" t="str" cm="1">
        <f t="array" ref="S962">IF($BA962="","",INDEX(tblServicios[Imp. suplemento (€)],$BA962))</f>
        <v/>
      </c>
      <c r="T962" t="str" cm="1">
        <f t="array" ref="T962">IF($BA962="","",INDEX(tblServicios[Tipo suplemento],$BA962))</f>
        <v/>
      </c>
      <c r="U962" s="2" t="str">
        <f t="shared" si="16"/>
        <v/>
      </c>
      <c r="V962" t="str" cm="1">
        <f t="array" ref="V962">IF($BA962="","",IF(INDEX(tblServicios[Conductor],$BA962)=$T$2,"Conductor",IF(INDEX(tblServicios[Personal adicional],$BA962)=$T$2,"Personal adicional","")))</f>
        <v/>
      </c>
      <c r="BA962" s="33" t="str" cm="1">
        <f t="array" ref="BA9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adicional]=$T$2))&gt;0)),ROW(A964)),"")</f>
        <v/>
      </c>
    </row>
    <row r="963" spans="15:53" x14ac:dyDescent="0.35">
      <c r="O963" s="1" t="str" cm="1">
        <f t="array" ref="O963">IF($BA963="","",INDEX(tblServicios[Fecha],$BA963))</f>
        <v/>
      </c>
      <c r="P963" t="str" cm="1">
        <f t="array" ref="P963">IF($BA963="","",INDEX(tblServicios[Contrato],$BA963))</f>
        <v/>
      </c>
      <c r="Q963" t="str" cm="1">
        <f t="array" ref="Q963">IF($BA963="","",INDEX(tblServicios[Vehículo],$BA963))</f>
        <v/>
      </c>
      <c r="R963" s="34" t="str" cm="1">
        <f t="array" ref="R963">IF($BA963="","",INDEX(tblServicios[Base imponible (€)],$BA963)-INDEX(tblServicios[Imp. suplemento (€)],$BA963))</f>
        <v/>
      </c>
      <c r="S963" s="34" t="str" cm="1">
        <f t="array" ref="S963">IF($BA963="","",INDEX(tblServicios[Imp. suplemento (€)],$BA963))</f>
        <v/>
      </c>
      <c r="T963" t="str" cm="1">
        <f t="array" ref="T963">IF($BA963="","",INDEX(tblServicios[Tipo suplemento],$BA963))</f>
        <v/>
      </c>
      <c r="U963" s="2" t="str">
        <f t="shared" si="16"/>
        <v/>
      </c>
      <c r="V963" t="str" cm="1">
        <f t="array" ref="V963">IF($BA963="","",IF(INDEX(tblServicios[Conductor],$BA963)=$T$2,"Conductor",IF(INDEX(tblServicios[Personal adicional],$BA963)=$T$2,"Personal adicional","")))</f>
        <v/>
      </c>
      <c r="BA963" s="33" t="str" cm="1">
        <f t="array" ref="BA9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adicional]=$T$2))&gt;0)),ROW(A965)),"")</f>
        <v/>
      </c>
    </row>
    <row r="964" spans="15:53" x14ac:dyDescent="0.35">
      <c r="O964" s="1" t="str" cm="1">
        <f t="array" ref="O964">IF($BA964="","",INDEX(tblServicios[Fecha],$BA964))</f>
        <v/>
      </c>
      <c r="P964" t="str" cm="1">
        <f t="array" ref="P964">IF($BA964="","",INDEX(tblServicios[Contrato],$BA964))</f>
        <v/>
      </c>
      <c r="Q964" t="str" cm="1">
        <f t="array" ref="Q964">IF($BA964="","",INDEX(tblServicios[Vehículo],$BA964))</f>
        <v/>
      </c>
      <c r="R964" s="34" t="str" cm="1">
        <f t="array" ref="R964">IF($BA964="","",INDEX(tblServicios[Base imponible (€)],$BA964)-INDEX(tblServicios[Imp. suplemento (€)],$BA964))</f>
        <v/>
      </c>
      <c r="S964" s="34" t="str" cm="1">
        <f t="array" ref="S964">IF($BA964="","",INDEX(tblServicios[Imp. suplemento (€)],$BA964))</f>
        <v/>
      </c>
      <c r="T964" t="str" cm="1">
        <f t="array" ref="T964">IF($BA964="","",INDEX(tblServicios[Tipo suplemento],$BA964))</f>
        <v/>
      </c>
      <c r="U964" s="2" t="str">
        <f t="shared" si="16"/>
        <v/>
      </c>
      <c r="V964" t="str" cm="1">
        <f t="array" ref="V964">IF($BA964="","",IF(INDEX(tblServicios[Conductor],$BA964)=$T$2,"Conductor",IF(INDEX(tblServicios[Personal adicional],$BA964)=$T$2,"Personal adicional","")))</f>
        <v/>
      </c>
      <c r="BA964" s="33" t="str" cm="1">
        <f t="array" ref="BA9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adicional]=$T$2))&gt;0)),ROW(A966)),"")</f>
        <v/>
      </c>
    </row>
    <row r="965" spans="15:53" x14ac:dyDescent="0.35">
      <c r="O965" s="1" t="str" cm="1">
        <f t="array" ref="O965">IF($BA965="","",INDEX(tblServicios[Fecha],$BA965))</f>
        <v/>
      </c>
      <c r="P965" t="str" cm="1">
        <f t="array" ref="P965">IF($BA965="","",INDEX(tblServicios[Contrato],$BA965))</f>
        <v/>
      </c>
      <c r="Q965" t="str" cm="1">
        <f t="array" ref="Q965">IF($BA965="","",INDEX(tblServicios[Vehículo],$BA965))</f>
        <v/>
      </c>
      <c r="R965" s="34" t="str" cm="1">
        <f t="array" ref="R965">IF($BA965="","",INDEX(tblServicios[Base imponible (€)],$BA965)-INDEX(tblServicios[Imp. suplemento (€)],$BA965))</f>
        <v/>
      </c>
      <c r="S965" s="34" t="str" cm="1">
        <f t="array" ref="S965">IF($BA965="","",INDEX(tblServicios[Imp. suplemento (€)],$BA965))</f>
        <v/>
      </c>
      <c r="T965" t="str" cm="1">
        <f t="array" ref="T965">IF($BA965="","",INDEX(tblServicios[Tipo suplemento],$BA965))</f>
        <v/>
      </c>
      <c r="U965" s="2" t="str">
        <f t="shared" si="16"/>
        <v/>
      </c>
      <c r="V965" t="str" cm="1">
        <f t="array" ref="V965">IF($BA965="","",IF(INDEX(tblServicios[Conductor],$BA965)=$T$2,"Conductor",IF(INDEX(tblServicios[Personal adicional],$BA965)=$T$2,"Personal adicional","")))</f>
        <v/>
      </c>
      <c r="BA965" s="33" t="str" cm="1">
        <f t="array" ref="BA9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adicional]=$T$2))&gt;0)),ROW(A967)),"")</f>
        <v/>
      </c>
    </row>
    <row r="966" spans="15:53" x14ac:dyDescent="0.35">
      <c r="O966" s="1" t="str" cm="1">
        <f t="array" ref="O966">IF($BA966="","",INDEX(tblServicios[Fecha],$BA966))</f>
        <v/>
      </c>
      <c r="P966" t="str" cm="1">
        <f t="array" ref="P966">IF($BA966="","",INDEX(tblServicios[Contrato],$BA966))</f>
        <v/>
      </c>
      <c r="Q966" t="str" cm="1">
        <f t="array" ref="Q966">IF($BA966="","",INDEX(tblServicios[Vehículo],$BA966))</f>
        <v/>
      </c>
      <c r="R966" s="34" t="str" cm="1">
        <f t="array" ref="R966">IF($BA966="","",INDEX(tblServicios[Base imponible (€)],$BA966)-INDEX(tblServicios[Imp. suplemento (€)],$BA966))</f>
        <v/>
      </c>
      <c r="S966" s="34" t="str" cm="1">
        <f t="array" ref="S966">IF($BA966="","",INDEX(tblServicios[Imp. suplemento (€)],$BA966))</f>
        <v/>
      </c>
      <c r="T966" t="str" cm="1">
        <f t="array" ref="T966">IF($BA966="","",INDEX(tblServicios[Tipo suplemento],$BA966))</f>
        <v/>
      </c>
      <c r="U966" s="2" t="str">
        <f t="shared" si="16"/>
        <v/>
      </c>
      <c r="V966" t="str" cm="1">
        <f t="array" ref="V966">IF($BA966="","",IF(INDEX(tblServicios[Conductor],$BA966)=$T$2,"Conductor",IF(INDEX(tblServicios[Personal adicional],$BA966)=$T$2,"Personal adicional","")))</f>
        <v/>
      </c>
      <c r="BA966" s="33" t="str" cm="1">
        <f t="array" ref="BA9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adicional]=$T$2))&gt;0)),ROW(A968)),"")</f>
        <v/>
      </c>
    </row>
    <row r="967" spans="15:53" x14ac:dyDescent="0.35">
      <c r="O967" s="1" t="str" cm="1">
        <f t="array" ref="O967">IF($BA967="","",INDEX(tblServicios[Fecha],$BA967))</f>
        <v/>
      </c>
      <c r="P967" t="str" cm="1">
        <f t="array" ref="P967">IF($BA967="","",INDEX(tblServicios[Contrato],$BA967))</f>
        <v/>
      </c>
      <c r="Q967" t="str" cm="1">
        <f t="array" ref="Q967">IF($BA967="","",INDEX(tblServicios[Vehículo],$BA967))</f>
        <v/>
      </c>
      <c r="R967" s="34" t="str" cm="1">
        <f t="array" ref="R967">IF($BA967="","",INDEX(tblServicios[Base imponible (€)],$BA967)-INDEX(tblServicios[Imp. suplemento (€)],$BA967))</f>
        <v/>
      </c>
      <c r="S967" s="34" t="str" cm="1">
        <f t="array" ref="S967">IF($BA967="","",INDEX(tblServicios[Imp. suplemento (€)],$BA967))</f>
        <v/>
      </c>
      <c r="T967" t="str" cm="1">
        <f t="array" ref="T967">IF($BA967="","",INDEX(tblServicios[Tipo suplemento],$BA967))</f>
        <v/>
      </c>
      <c r="U967" s="2" t="str">
        <f t="shared" ref="U967:U1030" si="17">IF($BA967="","",R967+S967)</f>
        <v/>
      </c>
      <c r="V967" t="str" cm="1">
        <f t="array" ref="V967">IF($BA967="","",IF(INDEX(tblServicios[Conductor],$BA967)=$T$2,"Conductor",IF(INDEX(tblServicios[Personal adicional],$BA967)=$T$2,"Personal adicional","")))</f>
        <v/>
      </c>
      <c r="BA967" s="33" t="str" cm="1">
        <f t="array" ref="BA9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adicional]=$T$2))&gt;0)),ROW(A969)),"")</f>
        <v/>
      </c>
    </row>
    <row r="968" spans="15:53" x14ac:dyDescent="0.35">
      <c r="O968" s="1" t="str" cm="1">
        <f t="array" ref="O968">IF($BA968="","",INDEX(tblServicios[Fecha],$BA968))</f>
        <v/>
      </c>
      <c r="P968" t="str" cm="1">
        <f t="array" ref="P968">IF($BA968="","",INDEX(tblServicios[Contrato],$BA968))</f>
        <v/>
      </c>
      <c r="Q968" t="str" cm="1">
        <f t="array" ref="Q968">IF($BA968="","",INDEX(tblServicios[Vehículo],$BA968))</f>
        <v/>
      </c>
      <c r="R968" s="34" t="str" cm="1">
        <f t="array" ref="R968">IF($BA968="","",INDEX(tblServicios[Base imponible (€)],$BA968)-INDEX(tblServicios[Imp. suplemento (€)],$BA968))</f>
        <v/>
      </c>
      <c r="S968" s="34" t="str" cm="1">
        <f t="array" ref="S968">IF($BA968="","",INDEX(tblServicios[Imp. suplemento (€)],$BA968))</f>
        <v/>
      </c>
      <c r="T968" t="str" cm="1">
        <f t="array" ref="T968">IF($BA968="","",INDEX(tblServicios[Tipo suplemento],$BA968))</f>
        <v/>
      </c>
      <c r="U968" s="2" t="str">
        <f t="shared" si="17"/>
        <v/>
      </c>
      <c r="V968" t="str" cm="1">
        <f t="array" ref="V968">IF($BA968="","",IF(INDEX(tblServicios[Conductor],$BA968)=$T$2,"Conductor",IF(INDEX(tblServicios[Personal adicional],$BA968)=$T$2,"Personal adicional","")))</f>
        <v/>
      </c>
      <c r="BA968" s="33" t="str" cm="1">
        <f t="array" ref="BA9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adicional]=$T$2))&gt;0)),ROW(A970)),"")</f>
        <v/>
      </c>
    </row>
    <row r="969" spans="15:53" x14ac:dyDescent="0.35">
      <c r="O969" s="1" t="str" cm="1">
        <f t="array" ref="O969">IF($BA969="","",INDEX(tblServicios[Fecha],$BA969))</f>
        <v/>
      </c>
      <c r="P969" t="str" cm="1">
        <f t="array" ref="P969">IF($BA969="","",INDEX(tblServicios[Contrato],$BA969))</f>
        <v/>
      </c>
      <c r="Q969" t="str" cm="1">
        <f t="array" ref="Q969">IF($BA969="","",INDEX(tblServicios[Vehículo],$BA969))</f>
        <v/>
      </c>
      <c r="R969" s="34" t="str" cm="1">
        <f t="array" ref="R969">IF($BA969="","",INDEX(tblServicios[Base imponible (€)],$BA969)-INDEX(tblServicios[Imp. suplemento (€)],$BA969))</f>
        <v/>
      </c>
      <c r="S969" s="34" t="str" cm="1">
        <f t="array" ref="S969">IF($BA969="","",INDEX(tblServicios[Imp. suplemento (€)],$BA969))</f>
        <v/>
      </c>
      <c r="T969" t="str" cm="1">
        <f t="array" ref="T969">IF($BA969="","",INDEX(tblServicios[Tipo suplemento],$BA969))</f>
        <v/>
      </c>
      <c r="U969" s="2" t="str">
        <f t="shared" si="17"/>
        <v/>
      </c>
      <c r="V969" t="str" cm="1">
        <f t="array" ref="V969">IF($BA969="","",IF(INDEX(tblServicios[Conductor],$BA969)=$T$2,"Conductor",IF(INDEX(tblServicios[Personal adicional],$BA969)=$T$2,"Personal adicional","")))</f>
        <v/>
      </c>
      <c r="BA969" s="33" t="str" cm="1">
        <f t="array" ref="BA9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adicional]=$T$2))&gt;0)),ROW(A971)),"")</f>
        <v/>
      </c>
    </row>
    <row r="970" spans="15:53" x14ac:dyDescent="0.35">
      <c r="O970" s="1" t="str" cm="1">
        <f t="array" ref="O970">IF($BA970="","",INDEX(tblServicios[Fecha],$BA970))</f>
        <v/>
      </c>
      <c r="P970" t="str" cm="1">
        <f t="array" ref="P970">IF($BA970="","",INDEX(tblServicios[Contrato],$BA970))</f>
        <v/>
      </c>
      <c r="Q970" t="str" cm="1">
        <f t="array" ref="Q970">IF($BA970="","",INDEX(tblServicios[Vehículo],$BA970))</f>
        <v/>
      </c>
      <c r="R970" s="34" t="str" cm="1">
        <f t="array" ref="R970">IF($BA970="","",INDEX(tblServicios[Base imponible (€)],$BA970)-INDEX(tblServicios[Imp. suplemento (€)],$BA970))</f>
        <v/>
      </c>
      <c r="S970" s="34" t="str" cm="1">
        <f t="array" ref="S970">IF($BA970="","",INDEX(tblServicios[Imp. suplemento (€)],$BA970))</f>
        <v/>
      </c>
      <c r="T970" t="str" cm="1">
        <f t="array" ref="T970">IF($BA970="","",INDEX(tblServicios[Tipo suplemento],$BA970))</f>
        <v/>
      </c>
      <c r="U970" s="2" t="str">
        <f t="shared" si="17"/>
        <v/>
      </c>
      <c r="V970" t="str" cm="1">
        <f t="array" ref="V970">IF($BA970="","",IF(INDEX(tblServicios[Conductor],$BA970)=$T$2,"Conductor",IF(INDEX(tblServicios[Personal adicional],$BA970)=$T$2,"Personal adicional","")))</f>
        <v/>
      </c>
      <c r="BA970" s="33" t="str" cm="1">
        <f t="array" ref="BA9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adicional]=$T$2))&gt;0)),ROW(A972)),"")</f>
        <v/>
      </c>
    </row>
    <row r="971" spans="15:53" x14ac:dyDescent="0.35">
      <c r="O971" s="1" t="str" cm="1">
        <f t="array" ref="O971">IF($BA971="","",INDEX(tblServicios[Fecha],$BA971))</f>
        <v/>
      </c>
      <c r="P971" t="str" cm="1">
        <f t="array" ref="P971">IF($BA971="","",INDEX(tblServicios[Contrato],$BA971))</f>
        <v/>
      </c>
      <c r="Q971" t="str" cm="1">
        <f t="array" ref="Q971">IF($BA971="","",INDEX(tblServicios[Vehículo],$BA971))</f>
        <v/>
      </c>
      <c r="R971" s="34" t="str" cm="1">
        <f t="array" ref="R971">IF($BA971="","",INDEX(tblServicios[Base imponible (€)],$BA971)-INDEX(tblServicios[Imp. suplemento (€)],$BA971))</f>
        <v/>
      </c>
      <c r="S971" s="34" t="str" cm="1">
        <f t="array" ref="S971">IF($BA971="","",INDEX(tblServicios[Imp. suplemento (€)],$BA971))</f>
        <v/>
      </c>
      <c r="T971" t="str" cm="1">
        <f t="array" ref="T971">IF($BA971="","",INDEX(tblServicios[Tipo suplemento],$BA971))</f>
        <v/>
      </c>
      <c r="U971" s="2" t="str">
        <f t="shared" si="17"/>
        <v/>
      </c>
      <c r="V971" t="str" cm="1">
        <f t="array" ref="V971">IF($BA971="","",IF(INDEX(tblServicios[Conductor],$BA971)=$T$2,"Conductor",IF(INDEX(tblServicios[Personal adicional],$BA971)=$T$2,"Personal adicional","")))</f>
        <v/>
      </c>
      <c r="BA971" s="33" t="str" cm="1">
        <f t="array" ref="BA9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adicional]=$T$2))&gt;0)),ROW(A973)),"")</f>
        <v/>
      </c>
    </row>
    <row r="972" spans="15:53" x14ac:dyDescent="0.35">
      <c r="O972" s="1" t="str" cm="1">
        <f t="array" ref="O972">IF($BA972="","",INDEX(tblServicios[Fecha],$BA972))</f>
        <v/>
      </c>
      <c r="P972" t="str" cm="1">
        <f t="array" ref="P972">IF($BA972="","",INDEX(tblServicios[Contrato],$BA972))</f>
        <v/>
      </c>
      <c r="Q972" t="str" cm="1">
        <f t="array" ref="Q972">IF($BA972="","",INDEX(tblServicios[Vehículo],$BA972))</f>
        <v/>
      </c>
      <c r="R972" s="34" t="str" cm="1">
        <f t="array" ref="R972">IF($BA972="","",INDEX(tblServicios[Base imponible (€)],$BA972)-INDEX(tblServicios[Imp. suplemento (€)],$BA972))</f>
        <v/>
      </c>
      <c r="S972" s="34" t="str" cm="1">
        <f t="array" ref="S972">IF($BA972="","",INDEX(tblServicios[Imp. suplemento (€)],$BA972))</f>
        <v/>
      </c>
      <c r="T972" t="str" cm="1">
        <f t="array" ref="T972">IF($BA972="","",INDEX(tblServicios[Tipo suplemento],$BA972))</f>
        <v/>
      </c>
      <c r="U972" s="2" t="str">
        <f t="shared" si="17"/>
        <v/>
      </c>
      <c r="V972" t="str" cm="1">
        <f t="array" ref="V972">IF($BA972="","",IF(INDEX(tblServicios[Conductor],$BA972)=$T$2,"Conductor",IF(INDEX(tblServicios[Personal adicional],$BA972)=$T$2,"Personal adicional","")))</f>
        <v/>
      </c>
      <c r="BA972" s="33" t="str" cm="1">
        <f t="array" ref="BA9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adicional]=$T$2))&gt;0)),ROW(A974)),"")</f>
        <v/>
      </c>
    </row>
    <row r="973" spans="15:53" x14ac:dyDescent="0.35">
      <c r="O973" s="1" t="str" cm="1">
        <f t="array" ref="O973">IF($BA973="","",INDEX(tblServicios[Fecha],$BA973))</f>
        <v/>
      </c>
      <c r="P973" t="str" cm="1">
        <f t="array" ref="P973">IF($BA973="","",INDEX(tblServicios[Contrato],$BA973))</f>
        <v/>
      </c>
      <c r="Q973" t="str" cm="1">
        <f t="array" ref="Q973">IF($BA973="","",INDEX(tblServicios[Vehículo],$BA973))</f>
        <v/>
      </c>
      <c r="R973" s="34" t="str" cm="1">
        <f t="array" ref="R973">IF($BA973="","",INDEX(tblServicios[Base imponible (€)],$BA973)-INDEX(tblServicios[Imp. suplemento (€)],$BA973))</f>
        <v/>
      </c>
      <c r="S973" s="34" t="str" cm="1">
        <f t="array" ref="S973">IF($BA973="","",INDEX(tblServicios[Imp. suplemento (€)],$BA973))</f>
        <v/>
      </c>
      <c r="T973" t="str" cm="1">
        <f t="array" ref="T973">IF($BA973="","",INDEX(tblServicios[Tipo suplemento],$BA973))</f>
        <v/>
      </c>
      <c r="U973" s="2" t="str">
        <f t="shared" si="17"/>
        <v/>
      </c>
      <c r="V973" t="str" cm="1">
        <f t="array" ref="V973">IF($BA973="","",IF(INDEX(tblServicios[Conductor],$BA973)=$T$2,"Conductor",IF(INDEX(tblServicios[Personal adicional],$BA973)=$T$2,"Personal adicional","")))</f>
        <v/>
      </c>
      <c r="BA973" s="33" t="str" cm="1">
        <f t="array" ref="BA9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adicional]=$T$2))&gt;0)),ROW(A975)),"")</f>
        <v/>
      </c>
    </row>
    <row r="974" spans="15:53" x14ac:dyDescent="0.35">
      <c r="O974" s="1" t="str" cm="1">
        <f t="array" ref="O974">IF($BA974="","",INDEX(tblServicios[Fecha],$BA974))</f>
        <v/>
      </c>
      <c r="P974" t="str" cm="1">
        <f t="array" ref="P974">IF($BA974="","",INDEX(tblServicios[Contrato],$BA974))</f>
        <v/>
      </c>
      <c r="Q974" t="str" cm="1">
        <f t="array" ref="Q974">IF($BA974="","",INDEX(tblServicios[Vehículo],$BA974))</f>
        <v/>
      </c>
      <c r="R974" s="34" t="str" cm="1">
        <f t="array" ref="R974">IF($BA974="","",INDEX(tblServicios[Base imponible (€)],$BA974)-INDEX(tblServicios[Imp. suplemento (€)],$BA974))</f>
        <v/>
      </c>
      <c r="S974" s="34" t="str" cm="1">
        <f t="array" ref="S974">IF($BA974="","",INDEX(tblServicios[Imp. suplemento (€)],$BA974))</f>
        <v/>
      </c>
      <c r="T974" t="str" cm="1">
        <f t="array" ref="T974">IF($BA974="","",INDEX(tblServicios[Tipo suplemento],$BA974))</f>
        <v/>
      </c>
      <c r="U974" s="2" t="str">
        <f t="shared" si="17"/>
        <v/>
      </c>
      <c r="V974" t="str" cm="1">
        <f t="array" ref="V974">IF($BA974="","",IF(INDEX(tblServicios[Conductor],$BA974)=$T$2,"Conductor",IF(INDEX(tblServicios[Personal adicional],$BA974)=$T$2,"Personal adicional","")))</f>
        <v/>
      </c>
      <c r="BA974" s="33" t="str" cm="1">
        <f t="array" ref="BA9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adicional]=$T$2))&gt;0)),ROW(A976)),"")</f>
        <v/>
      </c>
    </row>
    <row r="975" spans="15:53" x14ac:dyDescent="0.35">
      <c r="O975" s="1" t="str" cm="1">
        <f t="array" ref="O975">IF($BA975="","",INDEX(tblServicios[Fecha],$BA975))</f>
        <v/>
      </c>
      <c r="P975" t="str" cm="1">
        <f t="array" ref="P975">IF($BA975="","",INDEX(tblServicios[Contrato],$BA975))</f>
        <v/>
      </c>
      <c r="Q975" t="str" cm="1">
        <f t="array" ref="Q975">IF($BA975="","",INDEX(tblServicios[Vehículo],$BA975))</f>
        <v/>
      </c>
      <c r="R975" s="34" t="str" cm="1">
        <f t="array" ref="R975">IF($BA975="","",INDEX(tblServicios[Base imponible (€)],$BA975)-INDEX(tblServicios[Imp. suplemento (€)],$BA975))</f>
        <v/>
      </c>
      <c r="S975" s="34" t="str" cm="1">
        <f t="array" ref="S975">IF($BA975="","",INDEX(tblServicios[Imp. suplemento (€)],$BA975))</f>
        <v/>
      </c>
      <c r="T975" t="str" cm="1">
        <f t="array" ref="T975">IF($BA975="","",INDEX(tblServicios[Tipo suplemento],$BA975))</f>
        <v/>
      </c>
      <c r="U975" s="2" t="str">
        <f t="shared" si="17"/>
        <v/>
      </c>
      <c r="V975" t="str" cm="1">
        <f t="array" ref="V975">IF($BA975="","",IF(INDEX(tblServicios[Conductor],$BA975)=$T$2,"Conductor",IF(INDEX(tblServicios[Personal adicional],$BA975)=$T$2,"Personal adicional","")))</f>
        <v/>
      </c>
      <c r="BA975" s="33" t="str" cm="1">
        <f t="array" ref="BA9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adicional]=$T$2))&gt;0)),ROW(A977)),"")</f>
        <v/>
      </c>
    </row>
    <row r="976" spans="15:53" x14ac:dyDescent="0.35">
      <c r="O976" s="1" t="str" cm="1">
        <f t="array" ref="O976">IF($BA976="","",INDEX(tblServicios[Fecha],$BA976))</f>
        <v/>
      </c>
      <c r="P976" t="str" cm="1">
        <f t="array" ref="P976">IF($BA976="","",INDEX(tblServicios[Contrato],$BA976))</f>
        <v/>
      </c>
      <c r="Q976" t="str" cm="1">
        <f t="array" ref="Q976">IF($BA976="","",INDEX(tblServicios[Vehículo],$BA976))</f>
        <v/>
      </c>
      <c r="R976" s="34" t="str" cm="1">
        <f t="array" ref="R976">IF($BA976="","",INDEX(tblServicios[Base imponible (€)],$BA976)-INDEX(tblServicios[Imp. suplemento (€)],$BA976))</f>
        <v/>
      </c>
      <c r="S976" s="34" t="str" cm="1">
        <f t="array" ref="S976">IF($BA976="","",INDEX(tblServicios[Imp. suplemento (€)],$BA976))</f>
        <v/>
      </c>
      <c r="T976" t="str" cm="1">
        <f t="array" ref="T976">IF($BA976="","",INDEX(tblServicios[Tipo suplemento],$BA976))</f>
        <v/>
      </c>
      <c r="U976" s="2" t="str">
        <f t="shared" si="17"/>
        <v/>
      </c>
      <c r="V976" t="str" cm="1">
        <f t="array" ref="V976">IF($BA976="","",IF(INDEX(tblServicios[Conductor],$BA976)=$T$2,"Conductor",IF(INDEX(tblServicios[Personal adicional],$BA976)=$T$2,"Personal adicional","")))</f>
        <v/>
      </c>
      <c r="BA976" s="33" t="str" cm="1">
        <f t="array" ref="BA9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adicional]=$T$2))&gt;0)),ROW(A978)),"")</f>
        <v/>
      </c>
    </row>
    <row r="977" spans="15:53" x14ac:dyDescent="0.35">
      <c r="O977" s="1" t="str" cm="1">
        <f t="array" ref="O977">IF($BA977="","",INDEX(tblServicios[Fecha],$BA977))</f>
        <v/>
      </c>
      <c r="P977" t="str" cm="1">
        <f t="array" ref="P977">IF($BA977="","",INDEX(tblServicios[Contrato],$BA977))</f>
        <v/>
      </c>
      <c r="Q977" t="str" cm="1">
        <f t="array" ref="Q977">IF($BA977="","",INDEX(tblServicios[Vehículo],$BA977))</f>
        <v/>
      </c>
      <c r="R977" s="34" t="str" cm="1">
        <f t="array" ref="R977">IF($BA977="","",INDEX(tblServicios[Base imponible (€)],$BA977)-INDEX(tblServicios[Imp. suplemento (€)],$BA977))</f>
        <v/>
      </c>
      <c r="S977" s="34" t="str" cm="1">
        <f t="array" ref="S977">IF($BA977="","",INDEX(tblServicios[Imp. suplemento (€)],$BA977))</f>
        <v/>
      </c>
      <c r="T977" t="str" cm="1">
        <f t="array" ref="T977">IF($BA977="","",INDEX(tblServicios[Tipo suplemento],$BA977))</f>
        <v/>
      </c>
      <c r="U977" s="2" t="str">
        <f t="shared" si="17"/>
        <v/>
      </c>
      <c r="V977" t="str" cm="1">
        <f t="array" ref="V977">IF($BA977="","",IF(INDEX(tblServicios[Conductor],$BA977)=$T$2,"Conductor",IF(INDEX(tblServicios[Personal adicional],$BA977)=$T$2,"Personal adicional","")))</f>
        <v/>
      </c>
      <c r="BA977" s="33" t="str" cm="1">
        <f t="array" ref="BA9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adicional]=$T$2))&gt;0)),ROW(A979)),"")</f>
        <v/>
      </c>
    </row>
    <row r="978" spans="15:53" x14ac:dyDescent="0.35">
      <c r="O978" s="1" t="str" cm="1">
        <f t="array" ref="O978">IF($BA978="","",INDEX(tblServicios[Fecha],$BA978))</f>
        <v/>
      </c>
      <c r="P978" t="str" cm="1">
        <f t="array" ref="P978">IF($BA978="","",INDEX(tblServicios[Contrato],$BA978))</f>
        <v/>
      </c>
      <c r="Q978" t="str" cm="1">
        <f t="array" ref="Q978">IF($BA978="","",INDEX(tblServicios[Vehículo],$BA978))</f>
        <v/>
      </c>
      <c r="R978" s="34" t="str" cm="1">
        <f t="array" ref="R978">IF($BA978="","",INDEX(tblServicios[Base imponible (€)],$BA978)-INDEX(tblServicios[Imp. suplemento (€)],$BA978))</f>
        <v/>
      </c>
      <c r="S978" s="34" t="str" cm="1">
        <f t="array" ref="S978">IF($BA978="","",INDEX(tblServicios[Imp. suplemento (€)],$BA978))</f>
        <v/>
      </c>
      <c r="T978" t="str" cm="1">
        <f t="array" ref="T978">IF($BA978="","",INDEX(tblServicios[Tipo suplemento],$BA978))</f>
        <v/>
      </c>
      <c r="U978" s="2" t="str">
        <f t="shared" si="17"/>
        <v/>
      </c>
      <c r="V978" t="str" cm="1">
        <f t="array" ref="V978">IF($BA978="","",IF(INDEX(tblServicios[Conductor],$BA978)=$T$2,"Conductor",IF(INDEX(tblServicios[Personal adicional],$BA978)=$T$2,"Personal adicional","")))</f>
        <v/>
      </c>
      <c r="BA978" s="33" t="str" cm="1">
        <f t="array" ref="BA9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adicional]=$T$2))&gt;0)),ROW(A980)),"")</f>
        <v/>
      </c>
    </row>
    <row r="979" spans="15:53" x14ac:dyDescent="0.35">
      <c r="O979" s="1" t="str" cm="1">
        <f t="array" ref="O979">IF($BA979="","",INDEX(tblServicios[Fecha],$BA979))</f>
        <v/>
      </c>
      <c r="P979" t="str" cm="1">
        <f t="array" ref="P979">IF($BA979="","",INDEX(tblServicios[Contrato],$BA979))</f>
        <v/>
      </c>
      <c r="Q979" t="str" cm="1">
        <f t="array" ref="Q979">IF($BA979="","",INDEX(tblServicios[Vehículo],$BA979))</f>
        <v/>
      </c>
      <c r="R979" s="34" t="str" cm="1">
        <f t="array" ref="R979">IF($BA979="","",INDEX(tblServicios[Base imponible (€)],$BA979)-INDEX(tblServicios[Imp. suplemento (€)],$BA979))</f>
        <v/>
      </c>
      <c r="S979" s="34" t="str" cm="1">
        <f t="array" ref="S979">IF($BA979="","",INDEX(tblServicios[Imp. suplemento (€)],$BA979))</f>
        <v/>
      </c>
      <c r="T979" t="str" cm="1">
        <f t="array" ref="T979">IF($BA979="","",INDEX(tblServicios[Tipo suplemento],$BA979))</f>
        <v/>
      </c>
      <c r="U979" s="2" t="str">
        <f t="shared" si="17"/>
        <v/>
      </c>
      <c r="V979" t="str" cm="1">
        <f t="array" ref="V979">IF($BA979="","",IF(INDEX(tblServicios[Conductor],$BA979)=$T$2,"Conductor",IF(INDEX(tblServicios[Personal adicional],$BA979)=$T$2,"Personal adicional","")))</f>
        <v/>
      </c>
      <c r="BA979" s="33" t="str" cm="1">
        <f t="array" ref="BA9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adicional]=$T$2))&gt;0)),ROW(A981)),"")</f>
        <v/>
      </c>
    </row>
    <row r="980" spans="15:53" x14ac:dyDescent="0.35">
      <c r="O980" s="1" t="str" cm="1">
        <f t="array" ref="O980">IF($BA980="","",INDEX(tblServicios[Fecha],$BA980))</f>
        <v/>
      </c>
      <c r="P980" t="str" cm="1">
        <f t="array" ref="P980">IF($BA980="","",INDEX(tblServicios[Contrato],$BA980))</f>
        <v/>
      </c>
      <c r="Q980" t="str" cm="1">
        <f t="array" ref="Q980">IF($BA980="","",INDEX(tblServicios[Vehículo],$BA980))</f>
        <v/>
      </c>
      <c r="R980" s="34" t="str" cm="1">
        <f t="array" ref="R980">IF($BA980="","",INDEX(tblServicios[Base imponible (€)],$BA980)-INDEX(tblServicios[Imp. suplemento (€)],$BA980))</f>
        <v/>
      </c>
      <c r="S980" s="34" t="str" cm="1">
        <f t="array" ref="S980">IF($BA980="","",INDEX(tblServicios[Imp. suplemento (€)],$BA980))</f>
        <v/>
      </c>
      <c r="T980" t="str" cm="1">
        <f t="array" ref="T980">IF($BA980="","",INDEX(tblServicios[Tipo suplemento],$BA980))</f>
        <v/>
      </c>
      <c r="U980" s="2" t="str">
        <f t="shared" si="17"/>
        <v/>
      </c>
      <c r="V980" t="str" cm="1">
        <f t="array" ref="V980">IF($BA980="","",IF(INDEX(tblServicios[Conductor],$BA980)=$T$2,"Conductor",IF(INDEX(tblServicios[Personal adicional],$BA980)=$T$2,"Personal adicional","")))</f>
        <v/>
      </c>
      <c r="BA980" s="33" t="str" cm="1">
        <f t="array" ref="BA9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adicional]=$T$2))&gt;0)),ROW(A982)),"")</f>
        <v/>
      </c>
    </row>
    <row r="981" spans="15:53" x14ac:dyDescent="0.35">
      <c r="O981" s="1" t="str" cm="1">
        <f t="array" ref="O981">IF($BA981="","",INDEX(tblServicios[Fecha],$BA981))</f>
        <v/>
      </c>
      <c r="P981" t="str" cm="1">
        <f t="array" ref="P981">IF($BA981="","",INDEX(tblServicios[Contrato],$BA981))</f>
        <v/>
      </c>
      <c r="Q981" t="str" cm="1">
        <f t="array" ref="Q981">IF($BA981="","",INDEX(tblServicios[Vehículo],$BA981))</f>
        <v/>
      </c>
      <c r="R981" s="34" t="str" cm="1">
        <f t="array" ref="R981">IF($BA981="","",INDEX(tblServicios[Base imponible (€)],$BA981)-INDEX(tblServicios[Imp. suplemento (€)],$BA981))</f>
        <v/>
      </c>
      <c r="S981" s="34" t="str" cm="1">
        <f t="array" ref="S981">IF($BA981="","",INDEX(tblServicios[Imp. suplemento (€)],$BA981))</f>
        <v/>
      </c>
      <c r="T981" t="str" cm="1">
        <f t="array" ref="T981">IF($BA981="","",INDEX(tblServicios[Tipo suplemento],$BA981))</f>
        <v/>
      </c>
      <c r="U981" s="2" t="str">
        <f t="shared" si="17"/>
        <v/>
      </c>
      <c r="V981" t="str" cm="1">
        <f t="array" ref="V981">IF($BA981="","",IF(INDEX(tblServicios[Conductor],$BA981)=$T$2,"Conductor",IF(INDEX(tblServicios[Personal adicional],$BA981)=$T$2,"Personal adicional","")))</f>
        <v/>
      </c>
      <c r="BA981" s="33" t="str" cm="1">
        <f t="array" ref="BA9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adicional]=$T$2))&gt;0)),ROW(A983)),"")</f>
        <v/>
      </c>
    </row>
    <row r="982" spans="15:53" x14ac:dyDescent="0.35">
      <c r="O982" s="1" t="str" cm="1">
        <f t="array" ref="O982">IF($BA982="","",INDEX(tblServicios[Fecha],$BA982))</f>
        <v/>
      </c>
      <c r="P982" t="str" cm="1">
        <f t="array" ref="P982">IF($BA982="","",INDEX(tblServicios[Contrato],$BA982))</f>
        <v/>
      </c>
      <c r="Q982" t="str" cm="1">
        <f t="array" ref="Q982">IF($BA982="","",INDEX(tblServicios[Vehículo],$BA982))</f>
        <v/>
      </c>
      <c r="R982" s="34" t="str" cm="1">
        <f t="array" ref="R982">IF($BA982="","",INDEX(tblServicios[Base imponible (€)],$BA982)-INDEX(tblServicios[Imp. suplemento (€)],$BA982))</f>
        <v/>
      </c>
      <c r="S982" s="34" t="str" cm="1">
        <f t="array" ref="S982">IF($BA982="","",INDEX(tblServicios[Imp. suplemento (€)],$BA982))</f>
        <v/>
      </c>
      <c r="T982" t="str" cm="1">
        <f t="array" ref="T982">IF($BA982="","",INDEX(tblServicios[Tipo suplemento],$BA982))</f>
        <v/>
      </c>
      <c r="U982" s="2" t="str">
        <f t="shared" si="17"/>
        <v/>
      </c>
      <c r="V982" t="str" cm="1">
        <f t="array" ref="V982">IF($BA982="","",IF(INDEX(tblServicios[Conductor],$BA982)=$T$2,"Conductor",IF(INDEX(tblServicios[Personal adicional],$BA982)=$T$2,"Personal adicional","")))</f>
        <v/>
      </c>
      <c r="BA982" s="33" t="str" cm="1">
        <f t="array" ref="BA9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adicional]=$T$2))&gt;0)),ROW(A984)),"")</f>
        <v/>
      </c>
    </row>
    <row r="983" spans="15:53" x14ac:dyDescent="0.35">
      <c r="O983" s="1" t="str" cm="1">
        <f t="array" ref="O983">IF($BA983="","",INDEX(tblServicios[Fecha],$BA983))</f>
        <v/>
      </c>
      <c r="P983" t="str" cm="1">
        <f t="array" ref="P983">IF($BA983="","",INDEX(tblServicios[Contrato],$BA983))</f>
        <v/>
      </c>
      <c r="Q983" t="str" cm="1">
        <f t="array" ref="Q983">IF($BA983="","",INDEX(tblServicios[Vehículo],$BA983))</f>
        <v/>
      </c>
      <c r="R983" s="34" t="str" cm="1">
        <f t="array" ref="R983">IF($BA983="","",INDEX(tblServicios[Base imponible (€)],$BA983)-INDEX(tblServicios[Imp. suplemento (€)],$BA983))</f>
        <v/>
      </c>
      <c r="S983" s="34" t="str" cm="1">
        <f t="array" ref="S983">IF($BA983="","",INDEX(tblServicios[Imp. suplemento (€)],$BA983))</f>
        <v/>
      </c>
      <c r="T983" t="str" cm="1">
        <f t="array" ref="T983">IF($BA983="","",INDEX(tblServicios[Tipo suplemento],$BA983))</f>
        <v/>
      </c>
      <c r="U983" s="2" t="str">
        <f t="shared" si="17"/>
        <v/>
      </c>
      <c r="V983" t="str" cm="1">
        <f t="array" ref="V983">IF($BA983="","",IF(INDEX(tblServicios[Conductor],$BA983)=$T$2,"Conductor",IF(INDEX(tblServicios[Personal adicional],$BA983)=$T$2,"Personal adicional","")))</f>
        <v/>
      </c>
      <c r="BA983" s="33" t="str" cm="1">
        <f t="array" ref="BA9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adicional]=$T$2))&gt;0)),ROW(A985)),"")</f>
        <v/>
      </c>
    </row>
    <row r="984" spans="15:53" x14ac:dyDescent="0.35">
      <c r="O984" s="1" t="str" cm="1">
        <f t="array" ref="O984">IF($BA984="","",INDEX(tblServicios[Fecha],$BA984))</f>
        <v/>
      </c>
      <c r="P984" t="str" cm="1">
        <f t="array" ref="P984">IF($BA984="","",INDEX(tblServicios[Contrato],$BA984))</f>
        <v/>
      </c>
      <c r="Q984" t="str" cm="1">
        <f t="array" ref="Q984">IF($BA984="","",INDEX(tblServicios[Vehículo],$BA984))</f>
        <v/>
      </c>
      <c r="R984" s="34" t="str" cm="1">
        <f t="array" ref="R984">IF($BA984="","",INDEX(tblServicios[Base imponible (€)],$BA984)-INDEX(tblServicios[Imp. suplemento (€)],$BA984))</f>
        <v/>
      </c>
      <c r="S984" s="34" t="str" cm="1">
        <f t="array" ref="S984">IF($BA984="","",INDEX(tblServicios[Imp. suplemento (€)],$BA984))</f>
        <v/>
      </c>
      <c r="T984" t="str" cm="1">
        <f t="array" ref="T984">IF($BA984="","",INDEX(tblServicios[Tipo suplemento],$BA984))</f>
        <v/>
      </c>
      <c r="U984" s="2" t="str">
        <f t="shared" si="17"/>
        <v/>
      </c>
      <c r="V984" t="str" cm="1">
        <f t="array" ref="V984">IF($BA984="","",IF(INDEX(tblServicios[Conductor],$BA984)=$T$2,"Conductor",IF(INDEX(tblServicios[Personal adicional],$BA984)=$T$2,"Personal adicional","")))</f>
        <v/>
      </c>
      <c r="BA984" s="33" t="str" cm="1">
        <f t="array" ref="BA9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adicional]=$T$2))&gt;0)),ROW(A986)),"")</f>
        <v/>
      </c>
    </row>
    <row r="985" spans="15:53" x14ac:dyDescent="0.35">
      <c r="O985" s="1" t="str" cm="1">
        <f t="array" ref="O985">IF($BA985="","",INDEX(tblServicios[Fecha],$BA985))</f>
        <v/>
      </c>
      <c r="P985" t="str" cm="1">
        <f t="array" ref="P985">IF($BA985="","",INDEX(tblServicios[Contrato],$BA985))</f>
        <v/>
      </c>
      <c r="Q985" t="str" cm="1">
        <f t="array" ref="Q985">IF($BA985="","",INDEX(tblServicios[Vehículo],$BA985))</f>
        <v/>
      </c>
      <c r="R985" s="34" t="str" cm="1">
        <f t="array" ref="R985">IF($BA985="","",INDEX(tblServicios[Base imponible (€)],$BA985)-INDEX(tblServicios[Imp. suplemento (€)],$BA985))</f>
        <v/>
      </c>
      <c r="S985" s="34" t="str" cm="1">
        <f t="array" ref="S985">IF($BA985="","",INDEX(tblServicios[Imp. suplemento (€)],$BA985))</f>
        <v/>
      </c>
      <c r="T985" t="str" cm="1">
        <f t="array" ref="T985">IF($BA985="","",INDEX(tblServicios[Tipo suplemento],$BA985))</f>
        <v/>
      </c>
      <c r="U985" s="2" t="str">
        <f t="shared" si="17"/>
        <v/>
      </c>
      <c r="V985" t="str" cm="1">
        <f t="array" ref="V985">IF($BA985="","",IF(INDEX(tblServicios[Conductor],$BA985)=$T$2,"Conductor",IF(INDEX(tblServicios[Personal adicional],$BA985)=$T$2,"Personal adicional","")))</f>
        <v/>
      </c>
      <c r="BA985" s="33" t="str" cm="1">
        <f t="array" ref="BA9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adicional]=$T$2))&gt;0)),ROW(A987)),"")</f>
        <v/>
      </c>
    </row>
    <row r="986" spans="15:53" x14ac:dyDescent="0.35">
      <c r="O986" s="1" t="str" cm="1">
        <f t="array" ref="O986">IF($BA986="","",INDEX(tblServicios[Fecha],$BA986))</f>
        <v/>
      </c>
      <c r="P986" t="str" cm="1">
        <f t="array" ref="P986">IF($BA986="","",INDEX(tblServicios[Contrato],$BA986))</f>
        <v/>
      </c>
      <c r="Q986" t="str" cm="1">
        <f t="array" ref="Q986">IF($BA986="","",INDEX(tblServicios[Vehículo],$BA986))</f>
        <v/>
      </c>
      <c r="R986" s="34" t="str" cm="1">
        <f t="array" ref="R986">IF($BA986="","",INDEX(tblServicios[Base imponible (€)],$BA986)-INDEX(tblServicios[Imp. suplemento (€)],$BA986))</f>
        <v/>
      </c>
      <c r="S986" s="34" t="str" cm="1">
        <f t="array" ref="S986">IF($BA986="","",INDEX(tblServicios[Imp. suplemento (€)],$BA986))</f>
        <v/>
      </c>
      <c r="T986" t="str" cm="1">
        <f t="array" ref="T986">IF($BA986="","",INDEX(tblServicios[Tipo suplemento],$BA986))</f>
        <v/>
      </c>
      <c r="U986" s="2" t="str">
        <f t="shared" si="17"/>
        <v/>
      </c>
      <c r="V986" t="str" cm="1">
        <f t="array" ref="V986">IF($BA986="","",IF(INDEX(tblServicios[Conductor],$BA986)=$T$2,"Conductor",IF(INDEX(tblServicios[Personal adicional],$BA986)=$T$2,"Personal adicional","")))</f>
        <v/>
      </c>
      <c r="BA986" s="33" t="str" cm="1">
        <f t="array" ref="BA9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adicional]=$T$2))&gt;0)),ROW(A988)),"")</f>
        <v/>
      </c>
    </row>
    <row r="987" spans="15:53" x14ac:dyDescent="0.35">
      <c r="O987" s="1" t="str" cm="1">
        <f t="array" ref="O987">IF($BA987="","",INDEX(tblServicios[Fecha],$BA987))</f>
        <v/>
      </c>
      <c r="P987" t="str" cm="1">
        <f t="array" ref="P987">IF($BA987="","",INDEX(tblServicios[Contrato],$BA987))</f>
        <v/>
      </c>
      <c r="Q987" t="str" cm="1">
        <f t="array" ref="Q987">IF($BA987="","",INDEX(tblServicios[Vehículo],$BA987))</f>
        <v/>
      </c>
      <c r="R987" s="34" t="str" cm="1">
        <f t="array" ref="R987">IF($BA987="","",INDEX(tblServicios[Base imponible (€)],$BA987)-INDEX(tblServicios[Imp. suplemento (€)],$BA987))</f>
        <v/>
      </c>
      <c r="S987" s="34" t="str" cm="1">
        <f t="array" ref="S987">IF($BA987="","",INDEX(tblServicios[Imp. suplemento (€)],$BA987))</f>
        <v/>
      </c>
      <c r="T987" t="str" cm="1">
        <f t="array" ref="T987">IF($BA987="","",INDEX(tblServicios[Tipo suplemento],$BA987))</f>
        <v/>
      </c>
      <c r="U987" s="2" t="str">
        <f t="shared" si="17"/>
        <v/>
      </c>
      <c r="V987" t="str" cm="1">
        <f t="array" ref="V987">IF($BA987="","",IF(INDEX(tblServicios[Conductor],$BA987)=$T$2,"Conductor",IF(INDEX(tblServicios[Personal adicional],$BA987)=$T$2,"Personal adicional","")))</f>
        <v/>
      </c>
      <c r="BA987" s="33" t="str" cm="1">
        <f t="array" ref="BA9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adicional]=$T$2))&gt;0)),ROW(A989)),"")</f>
        <v/>
      </c>
    </row>
    <row r="988" spans="15:53" x14ac:dyDescent="0.35">
      <c r="O988" s="1" t="str" cm="1">
        <f t="array" ref="O988">IF($BA988="","",INDEX(tblServicios[Fecha],$BA988))</f>
        <v/>
      </c>
      <c r="P988" t="str" cm="1">
        <f t="array" ref="P988">IF($BA988="","",INDEX(tblServicios[Contrato],$BA988))</f>
        <v/>
      </c>
      <c r="Q988" t="str" cm="1">
        <f t="array" ref="Q988">IF($BA988="","",INDEX(tblServicios[Vehículo],$BA988))</f>
        <v/>
      </c>
      <c r="R988" s="34" t="str" cm="1">
        <f t="array" ref="R988">IF($BA988="","",INDEX(tblServicios[Base imponible (€)],$BA988)-INDEX(tblServicios[Imp. suplemento (€)],$BA988))</f>
        <v/>
      </c>
      <c r="S988" s="34" t="str" cm="1">
        <f t="array" ref="S988">IF($BA988="","",INDEX(tblServicios[Imp. suplemento (€)],$BA988))</f>
        <v/>
      </c>
      <c r="T988" t="str" cm="1">
        <f t="array" ref="T988">IF($BA988="","",INDEX(tblServicios[Tipo suplemento],$BA988))</f>
        <v/>
      </c>
      <c r="U988" s="2" t="str">
        <f t="shared" si="17"/>
        <v/>
      </c>
      <c r="V988" t="str" cm="1">
        <f t="array" ref="V988">IF($BA988="","",IF(INDEX(tblServicios[Conductor],$BA988)=$T$2,"Conductor",IF(INDEX(tblServicios[Personal adicional],$BA988)=$T$2,"Personal adicional","")))</f>
        <v/>
      </c>
      <c r="BA988" s="33" t="str" cm="1">
        <f t="array" ref="BA9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adicional]=$T$2))&gt;0)),ROW(A990)),"")</f>
        <v/>
      </c>
    </row>
    <row r="989" spans="15:53" x14ac:dyDescent="0.35">
      <c r="O989" s="1" t="str" cm="1">
        <f t="array" ref="O989">IF($BA989="","",INDEX(tblServicios[Fecha],$BA989))</f>
        <v/>
      </c>
      <c r="P989" t="str" cm="1">
        <f t="array" ref="P989">IF($BA989="","",INDEX(tblServicios[Contrato],$BA989))</f>
        <v/>
      </c>
      <c r="Q989" t="str" cm="1">
        <f t="array" ref="Q989">IF($BA989="","",INDEX(tblServicios[Vehículo],$BA989))</f>
        <v/>
      </c>
      <c r="R989" s="34" t="str" cm="1">
        <f t="array" ref="R989">IF($BA989="","",INDEX(tblServicios[Base imponible (€)],$BA989)-INDEX(tblServicios[Imp. suplemento (€)],$BA989))</f>
        <v/>
      </c>
      <c r="S989" s="34" t="str" cm="1">
        <f t="array" ref="S989">IF($BA989="","",INDEX(tblServicios[Imp. suplemento (€)],$BA989))</f>
        <v/>
      </c>
      <c r="T989" t="str" cm="1">
        <f t="array" ref="T989">IF($BA989="","",INDEX(tblServicios[Tipo suplemento],$BA989))</f>
        <v/>
      </c>
      <c r="U989" s="2" t="str">
        <f t="shared" si="17"/>
        <v/>
      </c>
      <c r="V989" t="str" cm="1">
        <f t="array" ref="V989">IF($BA989="","",IF(INDEX(tblServicios[Conductor],$BA989)=$T$2,"Conductor",IF(INDEX(tblServicios[Personal adicional],$BA989)=$T$2,"Personal adicional","")))</f>
        <v/>
      </c>
      <c r="BA989" s="33" t="str" cm="1">
        <f t="array" ref="BA9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adicional]=$T$2))&gt;0)),ROW(A991)),"")</f>
        <v/>
      </c>
    </row>
    <row r="990" spans="15:53" x14ac:dyDescent="0.35">
      <c r="O990" s="1" t="str" cm="1">
        <f t="array" ref="O990">IF($BA990="","",INDEX(tblServicios[Fecha],$BA990))</f>
        <v/>
      </c>
      <c r="P990" t="str" cm="1">
        <f t="array" ref="P990">IF($BA990="","",INDEX(tblServicios[Contrato],$BA990))</f>
        <v/>
      </c>
      <c r="Q990" t="str" cm="1">
        <f t="array" ref="Q990">IF($BA990="","",INDEX(tblServicios[Vehículo],$BA990))</f>
        <v/>
      </c>
      <c r="R990" s="34" t="str" cm="1">
        <f t="array" ref="R990">IF($BA990="","",INDEX(tblServicios[Base imponible (€)],$BA990)-INDEX(tblServicios[Imp. suplemento (€)],$BA990))</f>
        <v/>
      </c>
      <c r="S990" s="34" t="str" cm="1">
        <f t="array" ref="S990">IF($BA990="","",INDEX(tblServicios[Imp. suplemento (€)],$BA990))</f>
        <v/>
      </c>
      <c r="T990" t="str" cm="1">
        <f t="array" ref="T990">IF($BA990="","",INDEX(tblServicios[Tipo suplemento],$BA990))</f>
        <v/>
      </c>
      <c r="U990" s="2" t="str">
        <f t="shared" si="17"/>
        <v/>
      </c>
      <c r="V990" t="str" cm="1">
        <f t="array" ref="V990">IF($BA990="","",IF(INDEX(tblServicios[Conductor],$BA990)=$T$2,"Conductor",IF(INDEX(tblServicios[Personal adicional],$BA990)=$T$2,"Personal adicional","")))</f>
        <v/>
      </c>
      <c r="BA990" s="33" t="str" cm="1">
        <f t="array" ref="BA9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adicional]=$T$2))&gt;0)),ROW(A992)),"")</f>
        <v/>
      </c>
    </row>
    <row r="991" spans="15:53" x14ac:dyDescent="0.35">
      <c r="O991" s="1" t="str" cm="1">
        <f t="array" ref="O991">IF($BA991="","",INDEX(tblServicios[Fecha],$BA991))</f>
        <v/>
      </c>
      <c r="P991" t="str" cm="1">
        <f t="array" ref="P991">IF($BA991="","",INDEX(tblServicios[Contrato],$BA991))</f>
        <v/>
      </c>
      <c r="Q991" t="str" cm="1">
        <f t="array" ref="Q991">IF($BA991="","",INDEX(tblServicios[Vehículo],$BA991))</f>
        <v/>
      </c>
      <c r="R991" s="34" t="str" cm="1">
        <f t="array" ref="R991">IF($BA991="","",INDEX(tblServicios[Base imponible (€)],$BA991)-INDEX(tblServicios[Imp. suplemento (€)],$BA991))</f>
        <v/>
      </c>
      <c r="S991" s="34" t="str" cm="1">
        <f t="array" ref="S991">IF($BA991="","",INDEX(tblServicios[Imp. suplemento (€)],$BA991))</f>
        <v/>
      </c>
      <c r="T991" t="str" cm="1">
        <f t="array" ref="T991">IF($BA991="","",INDEX(tblServicios[Tipo suplemento],$BA991))</f>
        <v/>
      </c>
      <c r="U991" s="2" t="str">
        <f t="shared" si="17"/>
        <v/>
      </c>
      <c r="V991" t="str" cm="1">
        <f t="array" ref="V991">IF($BA991="","",IF(INDEX(tblServicios[Conductor],$BA991)=$T$2,"Conductor",IF(INDEX(tblServicios[Personal adicional],$BA991)=$T$2,"Personal adicional","")))</f>
        <v/>
      </c>
      <c r="BA991" s="33" t="str" cm="1">
        <f t="array" ref="BA9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adicional]=$T$2))&gt;0)),ROW(A993)),"")</f>
        <v/>
      </c>
    </row>
    <row r="992" spans="15:53" x14ac:dyDescent="0.35">
      <c r="O992" s="1" t="str" cm="1">
        <f t="array" ref="O992">IF($BA992="","",INDEX(tblServicios[Fecha],$BA992))</f>
        <v/>
      </c>
      <c r="P992" t="str" cm="1">
        <f t="array" ref="P992">IF($BA992="","",INDEX(tblServicios[Contrato],$BA992))</f>
        <v/>
      </c>
      <c r="Q992" t="str" cm="1">
        <f t="array" ref="Q992">IF($BA992="","",INDEX(tblServicios[Vehículo],$BA992))</f>
        <v/>
      </c>
      <c r="R992" s="34" t="str" cm="1">
        <f t="array" ref="R992">IF($BA992="","",INDEX(tblServicios[Base imponible (€)],$BA992)-INDEX(tblServicios[Imp. suplemento (€)],$BA992))</f>
        <v/>
      </c>
      <c r="S992" s="34" t="str" cm="1">
        <f t="array" ref="S992">IF($BA992="","",INDEX(tblServicios[Imp. suplemento (€)],$BA992))</f>
        <v/>
      </c>
      <c r="T992" t="str" cm="1">
        <f t="array" ref="T992">IF($BA992="","",INDEX(tblServicios[Tipo suplemento],$BA992))</f>
        <v/>
      </c>
      <c r="U992" s="2" t="str">
        <f t="shared" si="17"/>
        <v/>
      </c>
      <c r="V992" t="str" cm="1">
        <f t="array" ref="V992">IF($BA992="","",IF(INDEX(tblServicios[Conductor],$BA992)=$T$2,"Conductor",IF(INDEX(tblServicios[Personal adicional],$BA992)=$T$2,"Personal adicional","")))</f>
        <v/>
      </c>
      <c r="BA992" s="33" t="str" cm="1">
        <f t="array" ref="BA9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adicional]=$T$2))&gt;0)),ROW(A994)),"")</f>
        <v/>
      </c>
    </row>
    <row r="993" spans="15:53" x14ac:dyDescent="0.35">
      <c r="O993" s="1" t="str" cm="1">
        <f t="array" ref="O993">IF($BA993="","",INDEX(tblServicios[Fecha],$BA993))</f>
        <v/>
      </c>
      <c r="P993" t="str" cm="1">
        <f t="array" ref="P993">IF($BA993="","",INDEX(tblServicios[Contrato],$BA993))</f>
        <v/>
      </c>
      <c r="Q993" t="str" cm="1">
        <f t="array" ref="Q993">IF($BA993="","",INDEX(tblServicios[Vehículo],$BA993))</f>
        <v/>
      </c>
      <c r="R993" s="34" t="str" cm="1">
        <f t="array" ref="R993">IF($BA993="","",INDEX(tblServicios[Base imponible (€)],$BA993)-INDEX(tblServicios[Imp. suplemento (€)],$BA993))</f>
        <v/>
      </c>
      <c r="S993" s="34" t="str" cm="1">
        <f t="array" ref="S993">IF($BA993="","",INDEX(tblServicios[Imp. suplemento (€)],$BA993))</f>
        <v/>
      </c>
      <c r="T993" t="str" cm="1">
        <f t="array" ref="T993">IF($BA993="","",INDEX(tblServicios[Tipo suplemento],$BA993))</f>
        <v/>
      </c>
      <c r="U993" s="2" t="str">
        <f t="shared" si="17"/>
        <v/>
      </c>
      <c r="V993" t="str" cm="1">
        <f t="array" ref="V993">IF($BA993="","",IF(INDEX(tblServicios[Conductor],$BA993)=$T$2,"Conductor",IF(INDEX(tblServicios[Personal adicional],$BA993)=$T$2,"Personal adicional","")))</f>
        <v/>
      </c>
      <c r="BA993" s="33" t="str" cm="1">
        <f t="array" ref="BA9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adicional]=$T$2))&gt;0)),ROW(A995)),"")</f>
        <v/>
      </c>
    </row>
    <row r="994" spans="15:53" x14ac:dyDescent="0.35">
      <c r="O994" s="1" t="str" cm="1">
        <f t="array" ref="O994">IF($BA994="","",INDEX(tblServicios[Fecha],$BA994))</f>
        <v/>
      </c>
      <c r="P994" t="str" cm="1">
        <f t="array" ref="P994">IF($BA994="","",INDEX(tblServicios[Contrato],$BA994))</f>
        <v/>
      </c>
      <c r="Q994" t="str" cm="1">
        <f t="array" ref="Q994">IF($BA994="","",INDEX(tblServicios[Vehículo],$BA994))</f>
        <v/>
      </c>
      <c r="R994" s="34" t="str" cm="1">
        <f t="array" ref="R994">IF($BA994="","",INDEX(tblServicios[Base imponible (€)],$BA994)-INDEX(tblServicios[Imp. suplemento (€)],$BA994))</f>
        <v/>
      </c>
      <c r="S994" s="34" t="str" cm="1">
        <f t="array" ref="S994">IF($BA994="","",INDEX(tblServicios[Imp. suplemento (€)],$BA994))</f>
        <v/>
      </c>
      <c r="T994" t="str" cm="1">
        <f t="array" ref="T994">IF($BA994="","",INDEX(tblServicios[Tipo suplemento],$BA994))</f>
        <v/>
      </c>
      <c r="U994" s="2" t="str">
        <f t="shared" si="17"/>
        <v/>
      </c>
      <c r="V994" t="str" cm="1">
        <f t="array" ref="V994">IF($BA994="","",IF(INDEX(tblServicios[Conductor],$BA994)=$T$2,"Conductor",IF(INDEX(tblServicios[Personal adicional],$BA994)=$T$2,"Personal adicional","")))</f>
        <v/>
      </c>
      <c r="BA994" s="33" t="str" cm="1">
        <f t="array" ref="BA9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adicional]=$T$2))&gt;0)),ROW(A996)),"")</f>
        <v/>
      </c>
    </row>
    <row r="995" spans="15:53" x14ac:dyDescent="0.35">
      <c r="O995" s="1" t="str" cm="1">
        <f t="array" ref="O995">IF($BA995="","",INDEX(tblServicios[Fecha],$BA995))</f>
        <v/>
      </c>
      <c r="P995" t="str" cm="1">
        <f t="array" ref="P995">IF($BA995="","",INDEX(tblServicios[Contrato],$BA995))</f>
        <v/>
      </c>
      <c r="Q995" t="str" cm="1">
        <f t="array" ref="Q995">IF($BA995="","",INDEX(tblServicios[Vehículo],$BA995))</f>
        <v/>
      </c>
      <c r="R995" s="34" t="str" cm="1">
        <f t="array" ref="R995">IF($BA995="","",INDEX(tblServicios[Base imponible (€)],$BA995)-INDEX(tblServicios[Imp. suplemento (€)],$BA995))</f>
        <v/>
      </c>
      <c r="S995" s="34" t="str" cm="1">
        <f t="array" ref="S995">IF($BA995="","",INDEX(tblServicios[Imp. suplemento (€)],$BA995))</f>
        <v/>
      </c>
      <c r="T995" t="str" cm="1">
        <f t="array" ref="T995">IF($BA995="","",INDEX(tblServicios[Tipo suplemento],$BA995))</f>
        <v/>
      </c>
      <c r="U995" s="2" t="str">
        <f t="shared" si="17"/>
        <v/>
      </c>
      <c r="V995" t="str" cm="1">
        <f t="array" ref="V995">IF($BA995="","",IF(INDEX(tblServicios[Conductor],$BA995)=$T$2,"Conductor",IF(INDEX(tblServicios[Personal adicional],$BA995)=$T$2,"Personal adicional","")))</f>
        <v/>
      </c>
      <c r="BA995" s="33" t="str" cm="1">
        <f t="array" ref="BA9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adicional]=$T$2))&gt;0)),ROW(A997)),"")</f>
        <v/>
      </c>
    </row>
    <row r="996" spans="15:53" x14ac:dyDescent="0.35">
      <c r="O996" s="1" t="str" cm="1">
        <f t="array" ref="O996">IF($BA996="","",INDEX(tblServicios[Fecha],$BA996))</f>
        <v/>
      </c>
      <c r="P996" t="str" cm="1">
        <f t="array" ref="P996">IF($BA996="","",INDEX(tblServicios[Contrato],$BA996))</f>
        <v/>
      </c>
      <c r="Q996" t="str" cm="1">
        <f t="array" ref="Q996">IF($BA996="","",INDEX(tblServicios[Vehículo],$BA996))</f>
        <v/>
      </c>
      <c r="R996" s="34" t="str" cm="1">
        <f t="array" ref="R996">IF($BA996="","",INDEX(tblServicios[Base imponible (€)],$BA996)-INDEX(tblServicios[Imp. suplemento (€)],$BA996))</f>
        <v/>
      </c>
      <c r="S996" s="34" t="str" cm="1">
        <f t="array" ref="S996">IF($BA996="","",INDEX(tblServicios[Imp. suplemento (€)],$BA996))</f>
        <v/>
      </c>
      <c r="T996" t="str" cm="1">
        <f t="array" ref="T996">IF($BA996="","",INDEX(tblServicios[Tipo suplemento],$BA996))</f>
        <v/>
      </c>
      <c r="U996" s="2" t="str">
        <f t="shared" si="17"/>
        <v/>
      </c>
      <c r="V996" t="str" cm="1">
        <f t="array" ref="V996">IF($BA996="","",IF(INDEX(tblServicios[Conductor],$BA996)=$T$2,"Conductor",IF(INDEX(tblServicios[Personal adicional],$BA996)=$T$2,"Personal adicional","")))</f>
        <v/>
      </c>
      <c r="BA996" s="33" t="str" cm="1">
        <f t="array" ref="BA9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adicional]=$T$2))&gt;0)),ROW(A998)),"")</f>
        <v/>
      </c>
    </row>
    <row r="997" spans="15:53" x14ac:dyDescent="0.35">
      <c r="O997" s="1" t="str" cm="1">
        <f t="array" ref="O997">IF($BA997="","",INDEX(tblServicios[Fecha],$BA997))</f>
        <v/>
      </c>
      <c r="P997" t="str" cm="1">
        <f t="array" ref="P997">IF($BA997="","",INDEX(tblServicios[Contrato],$BA997))</f>
        <v/>
      </c>
      <c r="Q997" t="str" cm="1">
        <f t="array" ref="Q997">IF($BA997="","",INDEX(tblServicios[Vehículo],$BA997))</f>
        <v/>
      </c>
      <c r="R997" s="34" t="str" cm="1">
        <f t="array" ref="R997">IF($BA997="","",INDEX(tblServicios[Base imponible (€)],$BA997)-INDEX(tblServicios[Imp. suplemento (€)],$BA997))</f>
        <v/>
      </c>
      <c r="S997" s="34" t="str" cm="1">
        <f t="array" ref="S997">IF($BA997="","",INDEX(tblServicios[Imp. suplemento (€)],$BA997))</f>
        <v/>
      </c>
      <c r="T997" t="str" cm="1">
        <f t="array" ref="T997">IF($BA997="","",INDEX(tblServicios[Tipo suplemento],$BA997))</f>
        <v/>
      </c>
      <c r="U997" s="2" t="str">
        <f t="shared" si="17"/>
        <v/>
      </c>
      <c r="V997" t="str" cm="1">
        <f t="array" ref="V997">IF($BA997="","",IF(INDEX(tblServicios[Conductor],$BA997)=$T$2,"Conductor",IF(INDEX(tblServicios[Personal adicional],$BA997)=$T$2,"Personal adicional","")))</f>
        <v/>
      </c>
      <c r="BA997" s="33" t="str" cm="1">
        <f t="array" ref="BA9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adicional]=$T$2))&gt;0)),ROW(A999)),"")</f>
        <v/>
      </c>
    </row>
    <row r="998" spans="15:53" x14ac:dyDescent="0.35">
      <c r="O998" s="1" t="str" cm="1">
        <f t="array" ref="O998">IF($BA998="","",INDEX(tblServicios[Fecha],$BA998))</f>
        <v/>
      </c>
      <c r="P998" t="str" cm="1">
        <f t="array" ref="P998">IF($BA998="","",INDEX(tblServicios[Contrato],$BA998))</f>
        <v/>
      </c>
      <c r="Q998" t="str" cm="1">
        <f t="array" ref="Q998">IF($BA998="","",INDEX(tblServicios[Vehículo],$BA998))</f>
        <v/>
      </c>
      <c r="R998" s="34" t="str" cm="1">
        <f t="array" ref="R998">IF($BA998="","",INDEX(tblServicios[Base imponible (€)],$BA998)-INDEX(tblServicios[Imp. suplemento (€)],$BA998))</f>
        <v/>
      </c>
      <c r="S998" s="34" t="str" cm="1">
        <f t="array" ref="S998">IF($BA998="","",INDEX(tblServicios[Imp. suplemento (€)],$BA998))</f>
        <v/>
      </c>
      <c r="T998" t="str" cm="1">
        <f t="array" ref="T998">IF($BA998="","",INDEX(tblServicios[Tipo suplemento],$BA998))</f>
        <v/>
      </c>
      <c r="U998" s="2" t="str">
        <f t="shared" si="17"/>
        <v/>
      </c>
      <c r="V998" t="str" cm="1">
        <f t="array" ref="V998">IF($BA998="","",IF(INDEX(tblServicios[Conductor],$BA998)=$T$2,"Conductor",IF(INDEX(tblServicios[Personal adicional],$BA998)=$T$2,"Personal adicional","")))</f>
        <v/>
      </c>
      <c r="BA998" s="33" t="str" cm="1">
        <f t="array" ref="BA9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adicional]=$T$2))&gt;0)),ROW(A1000)),"")</f>
        <v/>
      </c>
    </row>
    <row r="999" spans="15:53" x14ac:dyDescent="0.35">
      <c r="O999" s="1" t="str" cm="1">
        <f t="array" ref="O999">IF($BA999="","",INDEX(tblServicios[Fecha],$BA999))</f>
        <v/>
      </c>
      <c r="P999" t="str" cm="1">
        <f t="array" ref="P999">IF($BA999="","",INDEX(tblServicios[Contrato],$BA999))</f>
        <v/>
      </c>
      <c r="Q999" t="str" cm="1">
        <f t="array" ref="Q999">IF($BA999="","",INDEX(tblServicios[Vehículo],$BA999))</f>
        <v/>
      </c>
      <c r="R999" s="34" t="str" cm="1">
        <f t="array" ref="R999">IF($BA999="","",INDEX(tblServicios[Base imponible (€)],$BA999)-INDEX(tblServicios[Imp. suplemento (€)],$BA999))</f>
        <v/>
      </c>
      <c r="S999" s="34" t="str" cm="1">
        <f t="array" ref="S999">IF($BA999="","",INDEX(tblServicios[Imp. suplemento (€)],$BA999))</f>
        <v/>
      </c>
      <c r="T999" t="str" cm="1">
        <f t="array" ref="T999">IF($BA999="","",INDEX(tblServicios[Tipo suplemento],$BA999))</f>
        <v/>
      </c>
      <c r="U999" s="2" t="str">
        <f t="shared" si="17"/>
        <v/>
      </c>
      <c r="V999" t="str" cm="1">
        <f t="array" ref="V999">IF($BA999="","",IF(INDEX(tblServicios[Conductor],$BA999)=$T$2,"Conductor",IF(INDEX(tblServicios[Personal adicional],$BA999)=$T$2,"Personal adicional","")))</f>
        <v/>
      </c>
      <c r="BA999" s="33" t="str" cm="1">
        <f t="array" ref="BA9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adicional]=$T$2))&gt;0)),ROW(A1001)),"")</f>
        <v/>
      </c>
    </row>
    <row r="1000" spans="15:53" x14ac:dyDescent="0.35">
      <c r="O1000" s="1" t="str" cm="1">
        <f t="array" ref="O1000">IF($BA1000="","",INDEX(tblServicios[Fecha],$BA1000))</f>
        <v/>
      </c>
      <c r="P1000" t="str" cm="1">
        <f t="array" ref="P1000">IF($BA1000="","",INDEX(tblServicios[Contrato],$BA1000))</f>
        <v/>
      </c>
      <c r="Q1000" t="str" cm="1">
        <f t="array" ref="Q1000">IF($BA1000="","",INDEX(tblServicios[Vehículo],$BA1000))</f>
        <v/>
      </c>
      <c r="R1000" s="34" t="str" cm="1">
        <f t="array" ref="R1000">IF($BA1000="","",INDEX(tblServicios[Base imponible (€)],$BA1000)-INDEX(tblServicios[Imp. suplemento (€)],$BA1000))</f>
        <v/>
      </c>
      <c r="S1000" s="34" t="str" cm="1">
        <f t="array" ref="S1000">IF($BA1000="","",INDEX(tblServicios[Imp. suplemento (€)],$BA1000))</f>
        <v/>
      </c>
      <c r="T1000" t="str" cm="1">
        <f t="array" ref="T1000">IF($BA1000="","",INDEX(tblServicios[Tipo suplemento],$BA1000))</f>
        <v/>
      </c>
      <c r="U1000" s="2" t="str">
        <f t="shared" si="17"/>
        <v/>
      </c>
      <c r="V1000" t="str" cm="1">
        <f t="array" ref="V1000">IF($BA1000="","",IF(INDEX(tblServicios[Conductor],$BA1000)=$T$2,"Conductor",IF(INDEX(tblServicios[Personal adicional],$BA1000)=$T$2,"Personal adicional","")))</f>
        <v/>
      </c>
      <c r="BA1000" s="33" t="str" cm="1">
        <f t="array" ref="BA10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adicional]=$T$2))&gt;0)),ROW(A1002)),"")</f>
        <v/>
      </c>
    </row>
    <row r="1001" spans="15:53" x14ac:dyDescent="0.35">
      <c r="O1001" s="1" t="str" cm="1">
        <f t="array" ref="O1001">IF($BA1001="","",INDEX(tblServicios[Fecha],$BA1001))</f>
        <v/>
      </c>
      <c r="P1001" t="str" cm="1">
        <f t="array" ref="P1001">IF($BA1001="","",INDEX(tblServicios[Contrato],$BA1001))</f>
        <v/>
      </c>
      <c r="Q1001" t="str" cm="1">
        <f t="array" ref="Q1001">IF($BA1001="","",INDEX(tblServicios[Vehículo],$BA1001))</f>
        <v/>
      </c>
      <c r="R1001" s="34" t="str" cm="1">
        <f t="array" ref="R1001">IF($BA1001="","",INDEX(tblServicios[Base imponible (€)],$BA1001)-INDEX(tblServicios[Imp. suplemento (€)],$BA1001))</f>
        <v/>
      </c>
      <c r="S1001" s="34" t="str" cm="1">
        <f t="array" ref="S1001">IF($BA1001="","",INDEX(tblServicios[Imp. suplemento (€)],$BA1001))</f>
        <v/>
      </c>
      <c r="T1001" t="str" cm="1">
        <f t="array" ref="T1001">IF($BA1001="","",INDEX(tblServicios[Tipo suplemento],$BA1001))</f>
        <v/>
      </c>
      <c r="U1001" s="2" t="str">
        <f t="shared" si="17"/>
        <v/>
      </c>
      <c r="V1001" t="str" cm="1">
        <f t="array" ref="V1001">IF($BA1001="","",IF(INDEX(tblServicios[Conductor],$BA1001)=$T$2,"Conductor",IF(INDEX(tblServicios[Personal adicional],$BA1001)=$T$2,"Personal adicional","")))</f>
        <v/>
      </c>
      <c r="BA1001" s="33" t="str" cm="1">
        <f t="array" ref="BA10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adicional]=$T$2))&gt;0)),ROW(A1003)),"")</f>
        <v/>
      </c>
    </row>
    <row r="1002" spans="15:53" x14ac:dyDescent="0.35">
      <c r="O1002" s="1" t="str" cm="1">
        <f t="array" ref="O1002">IF($BA1002="","",INDEX(tblServicios[Fecha],$BA1002))</f>
        <v/>
      </c>
      <c r="P1002" t="str" cm="1">
        <f t="array" ref="P1002">IF($BA1002="","",INDEX(tblServicios[Contrato],$BA1002))</f>
        <v/>
      </c>
      <c r="Q1002" t="str" cm="1">
        <f t="array" ref="Q1002">IF($BA1002="","",INDEX(tblServicios[Vehículo],$BA1002))</f>
        <v/>
      </c>
      <c r="R1002" s="34" t="str" cm="1">
        <f t="array" ref="R1002">IF($BA1002="","",INDEX(tblServicios[Base imponible (€)],$BA1002)-INDEX(tblServicios[Imp. suplemento (€)],$BA1002))</f>
        <v/>
      </c>
      <c r="S1002" s="34" t="str" cm="1">
        <f t="array" ref="S1002">IF($BA1002="","",INDEX(tblServicios[Imp. suplemento (€)],$BA1002))</f>
        <v/>
      </c>
      <c r="T1002" t="str" cm="1">
        <f t="array" ref="T1002">IF($BA1002="","",INDEX(tblServicios[Tipo suplemento],$BA1002))</f>
        <v/>
      </c>
      <c r="U1002" s="2" t="str">
        <f t="shared" si="17"/>
        <v/>
      </c>
      <c r="V1002" t="str" cm="1">
        <f t="array" ref="V1002">IF($BA1002="","",IF(INDEX(tblServicios[Conductor],$BA1002)=$T$2,"Conductor",IF(INDEX(tblServicios[Personal adicional],$BA1002)=$T$2,"Personal adicional","")))</f>
        <v/>
      </c>
      <c r="BA1002" s="33" t="str" cm="1">
        <f t="array" ref="BA10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adicional]=$T$2))&gt;0)),ROW(A1004)),"")</f>
        <v/>
      </c>
    </row>
    <row r="1003" spans="15:53" x14ac:dyDescent="0.35">
      <c r="O1003" s="1" t="str" cm="1">
        <f t="array" ref="O1003">IF($BA1003="","",INDEX(tblServicios[Fecha],$BA1003))</f>
        <v/>
      </c>
      <c r="P1003" t="str" cm="1">
        <f t="array" ref="P1003">IF($BA1003="","",INDEX(tblServicios[Contrato],$BA1003))</f>
        <v/>
      </c>
      <c r="Q1003" t="str" cm="1">
        <f t="array" ref="Q1003">IF($BA1003="","",INDEX(tblServicios[Vehículo],$BA1003))</f>
        <v/>
      </c>
      <c r="R1003" s="34" t="str" cm="1">
        <f t="array" ref="R1003">IF($BA1003="","",INDEX(tblServicios[Base imponible (€)],$BA1003)-INDEX(tblServicios[Imp. suplemento (€)],$BA1003))</f>
        <v/>
      </c>
      <c r="S1003" s="34" t="str" cm="1">
        <f t="array" ref="S1003">IF($BA1003="","",INDEX(tblServicios[Imp. suplemento (€)],$BA1003))</f>
        <v/>
      </c>
      <c r="T1003" t="str" cm="1">
        <f t="array" ref="T1003">IF($BA1003="","",INDEX(tblServicios[Tipo suplemento],$BA1003))</f>
        <v/>
      </c>
      <c r="U1003" s="2" t="str">
        <f t="shared" si="17"/>
        <v/>
      </c>
      <c r="V1003" t="str" cm="1">
        <f t="array" ref="V1003">IF($BA1003="","",IF(INDEX(tblServicios[Conductor],$BA1003)=$T$2,"Conductor",IF(INDEX(tblServicios[Personal adicional],$BA1003)=$T$2,"Personal adicional","")))</f>
        <v/>
      </c>
      <c r="BA1003" s="33" t="str" cm="1">
        <f t="array" ref="BA10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adicional]=$T$2))&gt;0)),ROW(A1005)),"")</f>
        <v/>
      </c>
    </row>
    <row r="1004" spans="15:53" x14ac:dyDescent="0.35">
      <c r="O1004" s="1" t="str" cm="1">
        <f t="array" ref="O1004">IF($BA1004="","",INDEX(tblServicios[Fecha],$BA1004))</f>
        <v/>
      </c>
      <c r="P1004" t="str" cm="1">
        <f t="array" ref="P1004">IF($BA1004="","",INDEX(tblServicios[Contrato],$BA1004))</f>
        <v/>
      </c>
      <c r="Q1004" t="str" cm="1">
        <f t="array" ref="Q1004">IF($BA1004="","",INDEX(tblServicios[Vehículo],$BA1004))</f>
        <v/>
      </c>
      <c r="R1004" s="34" t="str" cm="1">
        <f t="array" ref="R1004">IF($BA1004="","",INDEX(tblServicios[Base imponible (€)],$BA1004)-INDEX(tblServicios[Imp. suplemento (€)],$BA1004))</f>
        <v/>
      </c>
      <c r="S1004" s="34" t="str" cm="1">
        <f t="array" ref="S1004">IF($BA1004="","",INDEX(tblServicios[Imp. suplemento (€)],$BA1004))</f>
        <v/>
      </c>
      <c r="T1004" t="str" cm="1">
        <f t="array" ref="T1004">IF($BA1004="","",INDEX(tblServicios[Tipo suplemento],$BA1004))</f>
        <v/>
      </c>
      <c r="U1004" s="2" t="str">
        <f t="shared" si="17"/>
        <v/>
      </c>
      <c r="V1004" t="str" cm="1">
        <f t="array" ref="V1004">IF($BA1004="","",IF(INDEX(tblServicios[Conductor],$BA1004)=$T$2,"Conductor",IF(INDEX(tblServicios[Personal adicional],$BA1004)=$T$2,"Personal adicional","")))</f>
        <v/>
      </c>
      <c r="BA1004" s="33" t="str" cm="1">
        <f t="array" ref="BA10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adicional]=$T$2))&gt;0)),ROW(A1006)),"")</f>
        <v/>
      </c>
    </row>
    <row r="1005" spans="15:53" x14ac:dyDescent="0.35">
      <c r="O1005" s="1" t="str" cm="1">
        <f t="array" ref="O1005">IF($BA1005="","",INDEX(tblServicios[Fecha],$BA1005))</f>
        <v/>
      </c>
      <c r="P1005" t="str" cm="1">
        <f t="array" ref="P1005">IF($BA1005="","",INDEX(tblServicios[Contrato],$BA1005))</f>
        <v/>
      </c>
      <c r="Q1005" t="str" cm="1">
        <f t="array" ref="Q1005">IF($BA1005="","",INDEX(tblServicios[Vehículo],$BA1005))</f>
        <v/>
      </c>
      <c r="R1005" s="34" t="str" cm="1">
        <f t="array" ref="R1005">IF($BA1005="","",INDEX(tblServicios[Base imponible (€)],$BA1005)-INDEX(tblServicios[Imp. suplemento (€)],$BA1005))</f>
        <v/>
      </c>
      <c r="S1005" s="34" t="str" cm="1">
        <f t="array" ref="S1005">IF($BA1005="","",INDEX(tblServicios[Imp. suplemento (€)],$BA1005))</f>
        <v/>
      </c>
      <c r="T1005" t="str" cm="1">
        <f t="array" ref="T1005">IF($BA1005="","",INDEX(tblServicios[Tipo suplemento],$BA1005))</f>
        <v/>
      </c>
      <c r="U1005" s="2" t="str">
        <f t="shared" si="17"/>
        <v/>
      </c>
      <c r="V1005" t="str" cm="1">
        <f t="array" ref="V1005">IF($BA1005="","",IF(INDEX(tblServicios[Conductor],$BA1005)=$T$2,"Conductor",IF(INDEX(tblServicios[Personal adicional],$BA1005)=$T$2,"Personal adicional","")))</f>
        <v/>
      </c>
      <c r="BA1005" s="33" t="str" cm="1">
        <f t="array" ref="BA10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adicional]=$T$2))&gt;0)),ROW(A1007)),"")</f>
        <v/>
      </c>
    </row>
    <row r="1006" spans="15:53" x14ac:dyDescent="0.35">
      <c r="O1006" s="1" t="str" cm="1">
        <f t="array" ref="O1006">IF($BA1006="","",INDEX(tblServicios[Fecha],$BA1006))</f>
        <v/>
      </c>
      <c r="P1006" t="str" cm="1">
        <f t="array" ref="P1006">IF($BA1006="","",INDEX(tblServicios[Contrato],$BA1006))</f>
        <v/>
      </c>
      <c r="Q1006" t="str" cm="1">
        <f t="array" ref="Q1006">IF($BA1006="","",INDEX(tblServicios[Vehículo],$BA1006))</f>
        <v/>
      </c>
      <c r="R1006" s="34" t="str" cm="1">
        <f t="array" ref="R1006">IF($BA1006="","",INDEX(tblServicios[Base imponible (€)],$BA1006)-INDEX(tblServicios[Imp. suplemento (€)],$BA1006))</f>
        <v/>
      </c>
      <c r="S1006" s="34" t="str" cm="1">
        <f t="array" ref="S1006">IF($BA1006="","",INDEX(tblServicios[Imp. suplemento (€)],$BA1006))</f>
        <v/>
      </c>
      <c r="T1006" t="str" cm="1">
        <f t="array" ref="T1006">IF($BA1006="","",INDEX(tblServicios[Tipo suplemento],$BA1006))</f>
        <v/>
      </c>
      <c r="U1006" s="2" t="str">
        <f t="shared" si="17"/>
        <v/>
      </c>
      <c r="V1006" t="str" cm="1">
        <f t="array" ref="V1006">IF($BA1006="","",IF(INDEX(tblServicios[Conductor],$BA1006)=$T$2,"Conductor",IF(INDEX(tblServicios[Personal adicional],$BA1006)=$T$2,"Personal adicional","")))</f>
        <v/>
      </c>
      <c r="BA1006" s="33" t="str" cm="1">
        <f t="array" ref="BA10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adicional]=$T$2))&gt;0)),ROW(A1008)),"")</f>
        <v/>
      </c>
    </row>
    <row r="1007" spans="15:53" x14ac:dyDescent="0.35">
      <c r="O1007" s="1" t="str" cm="1">
        <f t="array" ref="O1007">IF($BA1007="","",INDEX(tblServicios[Fecha],$BA1007))</f>
        <v/>
      </c>
      <c r="P1007" t="str" cm="1">
        <f t="array" ref="P1007">IF($BA1007="","",INDEX(tblServicios[Contrato],$BA1007))</f>
        <v/>
      </c>
      <c r="Q1007" t="str" cm="1">
        <f t="array" ref="Q1007">IF($BA1007="","",INDEX(tblServicios[Vehículo],$BA1007))</f>
        <v/>
      </c>
      <c r="R1007" s="34" t="str" cm="1">
        <f t="array" ref="R1007">IF($BA1007="","",INDEX(tblServicios[Base imponible (€)],$BA1007)-INDEX(tblServicios[Imp. suplemento (€)],$BA1007))</f>
        <v/>
      </c>
      <c r="S1007" s="34" t="str" cm="1">
        <f t="array" ref="S1007">IF($BA1007="","",INDEX(tblServicios[Imp. suplemento (€)],$BA1007))</f>
        <v/>
      </c>
      <c r="T1007" t="str" cm="1">
        <f t="array" ref="T1007">IF($BA1007="","",INDEX(tblServicios[Tipo suplemento],$BA1007))</f>
        <v/>
      </c>
      <c r="U1007" s="2" t="str">
        <f t="shared" si="17"/>
        <v/>
      </c>
      <c r="V1007" t="str" cm="1">
        <f t="array" ref="V1007">IF($BA1007="","",IF(INDEX(tblServicios[Conductor],$BA1007)=$T$2,"Conductor",IF(INDEX(tblServicios[Personal adicional],$BA1007)=$T$2,"Personal adicional","")))</f>
        <v/>
      </c>
      <c r="BA1007" s="33" t="str" cm="1">
        <f t="array" ref="BA10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adicional]=$T$2))&gt;0)),ROW(A1009)),"")</f>
        <v/>
      </c>
    </row>
    <row r="1008" spans="15:53" x14ac:dyDescent="0.35">
      <c r="O1008" s="1" t="str" cm="1">
        <f t="array" ref="O1008">IF($BA1008="","",INDEX(tblServicios[Fecha],$BA1008))</f>
        <v/>
      </c>
      <c r="P1008" t="str" cm="1">
        <f t="array" ref="P1008">IF($BA1008="","",INDEX(tblServicios[Contrato],$BA1008))</f>
        <v/>
      </c>
      <c r="Q1008" t="str" cm="1">
        <f t="array" ref="Q1008">IF($BA1008="","",INDEX(tblServicios[Vehículo],$BA1008))</f>
        <v/>
      </c>
      <c r="R1008" s="34" t="str" cm="1">
        <f t="array" ref="R1008">IF($BA1008="","",INDEX(tblServicios[Base imponible (€)],$BA1008)-INDEX(tblServicios[Imp. suplemento (€)],$BA1008))</f>
        <v/>
      </c>
      <c r="S1008" s="34" t="str" cm="1">
        <f t="array" ref="S1008">IF($BA1008="","",INDEX(tblServicios[Imp. suplemento (€)],$BA1008))</f>
        <v/>
      </c>
      <c r="T1008" t="str" cm="1">
        <f t="array" ref="T1008">IF($BA1008="","",INDEX(tblServicios[Tipo suplemento],$BA1008))</f>
        <v/>
      </c>
      <c r="U1008" s="2" t="str">
        <f t="shared" si="17"/>
        <v/>
      </c>
      <c r="V1008" t="str" cm="1">
        <f t="array" ref="V1008">IF($BA1008="","",IF(INDEX(tblServicios[Conductor],$BA1008)=$T$2,"Conductor",IF(INDEX(tblServicios[Personal adicional],$BA1008)=$T$2,"Personal adicional","")))</f>
        <v/>
      </c>
      <c r="BA1008" s="33" t="str" cm="1">
        <f t="array" ref="BA10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adicional]=$T$2))&gt;0)),ROW(A1010)),"")</f>
        <v/>
      </c>
    </row>
    <row r="1009" spans="15:53" x14ac:dyDescent="0.35">
      <c r="O1009" s="1" t="str" cm="1">
        <f t="array" ref="O1009">IF($BA1009="","",INDEX(tblServicios[Fecha],$BA1009))</f>
        <v/>
      </c>
      <c r="P1009" t="str" cm="1">
        <f t="array" ref="P1009">IF($BA1009="","",INDEX(tblServicios[Contrato],$BA1009))</f>
        <v/>
      </c>
      <c r="Q1009" t="str" cm="1">
        <f t="array" ref="Q1009">IF($BA1009="","",INDEX(tblServicios[Vehículo],$BA1009))</f>
        <v/>
      </c>
      <c r="R1009" s="34" t="str" cm="1">
        <f t="array" ref="R1009">IF($BA1009="","",INDEX(tblServicios[Base imponible (€)],$BA1009)-INDEX(tblServicios[Imp. suplemento (€)],$BA1009))</f>
        <v/>
      </c>
      <c r="S1009" s="34" t="str" cm="1">
        <f t="array" ref="S1009">IF($BA1009="","",INDEX(tblServicios[Imp. suplemento (€)],$BA1009))</f>
        <v/>
      </c>
      <c r="T1009" t="str" cm="1">
        <f t="array" ref="T1009">IF($BA1009="","",INDEX(tblServicios[Tipo suplemento],$BA1009))</f>
        <v/>
      </c>
      <c r="U1009" s="2" t="str">
        <f t="shared" si="17"/>
        <v/>
      </c>
      <c r="V1009" t="str" cm="1">
        <f t="array" ref="V1009">IF($BA1009="","",IF(INDEX(tblServicios[Conductor],$BA1009)=$T$2,"Conductor",IF(INDEX(tblServicios[Personal adicional],$BA1009)=$T$2,"Personal adicional","")))</f>
        <v/>
      </c>
      <c r="BA1009" s="33" t="str" cm="1">
        <f t="array" ref="BA10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adicional]=$T$2))&gt;0)),ROW(A1011)),"")</f>
        <v/>
      </c>
    </row>
    <row r="1010" spans="15:53" x14ac:dyDescent="0.35">
      <c r="O1010" s="1" t="str" cm="1">
        <f t="array" ref="O1010">IF($BA1010="","",INDEX(tblServicios[Fecha],$BA1010))</f>
        <v/>
      </c>
      <c r="P1010" t="str" cm="1">
        <f t="array" ref="P1010">IF($BA1010="","",INDEX(tblServicios[Contrato],$BA1010))</f>
        <v/>
      </c>
      <c r="Q1010" t="str" cm="1">
        <f t="array" ref="Q1010">IF($BA1010="","",INDEX(tblServicios[Vehículo],$BA1010))</f>
        <v/>
      </c>
      <c r="R1010" s="34" t="str" cm="1">
        <f t="array" ref="R1010">IF($BA1010="","",INDEX(tblServicios[Base imponible (€)],$BA1010)-INDEX(tblServicios[Imp. suplemento (€)],$BA1010))</f>
        <v/>
      </c>
      <c r="S1010" s="34" t="str" cm="1">
        <f t="array" ref="S1010">IF($BA1010="","",INDEX(tblServicios[Imp. suplemento (€)],$BA1010))</f>
        <v/>
      </c>
      <c r="T1010" t="str" cm="1">
        <f t="array" ref="T1010">IF($BA1010="","",INDEX(tblServicios[Tipo suplemento],$BA1010))</f>
        <v/>
      </c>
      <c r="U1010" s="2" t="str">
        <f t="shared" si="17"/>
        <v/>
      </c>
      <c r="V1010" t="str" cm="1">
        <f t="array" ref="V1010">IF($BA1010="","",IF(INDEX(tblServicios[Conductor],$BA1010)=$T$2,"Conductor",IF(INDEX(tblServicios[Personal adicional],$BA1010)=$T$2,"Personal adicional","")))</f>
        <v/>
      </c>
      <c r="BA1010" s="33" t="str" cm="1">
        <f t="array" ref="BA10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adicional]=$T$2))&gt;0)),ROW(A1012)),"")</f>
        <v/>
      </c>
    </row>
    <row r="1011" spans="15:53" x14ac:dyDescent="0.35">
      <c r="O1011" s="1" t="str" cm="1">
        <f t="array" ref="O1011">IF($BA1011="","",INDEX(tblServicios[Fecha],$BA1011))</f>
        <v/>
      </c>
      <c r="P1011" t="str" cm="1">
        <f t="array" ref="P1011">IF($BA1011="","",INDEX(tblServicios[Contrato],$BA1011))</f>
        <v/>
      </c>
      <c r="Q1011" t="str" cm="1">
        <f t="array" ref="Q1011">IF($BA1011="","",INDEX(tblServicios[Vehículo],$BA1011))</f>
        <v/>
      </c>
      <c r="R1011" s="34" t="str" cm="1">
        <f t="array" ref="R1011">IF($BA1011="","",INDEX(tblServicios[Base imponible (€)],$BA1011)-INDEX(tblServicios[Imp. suplemento (€)],$BA1011))</f>
        <v/>
      </c>
      <c r="S1011" s="34" t="str" cm="1">
        <f t="array" ref="S1011">IF($BA1011="","",INDEX(tblServicios[Imp. suplemento (€)],$BA1011))</f>
        <v/>
      </c>
      <c r="T1011" t="str" cm="1">
        <f t="array" ref="T1011">IF($BA1011="","",INDEX(tblServicios[Tipo suplemento],$BA1011))</f>
        <v/>
      </c>
      <c r="U1011" s="2" t="str">
        <f t="shared" si="17"/>
        <v/>
      </c>
      <c r="V1011" t="str" cm="1">
        <f t="array" ref="V1011">IF($BA1011="","",IF(INDEX(tblServicios[Conductor],$BA1011)=$T$2,"Conductor",IF(INDEX(tblServicios[Personal adicional],$BA1011)=$T$2,"Personal adicional","")))</f>
        <v/>
      </c>
      <c r="BA1011" s="33" t="str" cm="1">
        <f t="array" ref="BA10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adicional]=$T$2))&gt;0)),ROW(A1013)),"")</f>
        <v/>
      </c>
    </row>
    <row r="1012" spans="15:53" x14ac:dyDescent="0.35">
      <c r="O1012" s="1" t="str" cm="1">
        <f t="array" ref="O1012">IF($BA1012="","",INDEX(tblServicios[Fecha],$BA1012))</f>
        <v/>
      </c>
      <c r="P1012" t="str" cm="1">
        <f t="array" ref="P1012">IF($BA1012="","",INDEX(tblServicios[Contrato],$BA1012))</f>
        <v/>
      </c>
      <c r="Q1012" t="str" cm="1">
        <f t="array" ref="Q1012">IF($BA1012="","",INDEX(tblServicios[Vehículo],$BA1012))</f>
        <v/>
      </c>
      <c r="R1012" s="34" t="str" cm="1">
        <f t="array" ref="R1012">IF($BA1012="","",INDEX(tblServicios[Base imponible (€)],$BA1012)-INDEX(tblServicios[Imp. suplemento (€)],$BA1012))</f>
        <v/>
      </c>
      <c r="S1012" s="34" t="str" cm="1">
        <f t="array" ref="S1012">IF($BA1012="","",INDEX(tblServicios[Imp. suplemento (€)],$BA1012))</f>
        <v/>
      </c>
      <c r="T1012" t="str" cm="1">
        <f t="array" ref="T1012">IF($BA1012="","",INDEX(tblServicios[Tipo suplemento],$BA1012))</f>
        <v/>
      </c>
      <c r="U1012" s="2" t="str">
        <f t="shared" si="17"/>
        <v/>
      </c>
      <c r="V1012" t="str" cm="1">
        <f t="array" ref="V1012">IF($BA1012="","",IF(INDEX(tblServicios[Conductor],$BA1012)=$T$2,"Conductor",IF(INDEX(tblServicios[Personal adicional],$BA1012)=$T$2,"Personal adicional","")))</f>
        <v/>
      </c>
      <c r="BA1012" s="33" t="str" cm="1">
        <f t="array" ref="BA10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adicional]=$T$2))&gt;0)),ROW(A1014)),"")</f>
        <v/>
      </c>
    </row>
    <row r="1013" spans="15:53" x14ac:dyDescent="0.35">
      <c r="O1013" s="1" t="str" cm="1">
        <f t="array" ref="O1013">IF($BA1013="","",INDEX(tblServicios[Fecha],$BA1013))</f>
        <v/>
      </c>
      <c r="P1013" t="str" cm="1">
        <f t="array" ref="P1013">IF($BA1013="","",INDEX(tblServicios[Contrato],$BA1013))</f>
        <v/>
      </c>
      <c r="Q1013" t="str" cm="1">
        <f t="array" ref="Q1013">IF($BA1013="","",INDEX(tblServicios[Vehículo],$BA1013))</f>
        <v/>
      </c>
      <c r="R1013" s="34" t="str" cm="1">
        <f t="array" ref="R1013">IF($BA1013="","",INDEX(tblServicios[Base imponible (€)],$BA1013)-INDEX(tblServicios[Imp. suplemento (€)],$BA1013))</f>
        <v/>
      </c>
      <c r="S1013" s="34" t="str" cm="1">
        <f t="array" ref="S1013">IF($BA1013="","",INDEX(tblServicios[Imp. suplemento (€)],$BA1013))</f>
        <v/>
      </c>
      <c r="T1013" t="str" cm="1">
        <f t="array" ref="T1013">IF($BA1013="","",INDEX(tblServicios[Tipo suplemento],$BA1013))</f>
        <v/>
      </c>
      <c r="U1013" s="2" t="str">
        <f t="shared" si="17"/>
        <v/>
      </c>
      <c r="V1013" t="str" cm="1">
        <f t="array" ref="V1013">IF($BA1013="","",IF(INDEX(tblServicios[Conductor],$BA1013)=$T$2,"Conductor",IF(INDEX(tblServicios[Personal adicional],$BA1013)=$T$2,"Personal adicional","")))</f>
        <v/>
      </c>
      <c r="BA1013" s="33" t="str" cm="1">
        <f t="array" ref="BA10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adicional]=$T$2))&gt;0)),ROW(A1015)),"")</f>
        <v/>
      </c>
    </row>
    <row r="1014" spans="15:53" x14ac:dyDescent="0.35">
      <c r="O1014" s="1" t="str" cm="1">
        <f t="array" ref="O1014">IF($BA1014="","",INDEX(tblServicios[Fecha],$BA1014))</f>
        <v/>
      </c>
      <c r="P1014" t="str" cm="1">
        <f t="array" ref="P1014">IF($BA1014="","",INDEX(tblServicios[Contrato],$BA1014))</f>
        <v/>
      </c>
      <c r="Q1014" t="str" cm="1">
        <f t="array" ref="Q1014">IF($BA1014="","",INDEX(tblServicios[Vehículo],$BA1014))</f>
        <v/>
      </c>
      <c r="R1014" s="34" t="str" cm="1">
        <f t="array" ref="R1014">IF($BA1014="","",INDEX(tblServicios[Base imponible (€)],$BA1014)-INDEX(tblServicios[Imp. suplemento (€)],$BA1014))</f>
        <v/>
      </c>
      <c r="S1014" s="34" t="str" cm="1">
        <f t="array" ref="S1014">IF($BA1014="","",INDEX(tblServicios[Imp. suplemento (€)],$BA1014))</f>
        <v/>
      </c>
      <c r="T1014" t="str" cm="1">
        <f t="array" ref="T1014">IF($BA1014="","",INDEX(tblServicios[Tipo suplemento],$BA1014))</f>
        <v/>
      </c>
      <c r="U1014" s="2" t="str">
        <f t="shared" si="17"/>
        <v/>
      </c>
      <c r="V1014" t="str" cm="1">
        <f t="array" ref="V1014">IF($BA1014="","",IF(INDEX(tblServicios[Conductor],$BA1014)=$T$2,"Conductor",IF(INDEX(tblServicios[Personal adicional],$BA1014)=$T$2,"Personal adicional","")))</f>
        <v/>
      </c>
      <c r="BA1014" s="33" t="str" cm="1">
        <f t="array" ref="BA10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adicional]=$T$2))&gt;0)),ROW(A1016)),"")</f>
        <v/>
      </c>
    </row>
    <row r="1015" spans="15:53" x14ac:dyDescent="0.35">
      <c r="O1015" s="1" t="str" cm="1">
        <f t="array" ref="O1015">IF($BA1015="","",INDEX(tblServicios[Fecha],$BA1015))</f>
        <v/>
      </c>
      <c r="P1015" t="str" cm="1">
        <f t="array" ref="P1015">IF($BA1015="","",INDEX(tblServicios[Contrato],$BA1015))</f>
        <v/>
      </c>
      <c r="Q1015" t="str" cm="1">
        <f t="array" ref="Q1015">IF($BA1015="","",INDEX(tblServicios[Vehículo],$BA1015))</f>
        <v/>
      </c>
      <c r="R1015" s="34" t="str" cm="1">
        <f t="array" ref="R1015">IF($BA1015="","",INDEX(tblServicios[Base imponible (€)],$BA1015)-INDEX(tblServicios[Imp. suplemento (€)],$BA1015))</f>
        <v/>
      </c>
      <c r="S1015" s="34" t="str" cm="1">
        <f t="array" ref="S1015">IF($BA1015="","",INDEX(tblServicios[Imp. suplemento (€)],$BA1015))</f>
        <v/>
      </c>
      <c r="T1015" t="str" cm="1">
        <f t="array" ref="T1015">IF($BA1015="","",INDEX(tblServicios[Tipo suplemento],$BA1015))</f>
        <v/>
      </c>
      <c r="U1015" s="2" t="str">
        <f t="shared" si="17"/>
        <v/>
      </c>
      <c r="V1015" t="str" cm="1">
        <f t="array" ref="V1015">IF($BA1015="","",IF(INDEX(tblServicios[Conductor],$BA1015)=$T$2,"Conductor",IF(INDEX(tblServicios[Personal adicional],$BA1015)=$T$2,"Personal adicional","")))</f>
        <v/>
      </c>
      <c r="BA1015" s="33" t="str" cm="1">
        <f t="array" ref="BA10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adicional]=$T$2))&gt;0)),ROW(A1017)),"")</f>
        <v/>
      </c>
    </row>
    <row r="1016" spans="15:53" x14ac:dyDescent="0.35">
      <c r="O1016" s="1" t="str" cm="1">
        <f t="array" ref="O1016">IF($BA1016="","",INDEX(tblServicios[Fecha],$BA1016))</f>
        <v/>
      </c>
      <c r="P1016" t="str" cm="1">
        <f t="array" ref="P1016">IF($BA1016="","",INDEX(tblServicios[Contrato],$BA1016))</f>
        <v/>
      </c>
      <c r="Q1016" t="str" cm="1">
        <f t="array" ref="Q1016">IF($BA1016="","",INDEX(tblServicios[Vehículo],$BA1016))</f>
        <v/>
      </c>
      <c r="R1016" s="34" t="str" cm="1">
        <f t="array" ref="R1016">IF($BA1016="","",INDEX(tblServicios[Base imponible (€)],$BA1016)-INDEX(tblServicios[Imp. suplemento (€)],$BA1016))</f>
        <v/>
      </c>
      <c r="S1016" s="34" t="str" cm="1">
        <f t="array" ref="S1016">IF($BA1016="","",INDEX(tblServicios[Imp. suplemento (€)],$BA1016))</f>
        <v/>
      </c>
      <c r="T1016" t="str" cm="1">
        <f t="array" ref="T1016">IF($BA1016="","",INDEX(tblServicios[Tipo suplemento],$BA1016))</f>
        <v/>
      </c>
      <c r="U1016" s="2" t="str">
        <f t="shared" si="17"/>
        <v/>
      </c>
      <c r="V1016" t="str" cm="1">
        <f t="array" ref="V1016">IF($BA1016="","",IF(INDEX(tblServicios[Conductor],$BA1016)=$T$2,"Conductor",IF(INDEX(tblServicios[Personal adicional],$BA1016)=$T$2,"Personal adicional","")))</f>
        <v/>
      </c>
      <c r="BA1016" s="33" t="str" cm="1">
        <f t="array" ref="BA10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adicional]=$T$2))&gt;0)),ROW(A1018)),"")</f>
        <v/>
      </c>
    </row>
    <row r="1017" spans="15:53" x14ac:dyDescent="0.35">
      <c r="O1017" s="1" t="str" cm="1">
        <f t="array" ref="O1017">IF($BA1017="","",INDEX(tblServicios[Fecha],$BA1017))</f>
        <v/>
      </c>
      <c r="P1017" t="str" cm="1">
        <f t="array" ref="P1017">IF($BA1017="","",INDEX(tblServicios[Contrato],$BA1017))</f>
        <v/>
      </c>
      <c r="Q1017" t="str" cm="1">
        <f t="array" ref="Q1017">IF($BA1017="","",INDEX(tblServicios[Vehículo],$BA1017))</f>
        <v/>
      </c>
      <c r="R1017" s="34" t="str" cm="1">
        <f t="array" ref="R1017">IF($BA1017="","",INDEX(tblServicios[Base imponible (€)],$BA1017)-INDEX(tblServicios[Imp. suplemento (€)],$BA1017))</f>
        <v/>
      </c>
      <c r="S1017" s="34" t="str" cm="1">
        <f t="array" ref="S1017">IF($BA1017="","",INDEX(tblServicios[Imp. suplemento (€)],$BA1017))</f>
        <v/>
      </c>
      <c r="T1017" t="str" cm="1">
        <f t="array" ref="T1017">IF($BA1017="","",INDEX(tblServicios[Tipo suplemento],$BA1017))</f>
        <v/>
      </c>
      <c r="U1017" s="2" t="str">
        <f t="shared" si="17"/>
        <v/>
      </c>
      <c r="V1017" t="str" cm="1">
        <f t="array" ref="V1017">IF($BA1017="","",IF(INDEX(tblServicios[Conductor],$BA1017)=$T$2,"Conductor",IF(INDEX(tblServicios[Personal adicional],$BA1017)=$T$2,"Personal adicional","")))</f>
        <v/>
      </c>
      <c r="BA1017" s="33" t="str" cm="1">
        <f t="array" ref="BA10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adicional]=$T$2))&gt;0)),ROW(A1019)),"")</f>
        <v/>
      </c>
    </row>
    <row r="1018" spans="15:53" x14ac:dyDescent="0.35">
      <c r="O1018" s="1" t="str" cm="1">
        <f t="array" ref="O1018">IF($BA1018="","",INDEX(tblServicios[Fecha],$BA1018))</f>
        <v/>
      </c>
      <c r="P1018" t="str" cm="1">
        <f t="array" ref="P1018">IF($BA1018="","",INDEX(tblServicios[Contrato],$BA1018))</f>
        <v/>
      </c>
      <c r="Q1018" t="str" cm="1">
        <f t="array" ref="Q1018">IF($BA1018="","",INDEX(tblServicios[Vehículo],$BA1018))</f>
        <v/>
      </c>
      <c r="R1018" s="34" t="str" cm="1">
        <f t="array" ref="R1018">IF($BA1018="","",INDEX(tblServicios[Base imponible (€)],$BA1018)-INDEX(tblServicios[Imp. suplemento (€)],$BA1018))</f>
        <v/>
      </c>
      <c r="S1018" s="34" t="str" cm="1">
        <f t="array" ref="S1018">IF($BA1018="","",INDEX(tblServicios[Imp. suplemento (€)],$BA1018))</f>
        <v/>
      </c>
      <c r="T1018" t="str" cm="1">
        <f t="array" ref="T1018">IF($BA1018="","",INDEX(tblServicios[Tipo suplemento],$BA1018))</f>
        <v/>
      </c>
      <c r="U1018" s="2" t="str">
        <f t="shared" si="17"/>
        <v/>
      </c>
      <c r="V1018" t="str" cm="1">
        <f t="array" ref="V1018">IF($BA1018="","",IF(INDEX(tblServicios[Conductor],$BA1018)=$T$2,"Conductor",IF(INDEX(tblServicios[Personal adicional],$BA1018)=$T$2,"Personal adicional","")))</f>
        <v/>
      </c>
      <c r="BA1018" s="33" t="str" cm="1">
        <f t="array" ref="BA10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adicional]=$T$2))&gt;0)),ROW(A1020)),"")</f>
        <v/>
      </c>
    </row>
    <row r="1019" spans="15:53" x14ac:dyDescent="0.35">
      <c r="O1019" s="1" t="str" cm="1">
        <f t="array" ref="O1019">IF($BA1019="","",INDEX(tblServicios[Fecha],$BA1019))</f>
        <v/>
      </c>
      <c r="P1019" t="str" cm="1">
        <f t="array" ref="P1019">IF($BA1019="","",INDEX(tblServicios[Contrato],$BA1019))</f>
        <v/>
      </c>
      <c r="Q1019" t="str" cm="1">
        <f t="array" ref="Q1019">IF($BA1019="","",INDEX(tblServicios[Vehículo],$BA1019))</f>
        <v/>
      </c>
      <c r="R1019" s="34" t="str" cm="1">
        <f t="array" ref="R1019">IF($BA1019="","",INDEX(tblServicios[Base imponible (€)],$BA1019)-INDEX(tblServicios[Imp. suplemento (€)],$BA1019))</f>
        <v/>
      </c>
      <c r="S1019" s="34" t="str" cm="1">
        <f t="array" ref="S1019">IF($BA1019="","",INDEX(tblServicios[Imp. suplemento (€)],$BA1019))</f>
        <v/>
      </c>
      <c r="T1019" t="str" cm="1">
        <f t="array" ref="T1019">IF($BA1019="","",INDEX(tblServicios[Tipo suplemento],$BA1019))</f>
        <v/>
      </c>
      <c r="U1019" s="2" t="str">
        <f t="shared" si="17"/>
        <v/>
      </c>
      <c r="V1019" t="str" cm="1">
        <f t="array" ref="V1019">IF($BA1019="","",IF(INDEX(tblServicios[Conductor],$BA1019)=$T$2,"Conductor",IF(INDEX(tblServicios[Personal adicional],$BA1019)=$T$2,"Personal adicional","")))</f>
        <v/>
      </c>
      <c r="BA1019" s="33" t="str" cm="1">
        <f t="array" ref="BA10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adicional]=$T$2))&gt;0)),ROW(A1021)),"")</f>
        <v/>
      </c>
    </row>
    <row r="1020" spans="15:53" x14ac:dyDescent="0.35">
      <c r="O1020" s="1" t="str" cm="1">
        <f t="array" ref="O1020">IF($BA1020="","",INDEX(tblServicios[Fecha],$BA1020))</f>
        <v/>
      </c>
      <c r="P1020" t="str" cm="1">
        <f t="array" ref="P1020">IF($BA1020="","",INDEX(tblServicios[Contrato],$BA1020))</f>
        <v/>
      </c>
      <c r="Q1020" t="str" cm="1">
        <f t="array" ref="Q1020">IF($BA1020="","",INDEX(tblServicios[Vehículo],$BA1020))</f>
        <v/>
      </c>
      <c r="R1020" s="34" t="str" cm="1">
        <f t="array" ref="R1020">IF($BA1020="","",INDEX(tblServicios[Base imponible (€)],$BA1020)-INDEX(tblServicios[Imp. suplemento (€)],$BA1020))</f>
        <v/>
      </c>
      <c r="S1020" s="34" t="str" cm="1">
        <f t="array" ref="S1020">IF($BA1020="","",INDEX(tblServicios[Imp. suplemento (€)],$BA1020))</f>
        <v/>
      </c>
      <c r="T1020" t="str" cm="1">
        <f t="array" ref="T1020">IF($BA1020="","",INDEX(tblServicios[Tipo suplemento],$BA1020))</f>
        <v/>
      </c>
      <c r="U1020" s="2" t="str">
        <f t="shared" si="17"/>
        <v/>
      </c>
      <c r="V1020" t="str" cm="1">
        <f t="array" ref="V1020">IF($BA1020="","",IF(INDEX(tblServicios[Conductor],$BA1020)=$T$2,"Conductor",IF(INDEX(tblServicios[Personal adicional],$BA1020)=$T$2,"Personal adicional","")))</f>
        <v/>
      </c>
      <c r="BA1020" s="33" t="str" cm="1">
        <f t="array" ref="BA10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adicional]=$T$2))&gt;0)),ROW(A1022)),"")</f>
        <v/>
      </c>
    </row>
    <row r="1021" spans="15:53" x14ac:dyDescent="0.35">
      <c r="O1021" s="1" t="str" cm="1">
        <f t="array" ref="O1021">IF($BA1021="","",INDEX(tblServicios[Fecha],$BA1021))</f>
        <v/>
      </c>
      <c r="P1021" t="str" cm="1">
        <f t="array" ref="P1021">IF($BA1021="","",INDEX(tblServicios[Contrato],$BA1021))</f>
        <v/>
      </c>
      <c r="Q1021" t="str" cm="1">
        <f t="array" ref="Q1021">IF($BA1021="","",INDEX(tblServicios[Vehículo],$BA1021))</f>
        <v/>
      </c>
      <c r="R1021" s="34" t="str" cm="1">
        <f t="array" ref="R1021">IF($BA1021="","",INDEX(tblServicios[Base imponible (€)],$BA1021)-INDEX(tblServicios[Imp. suplemento (€)],$BA1021))</f>
        <v/>
      </c>
      <c r="S1021" s="34" t="str" cm="1">
        <f t="array" ref="S1021">IF($BA1021="","",INDEX(tblServicios[Imp. suplemento (€)],$BA1021))</f>
        <v/>
      </c>
      <c r="T1021" t="str" cm="1">
        <f t="array" ref="T1021">IF($BA1021="","",INDEX(tblServicios[Tipo suplemento],$BA1021))</f>
        <v/>
      </c>
      <c r="U1021" s="2" t="str">
        <f t="shared" si="17"/>
        <v/>
      </c>
      <c r="V1021" t="str" cm="1">
        <f t="array" ref="V1021">IF($BA1021="","",IF(INDEX(tblServicios[Conductor],$BA1021)=$T$2,"Conductor",IF(INDEX(tblServicios[Personal adicional],$BA1021)=$T$2,"Personal adicional","")))</f>
        <v/>
      </c>
      <c r="BA1021" s="33" t="str" cm="1">
        <f t="array" ref="BA10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adicional]=$T$2))&gt;0)),ROW(A1023)),"")</f>
        <v/>
      </c>
    </row>
    <row r="1022" spans="15:53" x14ac:dyDescent="0.35">
      <c r="O1022" s="1" t="str" cm="1">
        <f t="array" ref="O1022">IF($BA1022="","",INDEX(tblServicios[Fecha],$BA1022))</f>
        <v/>
      </c>
      <c r="P1022" t="str" cm="1">
        <f t="array" ref="P1022">IF($BA1022="","",INDEX(tblServicios[Contrato],$BA1022))</f>
        <v/>
      </c>
      <c r="Q1022" t="str" cm="1">
        <f t="array" ref="Q1022">IF($BA1022="","",INDEX(tblServicios[Vehículo],$BA1022))</f>
        <v/>
      </c>
      <c r="R1022" s="34" t="str" cm="1">
        <f t="array" ref="R1022">IF($BA1022="","",INDEX(tblServicios[Base imponible (€)],$BA1022)-INDEX(tblServicios[Imp. suplemento (€)],$BA1022))</f>
        <v/>
      </c>
      <c r="S1022" s="34" t="str" cm="1">
        <f t="array" ref="S1022">IF($BA1022="","",INDEX(tblServicios[Imp. suplemento (€)],$BA1022))</f>
        <v/>
      </c>
      <c r="T1022" t="str" cm="1">
        <f t="array" ref="T1022">IF($BA1022="","",INDEX(tblServicios[Tipo suplemento],$BA1022))</f>
        <v/>
      </c>
      <c r="U1022" s="2" t="str">
        <f t="shared" si="17"/>
        <v/>
      </c>
      <c r="V1022" t="str" cm="1">
        <f t="array" ref="V1022">IF($BA1022="","",IF(INDEX(tblServicios[Conductor],$BA1022)=$T$2,"Conductor",IF(INDEX(tblServicios[Personal adicional],$BA1022)=$T$2,"Personal adicional","")))</f>
        <v/>
      </c>
      <c r="BA1022" s="33" t="str" cm="1">
        <f t="array" ref="BA10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adicional]=$T$2))&gt;0)),ROW(A1024)),"")</f>
        <v/>
      </c>
    </row>
    <row r="1023" spans="15:53" x14ac:dyDescent="0.35">
      <c r="O1023" s="1" t="str" cm="1">
        <f t="array" ref="O1023">IF($BA1023="","",INDEX(tblServicios[Fecha],$BA1023))</f>
        <v/>
      </c>
      <c r="P1023" t="str" cm="1">
        <f t="array" ref="P1023">IF($BA1023="","",INDEX(tblServicios[Contrato],$BA1023))</f>
        <v/>
      </c>
      <c r="Q1023" t="str" cm="1">
        <f t="array" ref="Q1023">IF($BA1023="","",INDEX(tblServicios[Vehículo],$BA1023))</f>
        <v/>
      </c>
      <c r="R1023" s="34" t="str" cm="1">
        <f t="array" ref="R1023">IF($BA1023="","",INDEX(tblServicios[Base imponible (€)],$BA1023)-INDEX(tblServicios[Imp. suplemento (€)],$BA1023))</f>
        <v/>
      </c>
      <c r="S1023" s="34" t="str" cm="1">
        <f t="array" ref="S1023">IF($BA1023="","",INDEX(tblServicios[Imp. suplemento (€)],$BA1023))</f>
        <v/>
      </c>
      <c r="T1023" t="str" cm="1">
        <f t="array" ref="T1023">IF($BA1023="","",INDEX(tblServicios[Tipo suplemento],$BA1023))</f>
        <v/>
      </c>
      <c r="U1023" s="2" t="str">
        <f t="shared" si="17"/>
        <v/>
      </c>
      <c r="V1023" t="str" cm="1">
        <f t="array" ref="V1023">IF($BA1023="","",IF(INDEX(tblServicios[Conductor],$BA1023)=$T$2,"Conductor",IF(INDEX(tblServicios[Personal adicional],$BA1023)=$T$2,"Personal adicional","")))</f>
        <v/>
      </c>
      <c r="BA1023" s="33" t="str" cm="1">
        <f t="array" ref="BA10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adicional]=$T$2))&gt;0)),ROW(A1025)),"")</f>
        <v/>
      </c>
    </row>
    <row r="1024" spans="15:53" x14ac:dyDescent="0.35">
      <c r="O1024" s="1" t="str" cm="1">
        <f t="array" ref="O1024">IF($BA1024="","",INDEX(tblServicios[Fecha],$BA1024))</f>
        <v/>
      </c>
      <c r="P1024" t="str" cm="1">
        <f t="array" ref="P1024">IF($BA1024="","",INDEX(tblServicios[Contrato],$BA1024))</f>
        <v/>
      </c>
      <c r="Q1024" t="str" cm="1">
        <f t="array" ref="Q1024">IF($BA1024="","",INDEX(tblServicios[Vehículo],$BA1024))</f>
        <v/>
      </c>
      <c r="R1024" s="34" t="str" cm="1">
        <f t="array" ref="R1024">IF($BA1024="","",INDEX(tblServicios[Base imponible (€)],$BA1024)-INDEX(tblServicios[Imp. suplemento (€)],$BA1024))</f>
        <v/>
      </c>
      <c r="S1024" s="34" t="str" cm="1">
        <f t="array" ref="S1024">IF($BA1024="","",INDEX(tblServicios[Imp. suplemento (€)],$BA1024))</f>
        <v/>
      </c>
      <c r="T1024" t="str" cm="1">
        <f t="array" ref="T1024">IF($BA1024="","",INDEX(tblServicios[Tipo suplemento],$BA1024))</f>
        <v/>
      </c>
      <c r="U1024" s="2" t="str">
        <f t="shared" si="17"/>
        <v/>
      </c>
      <c r="V1024" t="str" cm="1">
        <f t="array" ref="V1024">IF($BA1024="","",IF(INDEX(tblServicios[Conductor],$BA1024)=$T$2,"Conductor",IF(INDEX(tblServicios[Personal adicional],$BA1024)=$T$2,"Personal adicional","")))</f>
        <v/>
      </c>
      <c r="BA1024" s="33" t="str" cm="1">
        <f t="array" ref="BA10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adicional]=$T$2))&gt;0)),ROW(A1026)),"")</f>
        <v/>
      </c>
    </row>
    <row r="1025" spans="15:53" x14ac:dyDescent="0.35">
      <c r="O1025" s="1" t="str" cm="1">
        <f t="array" ref="O1025">IF($BA1025="","",INDEX(tblServicios[Fecha],$BA1025))</f>
        <v/>
      </c>
      <c r="P1025" t="str" cm="1">
        <f t="array" ref="P1025">IF($BA1025="","",INDEX(tblServicios[Contrato],$BA1025))</f>
        <v/>
      </c>
      <c r="Q1025" t="str" cm="1">
        <f t="array" ref="Q1025">IF($BA1025="","",INDEX(tblServicios[Vehículo],$BA1025))</f>
        <v/>
      </c>
      <c r="R1025" s="34" t="str" cm="1">
        <f t="array" ref="R1025">IF($BA1025="","",INDEX(tblServicios[Base imponible (€)],$BA1025)-INDEX(tblServicios[Imp. suplemento (€)],$BA1025))</f>
        <v/>
      </c>
      <c r="S1025" s="34" t="str" cm="1">
        <f t="array" ref="S1025">IF($BA1025="","",INDEX(tblServicios[Imp. suplemento (€)],$BA1025))</f>
        <v/>
      </c>
      <c r="T1025" t="str" cm="1">
        <f t="array" ref="T1025">IF($BA1025="","",INDEX(tblServicios[Tipo suplemento],$BA1025))</f>
        <v/>
      </c>
      <c r="U1025" s="2" t="str">
        <f t="shared" si="17"/>
        <v/>
      </c>
      <c r="V1025" t="str" cm="1">
        <f t="array" ref="V1025">IF($BA1025="","",IF(INDEX(tblServicios[Conductor],$BA1025)=$T$2,"Conductor",IF(INDEX(tblServicios[Personal adicional],$BA1025)=$T$2,"Personal adicional","")))</f>
        <v/>
      </c>
      <c r="BA1025" s="33" t="str" cm="1">
        <f t="array" ref="BA10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adicional]=$T$2))&gt;0)),ROW(A1027)),"")</f>
        <v/>
      </c>
    </row>
    <row r="1026" spans="15:53" x14ac:dyDescent="0.35">
      <c r="O1026" s="1" t="str" cm="1">
        <f t="array" ref="O1026">IF($BA1026="","",INDEX(tblServicios[Fecha],$BA1026))</f>
        <v/>
      </c>
      <c r="P1026" t="str" cm="1">
        <f t="array" ref="P1026">IF($BA1026="","",INDEX(tblServicios[Contrato],$BA1026))</f>
        <v/>
      </c>
      <c r="Q1026" t="str" cm="1">
        <f t="array" ref="Q1026">IF($BA1026="","",INDEX(tblServicios[Vehículo],$BA1026))</f>
        <v/>
      </c>
      <c r="R1026" s="34" t="str" cm="1">
        <f t="array" ref="R1026">IF($BA1026="","",INDEX(tblServicios[Base imponible (€)],$BA1026)-INDEX(tblServicios[Imp. suplemento (€)],$BA1026))</f>
        <v/>
      </c>
      <c r="S1026" s="34" t="str" cm="1">
        <f t="array" ref="S1026">IF($BA1026="","",INDEX(tblServicios[Imp. suplemento (€)],$BA1026))</f>
        <v/>
      </c>
      <c r="T1026" t="str" cm="1">
        <f t="array" ref="T1026">IF($BA1026="","",INDEX(tblServicios[Tipo suplemento],$BA1026))</f>
        <v/>
      </c>
      <c r="U1026" s="2" t="str">
        <f t="shared" si="17"/>
        <v/>
      </c>
      <c r="V1026" t="str" cm="1">
        <f t="array" ref="V1026">IF($BA1026="","",IF(INDEX(tblServicios[Conductor],$BA1026)=$T$2,"Conductor",IF(INDEX(tblServicios[Personal adicional],$BA1026)=$T$2,"Personal adicional","")))</f>
        <v/>
      </c>
      <c r="BA1026" s="33" t="str" cm="1">
        <f t="array" ref="BA10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adicional]=$T$2))&gt;0)),ROW(A1028)),"")</f>
        <v/>
      </c>
    </row>
    <row r="1027" spans="15:53" x14ac:dyDescent="0.35">
      <c r="O1027" s="1" t="str" cm="1">
        <f t="array" ref="O1027">IF($BA1027="","",INDEX(tblServicios[Fecha],$BA1027))</f>
        <v/>
      </c>
      <c r="P1027" t="str" cm="1">
        <f t="array" ref="P1027">IF($BA1027="","",INDEX(tblServicios[Contrato],$BA1027))</f>
        <v/>
      </c>
      <c r="Q1027" t="str" cm="1">
        <f t="array" ref="Q1027">IF($BA1027="","",INDEX(tblServicios[Vehículo],$BA1027))</f>
        <v/>
      </c>
      <c r="R1027" s="34" t="str" cm="1">
        <f t="array" ref="R1027">IF($BA1027="","",INDEX(tblServicios[Base imponible (€)],$BA1027)-INDEX(tblServicios[Imp. suplemento (€)],$BA1027))</f>
        <v/>
      </c>
      <c r="T1027" t="str" cm="1">
        <f t="array" ref="T1027">IF($BA1027="","",INDEX(tblServicios[Tipo suplemento],$BA1027))</f>
        <v/>
      </c>
      <c r="U1027" s="2" t="str">
        <f t="shared" si="17"/>
        <v/>
      </c>
      <c r="V1027" t="str" cm="1">
        <f t="array" ref="V1027">IF($BA1027="","",IF(INDEX(tblServicios[Conductor],$BA1027)=$T$2,"Conductor",IF(INDEX(tblServicios[Personal adicional],$BA1027)=$T$2,"Personal adicional","")))</f>
        <v/>
      </c>
      <c r="BA1027" s="33" t="str" cm="1">
        <f t="array" ref="BA10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adicional]=$T$2))&gt;0)),ROW(A1029)),"")</f>
        <v/>
      </c>
    </row>
    <row r="1028" spans="15:53" x14ac:dyDescent="0.35">
      <c r="O1028" s="1" t="str" cm="1">
        <f t="array" ref="O1028">IF($BA1028="","",INDEX(tblServicios[Fecha],$BA1028))</f>
        <v/>
      </c>
      <c r="P1028" t="str" cm="1">
        <f t="array" ref="P1028">IF($BA1028="","",INDEX(tblServicios[Contrato],$BA1028))</f>
        <v/>
      </c>
      <c r="Q1028" t="str" cm="1">
        <f t="array" ref="Q1028">IF($BA1028="","",INDEX(tblServicios[Vehículo],$BA1028))</f>
        <v/>
      </c>
      <c r="R1028" s="34" t="str" cm="1">
        <f t="array" ref="R1028">IF($BA1028="","",INDEX(tblServicios[Base imponible (€)],$BA1028)-INDEX(tblServicios[Imp. suplemento (€)],$BA1028))</f>
        <v/>
      </c>
      <c r="T1028" t="str" cm="1">
        <f t="array" ref="T1028">IF($BA1028="","",INDEX(tblServicios[Tipo suplemento],$BA1028))</f>
        <v/>
      </c>
      <c r="U1028" s="2" t="str">
        <f t="shared" si="17"/>
        <v/>
      </c>
      <c r="V1028" t="str" cm="1">
        <f t="array" ref="V1028">IF($BA1028="","",IF(INDEX(tblServicios[Conductor],$BA1028)=$T$2,"Conductor",IF(INDEX(tblServicios[Personal adicional],$BA1028)=$T$2,"Personal adicional","")))</f>
        <v/>
      </c>
      <c r="BA1028" s="33" t="str" cm="1">
        <f t="array" ref="BA10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adicional]=$T$2))&gt;0)),ROW(A1030)),"")</f>
        <v/>
      </c>
    </row>
    <row r="1029" spans="15:53" x14ac:dyDescent="0.35">
      <c r="O1029" s="1" t="str" cm="1">
        <f t="array" ref="O1029">IF($BA1029="","",INDEX(tblServicios[Fecha],$BA1029))</f>
        <v/>
      </c>
      <c r="P1029" t="str" cm="1">
        <f t="array" ref="P1029">IF($BA1029="","",INDEX(tblServicios[Contrato],$BA1029))</f>
        <v/>
      </c>
      <c r="Q1029" t="str" cm="1">
        <f t="array" ref="Q1029">IF($BA1029="","",INDEX(tblServicios[Vehículo],$BA1029))</f>
        <v/>
      </c>
      <c r="R1029" s="34" t="str" cm="1">
        <f t="array" ref="R1029">IF($BA1029="","",INDEX(tblServicios[Base imponible (€)],$BA1029)-INDEX(tblServicios[Imp. suplemento (€)],$BA1029))</f>
        <v/>
      </c>
      <c r="T1029" t="str" cm="1">
        <f t="array" ref="T1029">IF($BA1029="","",INDEX(tblServicios[Tipo suplemento],$BA1029))</f>
        <v/>
      </c>
      <c r="U1029" s="2" t="str">
        <f t="shared" si="17"/>
        <v/>
      </c>
      <c r="V1029" t="str" cm="1">
        <f t="array" ref="V1029">IF($BA1029="","",IF(INDEX(tblServicios[Conductor],$BA1029)=$T$2,"Conductor",IF(INDEX(tblServicios[Personal adicional],$BA1029)=$T$2,"Personal adicional","")))</f>
        <v/>
      </c>
      <c r="BA1029" s="33" t="str" cm="1">
        <f t="array" ref="BA10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adicional]=$T$2))&gt;0)),ROW(A1031)),"")</f>
        <v/>
      </c>
    </row>
    <row r="1030" spans="15:53" x14ac:dyDescent="0.35">
      <c r="O1030" s="1" t="str" cm="1">
        <f t="array" ref="O1030">IF($BA1030="","",INDEX(tblServicios[Fecha],$BA1030))</f>
        <v/>
      </c>
      <c r="P1030" t="str" cm="1">
        <f t="array" ref="P1030">IF($BA1030="","",INDEX(tblServicios[Contrato],$BA1030))</f>
        <v/>
      </c>
      <c r="Q1030" t="str" cm="1">
        <f t="array" ref="Q1030">IF($BA1030="","",INDEX(tblServicios[Vehículo],$BA1030))</f>
        <v/>
      </c>
      <c r="R1030" s="34" t="str" cm="1">
        <f t="array" ref="R1030">IF($BA1030="","",INDEX(tblServicios[Base imponible (€)],$BA1030)-INDEX(tblServicios[Imp. suplemento (€)],$BA1030))</f>
        <v/>
      </c>
      <c r="T1030" t="str" cm="1">
        <f t="array" ref="T1030">IF($BA1030="","",INDEX(tblServicios[Tipo suplemento],$BA1030))</f>
        <v/>
      </c>
      <c r="U1030" s="2" t="str">
        <f t="shared" si="17"/>
        <v/>
      </c>
      <c r="V1030" t="str" cm="1">
        <f t="array" ref="V1030">IF($BA1030="","",IF(INDEX(tblServicios[Conductor],$BA1030)=$T$2,"Conductor",IF(INDEX(tblServicios[Personal adicional],$BA1030)=$T$2,"Personal adicional","")))</f>
        <v/>
      </c>
      <c r="BA1030" s="33" t="str" cm="1">
        <f t="array" ref="BA10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adicional]=$T$2))&gt;0)),ROW(A1032)),"")</f>
        <v/>
      </c>
    </row>
    <row r="1031" spans="15:53" x14ac:dyDescent="0.35">
      <c r="O1031" s="1" t="str" cm="1">
        <f t="array" ref="O1031">IF($BA1031="","",INDEX(tblServicios[Fecha],$BA1031))</f>
        <v/>
      </c>
      <c r="P1031" t="str" cm="1">
        <f t="array" ref="P1031">IF($BA1031="","",INDEX(tblServicios[Contrato],$BA1031))</f>
        <v/>
      </c>
      <c r="Q1031" t="str" cm="1">
        <f t="array" ref="Q1031">IF($BA1031="","",INDEX(tblServicios[Vehículo],$BA1031))</f>
        <v/>
      </c>
      <c r="R1031" s="34" t="str" cm="1">
        <f t="array" ref="R1031">IF($BA1031="","",INDEX(tblServicios[Base imponible (€)],$BA1031)-INDEX(tblServicios[Imp. suplemento (€)],$BA1031))</f>
        <v/>
      </c>
      <c r="T1031" t="str" cm="1">
        <f t="array" ref="T1031">IF($BA1031="","",INDEX(tblServicios[Tipo suplemento],$BA1031))</f>
        <v/>
      </c>
      <c r="U1031" s="2" t="str">
        <f t="shared" ref="U1031:U1065" si="18">IF($BA1031="","",R1031+S1031)</f>
        <v/>
      </c>
      <c r="V1031" t="str" cm="1">
        <f t="array" ref="V1031">IF($BA1031="","",IF(INDEX(tblServicios[Conductor],$BA1031)=$T$2,"Conductor",IF(INDEX(tblServicios[Personal adicional],$BA1031)=$T$2,"Personal adicional","")))</f>
        <v/>
      </c>
      <c r="BA1031" s="33" t="str" cm="1">
        <f t="array" ref="BA10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adicional]=$T$2))&gt;0)),ROW(A1033)),"")</f>
        <v/>
      </c>
    </row>
    <row r="1032" spans="15:53" x14ac:dyDescent="0.35">
      <c r="O1032" s="1" t="str" cm="1">
        <f t="array" ref="O1032">IF($BA1032="","",INDEX(tblServicios[Fecha],$BA1032))</f>
        <v/>
      </c>
      <c r="P1032" t="str" cm="1">
        <f t="array" ref="P1032">IF($BA1032="","",INDEX(tblServicios[Contrato],$BA1032))</f>
        <v/>
      </c>
      <c r="Q1032" t="str" cm="1">
        <f t="array" ref="Q1032">IF($BA1032="","",INDEX(tblServicios[Vehículo],$BA1032))</f>
        <v/>
      </c>
      <c r="R1032" s="34" t="str" cm="1">
        <f t="array" ref="R1032">IF($BA1032="","",INDEX(tblServicios[Base imponible (€)],$BA1032)-INDEX(tblServicios[Imp. suplemento (€)],$BA1032))</f>
        <v/>
      </c>
      <c r="T1032" t="str" cm="1">
        <f t="array" ref="T1032">IF($BA1032="","",INDEX(tblServicios[Tipo suplemento],$BA1032))</f>
        <v/>
      </c>
      <c r="U1032" s="2" t="str">
        <f t="shared" si="18"/>
        <v/>
      </c>
      <c r="V1032" t="str" cm="1">
        <f t="array" ref="V1032">IF($BA1032="","",IF(INDEX(tblServicios[Conductor],$BA1032)=$T$2,"Conductor",IF(INDEX(tblServicios[Personal adicional],$BA1032)=$T$2,"Personal adicional","")))</f>
        <v/>
      </c>
      <c r="BA1032" s="33" t="str" cm="1">
        <f t="array" ref="BA10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adicional]=$T$2))&gt;0)),ROW(A1034)),"")</f>
        <v/>
      </c>
    </row>
    <row r="1033" spans="15:53" x14ac:dyDescent="0.35">
      <c r="O1033" s="1" t="str" cm="1">
        <f t="array" ref="O1033">IF($BA1033="","",INDEX(tblServicios[Fecha],$BA1033))</f>
        <v/>
      </c>
      <c r="P1033" t="str" cm="1">
        <f t="array" ref="P1033">IF($BA1033="","",INDEX(tblServicios[Contrato],$BA1033))</f>
        <v/>
      </c>
      <c r="Q1033" t="str" cm="1">
        <f t="array" ref="Q1033">IF($BA1033="","",INDEX(tblServicios[Vehículo],$BA1033))</f>
        <v/>
      </c>
      <c r="T1033" t="str" cm="1">
        <f t="array" ref="T1033">IF($BA1033="","",INDEX(tblServicios[Tipo suplemento],$BA1033))</f>
        <v/>
      </c>
      <c r="U1033" s="2" t="str">
        <f t="shared" si="18"/>
        <v/>
      </c>
      <c r="V1033" t="str" cm="1">
        <f t="array" ref="V1033">IF($BA1033="","",IF(INDEX(tblServicios[Conductor],$BA1033)=$T$2,"Conductor",IF(INDEX(tblServicios[Personal adicional],$BA1033)=$T$2,"Personal adicional","")))</f>
        <v/>
      </c>
      <c r="BA1033" s="33" t="str" cm="1">
        <f t="array" ref="BA10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adicional]=$T$2))&gt;0)),ROW(A1035)),"")</f>
        <v/>
      </c>
    </row>
    <row r="1034" spans="15:53" x14ac:dyDescent="0.35">
      <c r="O1034" s="1" t="str" cm="1">
        <f t="array" ref="O1034">IF($BA1034="","",INDEX(tblServicios[Fecha],$BA1034))</f>
        <v/>
      </c>
      <c r="P1034" t="str" cm="1">
        <f t="array" ref="P1034">IF($BA1034="","",INDEX(tblServicios[Contrato],$BA1034))</f>
        <v/>
      </c>
      <c r="Q1034" t="str" cm="1">
        <f t="array" ref="Q1034">IF($BA1034="","",INDEX(tblServicios[Vehículo],$BA1034))</f>
        <v/>
      </c>
      <c r="T1034" t="str" cm="1">
        <f t="array" ref="T1034">IF($BA1034="","",INDEX(tblServicios[Tipo suplemento],$BA1034))</f>
        <v/>
      </c>
      <c r="U1034" s="2" t="str">
        <f t="shared" si="18"/>
        <v/>
      </c>
      <c r="V1034" t="str" cm="1">
        <f t="array" ref="V1034">IF($BA1034="","",IF(INDEX(tblServicios[Conductor],$BA1034)=$T$2,"Conductor",IF(INDEX(tblServicios[Personal adicional],$BA1034)=$T$2,"Personal adicional","")))</f>
        <v/>
      </c>
      <c r="BA1034" s="33" t="str" cm="1">
        <f t="array" ref="BA10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adicional]=$T$2))&gt;0)),ROW(A1036)),"")</f>
        <v/>
      </c>
    </row>
    <row r="1035" spans="15:53" x14ac:dyDescent="0.35">
      <c r="O1035" s="1" t="str" cm="1">
        <f t="array" ref="O1035">IF($BA1035="","",INDEX(tblServicios[Fecha],$BA1035))</f>
        <v/>
      </c>
      <c r="P1035" t="str" cm="1">
        <f t="array" ref="P1035">IF($BA1035="","",INDEX(tblServicios[Contrato],$BA1035))</f>
        <v/>
      </c>
      <c r="Q1035" t="str" cm="1">
        <f t="array" ref="Q1035">IF($BA1035="","",INDEX(tblServicios[Vehículo],$BA1035))</f>
        <v/>
      </c>
      <c r="T1035" t="str" cm="1">
        <f t="array" ref="T1035">IF($BA1035="","",INDEX(tblServicios[Tipo suplemento],$BA1035))</f>
        <v/>
      </c>
      <c r="U1035" s="2" t="str">
        <f t="shared" si="18"/>
        <v/>
      </c>
      <c r="V1035" t="str" cm="1">
        <f t="array" ref="V1035">IF($BA1035="","",IF(INDEX(tblServicios[Conductor],$BA1035)=$T$2,"Conductor",IF(INDEX(tblServicios[Personal adicional],$BA1035)=$T$2,"Personal adicional","")))</f>
        <v/>
      </c>
      <c r="BA1035" s="33" t="str" cm="1">
        <f t="array" ref="BA10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adicional]=$T$2))&gt;0)),ROW(A1037)),"")</f>
        <v/>
      </c>
    </row>
    <row r="1036" spans="15:53" x14ac:dyDescent="0.35">
      <c r="O1036" s="1" t="str" cm="1">
        <f t="array" ref="O1036">IF($BA1036="","",INDEX(tblServicios[Fecha],$BA1036))</f>
        <v/>
      </c>
      <c r="P1036" t="str" cm="1">
        <f t="array" ref="P1036">IF($BA1036="","",INDEX(tblServicios[Contrato],$BA1036))</f>
        <v/>
      </c>
      <c r="Q1036" t="str" cm="1">
        <f t="array" ref="Q1036">IF($BA1036="","",INDEX(tblServicios[Vehículo],$BA1036))</f>
        <v/>
      </c>
      <c r="T1036" t="str" cm="1">
        <f t="array" ref="T1036">IF($BA1036="","",INDEX(tblServicios[Tipo suplemento],$BA1036))</f>
        <v/>
      </c>
      <c r="U1036" s="2" t="str">
        <f t="shared" si="18"/>
        <v/>
      </c>
      <c r="V1036" t="str" cm="1">
        <f t="array" ref="V1036">IF($BA1036="","",IF(INDEX(tblServicios[Conductor],$BA1036)=$T$2,"Conductor",IF(INDEX(tblServicios[Personal adicional],$BA1036)=$T$2,"Personal adicional","")))</f>
        <v/>
      </c>
      <c r="BA1036" s="33" t="str" cm="1">
        <f t="array" ref="BA10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adicional]=$T$2))&gt;0)),ROW(A1038)),"")</f>
        <v/>
      </c>
    </row>
    <row r="1037" spans="15:53" x14ac:dyDescent="0.35">
      <c r="O1037" s="1" t="str" cm="1">
        <f t="array" ref="O1037">IF($BA1037="","",INDEX(tblServicios[Fecha],$BA1037))</f>
        <v/>
      </c>
      <c r="P1037" t="str" cm="1">
        <f t="array" ref="P1037">IF($BA1037="","",INDEX(tblServicios[Contrato],$BA1037))</f>
        <v/>
      </c>
      <c r="Q1037" t="str" cm="1">
        <f t="array" ref="Q1037">IF($BA1037="","",INDEX(tblServicios[Vehículo],$BA1037))</f>
        <v/>
      </c>
      <c r="T1037" t="str" cm="1">
        <f t="array" ref="T1037">IF($BA1037="","",INDEX(tblServicios[Tipo suplemento],$BA1037))</f>
        <v/>
      </c>
      <c r="U1037" s="2" t="str">
        <f t="shared" si="18"/>
        <v/>
      </c>
      <c r="V1037" t="str" cm="1">
        <f t="array" ref="V1037">IF($BA1037="","",IF(INDEX(tblServicios[Conductor],$BA1037)=$T$2,"Conductor",IF(INDEX(tblServicios[Personal adicional],$BA1037)=$T$2,"Personal adicional","")))</f>
        <v/>
      </c>
      <c r="BA1037" s="33" t="str" cm="1">
        <f t="array" ref="BA10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adicional]=$T$2))&gt;0)),ROW(A1039)),"")</f>
        <v/>
      </c>
    </row>
    <row r="1038" spans="15:53" x14ac:dyDescent="0.35">
      <c r="O1038" s="1" t="str" cm="1">
        <f t="array" ref="O1038">IF($BA1038="","",INDEX(tblServicios[Fecha],$BA1038))</f>
        <v/>
      </c>
      <c r="P1038" t="str" cm="1">
        <f t="array" ref="P1038">IF($BA1038="","",INDEX(tblServicios[Contrato],$BA1038))</f>
        <v/>
      </c>
      <c r="Q1038" t="str" cm="1">
        <f t="array" ref="Q1038">IF($BA1038="","",INDEX(tblServicios[Vehículo],$BA1038))</f>
        <v/>
      </c>
      <c r="T1038" t="str" cm="1">
        <f t="array" ref="T1038">IF($BA1038="","",INDEX(tblServicios[Tipo suplemento],$BA1038))</f>
        <v/>
      </c>
      <c r="U1038" s="2" t="str">
        <f t="shared" si="18"/>
        <v/>
      </c>
      <c r="V1038" t="str" cm="1">
        <f t="array" ref="V1038">IF($BA1038="","",IF(INDEX(tblServicios[Conductor],$BA1038)=$T$2,"Conductor",IF(INDEX(tblServicios[Personal adicional],$BA1038)=$T$2,"Personal adicional","")))</f>
        <v/>
      </c>
      <c r="BA1038" s="33" t="str" cm="1">
        <f t="array" ref="BA10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adicional]=$T$2))&gt;0)),ROW(A1040)),"")</f>
        <v/>
      </c>
    </row>
    <row r="1039" spans="15:53" x14ac:dyDescent="0.35">
      <c r="O1039" s="1" t="str" cm="1">
        <f t="array" ref="O1039">IF($BA1039="","",INDEX(tblServicios[Fecha],$BA1039))</f>
        <v/>
      </c>
      <c r="P1039" t="str" cm="1">
        <f t="array" ref="P1039">IF($BA1039="","",INDEX(tblServicios[Contrato],$BA1039))</f>
        <v/>
      </c>
      <c r="Q1039" t="str" cm="1">
        <f t="array" ref="Q1039">IF($BA1039="","",INDEX(tblServicios[Vehículo],$BA1039))</f>
        <v/>
      </c>
      <c r="T1039" t="str" cm="1">
        <f t="array" ref="T1039">IF($BA1039="","",INDEX(tblServicios[Tipo suplemento],$BA1039))</f>
        <v/>
      </c>
      <c r="U1039" s="2" t="str">
        <f t="shared" si="18"/>
        <v/>
      </c>
      <c r="V1039" t="str" cm="1">
        <f t="array" ref="V1039">IF($BA1039="","",IF(INDEX(tblServicios[Conductor],$BA1039)=$T$2,"Conductor",IF(INDEX(tblServicios[Personal adicional],$BA1039)=$T$2,"Personal adicional","")))</f>
        <v/>
      </c>
      <c r="BA1039" s="33" t="str" cm="1">
        <f t="array" ref="BA10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adicional]=$T$2))&gt;0)),ROW(A1041)),"")</f>
        <v/>
      </c>
    </row>
    <row r="1040" spans="15:53" x14ac:dyDescent="0.35">
      <c r="O1040" s="1" t="str" cm="1">
        <f t="array" ref="O1040">IF($BA1040="","",INDEX(tblServicios[Fecha],$BA1040))</f>
        <v/>
      </c>
      <c r="P1040" t="str" cm="1">
        <f t="array" ref="P1040">IF($BA1040="","",INDEX(tblServicios[Contrato],$BA1040))</f>
        <v/>
      </c>
      <c r="Q1040" t="str" cm="1">
        <f t="array" ref="Q1040">IF($BA1040="","",INDEX(tblServicios[Vehículo],$BA1040))</f>
        <v/>
      </c>
      <c r="T1040" t="str" cm="1">
        <f t="array" ref="T1040">IF($BA1040="","",INDEX(tblServicios[Tipo suplemento],$BA1040))</f>
        <v/>
      </c>
      <c r="U1040" s="2" t="str">
        <f t="shared" si="18"/>
        <v/>
      </c>
      <c r="V1040" t="str" cm="1">
        <f t="array" ref="V1040">IF($BA1040="","",IF(INDEX(tblServicios[Conductor],$BA1040)=$T$2,"Conductor",IF(INDEX(tblServicios[Personal adicional],$BA1040)=$T$2,"Personal adicional","")))</f>
        <v/>
      </c>
      <c r="BA1040" s="33" t="str" cm="1">
        <f t="array" ref="BA10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adicional]=$T$2))&gt;0)),ROW(A1042)),"")</f>
        <v/>
      </c>
    </row>
    <row r="1041" spans="15:53" x14ac:dyDescent="0.35">
      <c r="O1041" s="1" t="str" cm="1">
        <f t="array" ref="O1041">IF($BA1041="","",INDEX(tblServicios[Fecha],$BA1041))</f>
        <v/>
      </c>
      <c r="P1041" t="str" cm="1">
        <f t="array" ref="P1041">IF($BA1041="","",INDEX(tblServicios[Contrato],$BA1041))</f>
        <v/>
      </c>
      <c r="Q1041" t="str" cm="1">
        <f t="array" ref="Q1041">IF($BA1041="","",INDEX(tblServicios[Vehículo],$BA1041))</f>
        <v/>
      </c>
      <c r="T1041" t="str" cm="1">
        <f t="array" ref="T1041">IF($BA1041="","",INDEX(tblServicios[Tipo suplemento],$BA1041))</f>
        <v/>
      </c>
      <c r="U1041" s="2" t="str">
        <f t="shared" si="18"/>
        <v/>
      </c>
      <c r="V1041" t="str" cm="1">
        <f t="array" ref="V1041">IF($BA1041="","",IF(INDEX(tblServicios[Conductor],$BA1041)=$T$2,"Conductor",IF(INDEX(tblServicios[Personal adicional],$BA1041)=$T$2,"Personal adicional","")))</f>
        <v/>
      </c>
      <c r="BA1041" s="33" t="str" cm="1">
        <f t="array" ref="BA10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adicional]=$T$2))&gt;0)),ROW(A1043)),"")</f>
        <v/>
      </c>
    </row>
    <row r="1042" spans="15:53" x14ac:dyDescent="0.35">
      <c r="O1042" s="1" t="str" cm="1">
        <f t="array" ref="O1042">IF($BA1042="","",INDEX(tblServicios[Fecha],$BA1042))</f>
        <v/>
      </c>
      <c r="P1042" t="str" cm="1">
        <f t="array" ref="P1042">IF($BA1042="","",INDEX(tblServicios[Contrato],$BA1042))</f>
        <v/>
      </c>
      <c r="Q1042" t="str" cm="1">
        <f t="array" ref="Q1042">IF($BA1042="","",INDEX(tblServicios[Vehículo],$BA1042))</f>
        <v/>
      </c>
      <c r="T1042" t="str" cm="1">
        <f t="array" ref="T1042">IF($BA1042="","",INDEX(tblServicios[Tipo suplemento],$BA1042))</f>
        <v/>
      </c>
      <c r="U1042" s="2" t="str">
        <f t="shared" si="18"/>
        <v/>
      </c>
      <c r="V1042" t="str" cm="1">
        <f t="array" ref="V1042">IF($BA1042="","",IF(INDEX(tblServicios[Conductor],$BA1042)=$T$2,"Conductor",IF(INDEX(tblServicios[Personal adicional],$BA1042)=$T$2,"Personal adicional","")))</f>
        <v/>
      </c>
      <c r="BA1042" s="33" t="str" cm="1">
        <f t="array" ref="BA10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adicional]=$T$2))&gt;0)),ROW(A1044)),"")</f>
        <v/>
      </c>
    </row>
    <row r="1043" spans="15:53" x14ac:dyDescent="0.35">
      <c r="O1043" s="1" t="str" cm="1">
        <f t="array" ref="O1043">IF($BA1043="","",INDEX(tblServicios[Fecha],$BA1043))</f>
        <v/>
      </c>
      <c r="P1043" t="str" cm="1">
        <f t="array" ref="P1043">IF($BA1043="","",INDEX(tblServicios[Contrato],$BA1043))</f>
        <v/>
      </c>
      <c r="Q1043" t="str" cm="1">
        <f t="array" ref="Q1043">IF($BA1043="","",INDEX(tblServicios[Vehículo],$BA1043))</f>
        <v/>
      </c>
      <c r="T1043" t="str" cm="1">
        <f t="array" ref="T1043">IF($BA1043="","",INDEX(tblServicios[Tipo suplemento],$BA1043))</f>
        <v/>
      </c>
      <c r="U1043" s="2" t="str">
        <f t="shared" si="18"/>
        <v/>
      </c>
      <c r="V1043" t="str" cm="1">
        <f t="array" ref="V1043">IF($BA1043="","",IF(INDEX(tblServicios[Conductor],$BA1043)=$T$2,"Conductor",IF(INDEX(tblServicios[Personal adicional],$BA1043)=$T$2,"Personal adicional","")))</f>
        <v/>
      </c>
      <c r="BA1043" s="33" t="str" cm="1">
        <f t="array" ref="BA10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adicional]=$T$2))&gt;0)),ROW(A1045)),"")</f>
        <v/>
      </c>
    </row>
    <row r="1044" spans="15:53" x14ac:dyDescent="0.35">
      <c r="O1044" s="1" t="str" cm="1">
        <f t="array" ref="O1044">IF($BA1044="","",INDEX(tblServicios[Fecha],$BA1044))</f>
        <v/>
      </c>
      <c r="P1044" t="str" cm="1">
        <f t="array" ref="P1044">IF($BA1044="","",INDEX(tblServicios[Contrato],$BA1044))</f>
        <v/>
      </c>
      <c r="Q1044" t="str" cm="1">
        <f t="array" ref="Q1044">IF($BA1044="","",INDEX(tblServicios[Vehículo],$BA1044))</f>
        <v/>
      </c>
      <c r="T1044" t="str" cm="1">
        <f t="array" ref="T1044">IF($BA1044="","",INDEX(tblServicios[Tipo suplemento],$BA1044))</f>
        <v/>
      </c>
      <c r="U1044" s="2" t="str">
        <f t="shared" si="18"/>
        <v/>
      </c>
      <c r="V1044" t="str" cm="1">
        <f t="array" ref="V1044">IF($BA1044="","",IF(INDEX(tblServicios[Conductor],$BA1044)=$T$2,"Conductor",IF(INDEX(tblServicios[Personal adicional],$BA1044)=$T$2,"Personal adicional","")))</f>
        <v/>
      </c>
      <c r="BA1044" s="33" t="str" cm="1">
        <f t="array" ref="BA10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adicional]=$T$2))&gt;0)),ROW(A1046)),"")</f>
        <v/>
      </c>
    </row>
    <row r="1045" spans="15:53" x14ac:dyDescent="0.35">
      <c r="O1045" s="1" t="str" cm="1">
        <f t="array" ref="O1045">IF($BA1045="","",INDEX(tblServicios[Fecha],$BA1045))</f>
        <v/>
      </c>
      <c r="P1045" t="str" cm="1">
        <f t="array" ref="P1045">IF($BA1045="","",INDEX(tblServicios[Contrato],$BA1045))</f>
        <v/>
      </c>
      <c r="Q1045" t="str" cm="1">
        <f t="array" ref="Q1045">IF($BA1045="","",INDEX(tblServicios[Vehículo],$BA1045))</f>
        <v/>
      </c>
      <c r="T1045" t="str" cm="1">
        <f t="array" ref="T1045">IF($BA1045="","",INDEX(tblServicios[Tipo suplemento],$BA1045))</f>
        <v/>
      </c>
      <c r="U1045" s="2" t="str">
        <f t="shared" si="18"/>
        <v/>
      </c>
      <c r="V1045" t="str" cm="1">
        <f t="array" ref="V1045">IF($BA1045="","",IF(INDEX(tblServicios[Conductor],$BA1045)=$T$2,"Conductor",IF(INDEX(tblServicios[Personal adicional],$BA1045)=$T$2,"Personal adicional","")))</f>
        <v/>
      </c>
      <c r="BA1045" s="33" t="str" cm="1">
        <f t="array" ref="BA10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adicional]=$T$2))&gt;0)),ROW(A1047)),"")</f>
        <v/>
      </c>
    </row>
    <row r="1046" spans="15:53" x14ac:dyDescent="0.35">
      <c r="O1046" s="1" t="str" cm="1">
        <f t="array" ref="O1046">IF($BA1046="","",INDEX(tblServicios[Fecha],$BA1046))</f>
        <v/>
      </c>
      <c r="P1046" t="str" cm="1">
        <f t="array" ref="P1046">IF($BA1046="","",INDEX(tblServicios[Contrato],$BA1046))</f>
        <v/>
      </c>
      <c r="Q1046" t="str" cm="1">
        <f t="array" ref="Q1046">IF($BA1046="","",INDEX(tblServicios[Vehículo],$BA1046))</f>
        <v/>
      </c>
      <c r="T1046" t="str" cm="1">
        <f t="array" ref="T1046">IF($BA1046="","",INDEX(tblServicios[Tipo suplemento],$BA1046))</f>
        <v/>
      </c>
      <c r="U1046" s="2" t="str">
        <f t="shared" si="18"/>
        <v/>
      </c>
      <c r="V1046" t="str" cm="1">
        <f t="array" ref="V1046">IF($BA1046="","",IF(INDEX(tblServicios[Conductor],$BA1046)=$T$2,"Conductor",IF(INDEX(tblServicios[Personal adicional],$BA1046)=$T$2,"Personal adicional","")))</f>
        <v/>
      </c>
      <c r="BA1046" s="33" t="str" cm="1">
        <f t="array" ref="BA10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adicional]=$T$2))&gt;0)),ROW(A1048)),"")</f>
        <v/>
      </c>
    </row>
    <row r="1047" spans="15:53" x14ac:dyDescent="0.35">
      <c r="O1047" s="1" t="str" cm="1">
        <f t="array" ref="O1047">IF($BA1047="","",INDEX(tblServicios[Fecha],$BA1047))</f>
        <v/>
      </c>
      <c r="P1047" t="str" cm="1">
        <f t="array" ref="P1047">IF($BA1047="","",INDEX(tblServicios[Contrato],$BA1047))</f>
        <v/>
      </c>
      <c r="Q1047" t="str" cm="1">
        <f t="array" ref="Q1047">IF($BA1047="","",INDEX(tblServicios[Vehículo],$BA1047))</f>
        <v/>
      </c>
      <c r="T1047" t="str" cm="1">
        <f t="array" ref="T1047">IF($BA1047="","",INDEX(tblServicios[Tipo suplemento],$BA1047))</f>
        <v/>
      </c>
      <c r="U1047" s="2" t="str">
        <f t="shared" si="18"/>
        <v/>
      </c>
      <c r="V1047" t="str" cm="1">
        <f t="array" ref="V1047">IF($BA1047="","",IF(INDEX(tblServicios[Conductor],$BA1047)=$T$2,"Conductor",IF(INDEX(tblServicios[Personal adicional],$BA1047)=$T$2,"Personal adicional","")))</f>
        <v/>
      </c>
      <c r="BA1047" s="33" t="str" cm="1">
        <f t="array" ref="BA10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adicional]=$T$2))&gt;0)),ROW(A1049)),"")</f>
        <v/>
      </c>
    </row>
    <row r="1048" spans="15:53" x14ac:dyDescent="0.35">
      <c r="O1048" s="1" t="str" cm="1">
        <f t="array" ref="O1048">IF($BA1048="","",INDEX(tblServicios[Fecha],$BA1048))</f>
        <v/>
      </c>
      <c r="P1048" t="str" cm="1">
        <f t="array" ref="P1048">IF($BA1048="","",INDEX(tblServicios[Contrato],$BA1048))</f>
        <v/>
      </c>
      <c r="Q1048" t="str" cm="1">
        <f t="array" ref="Q1048">IF($BA1048="","",INDEX(tblServicios[Vehículo],$BA1048))</f>
        <v/>
      </c>
      <c r="T1048" t="str" cm="1">
        <f t="array" ref="T1048">IF($BA1048="","",INDEX(tblServicios[Tipo suplemento],$BA1048))</f>
        <v/>
      </c>
      <c r="U1048" s="2" t="str">
        <f t="shared" si="18"/>
        <v/>
      </c>
      <c r="V1048" t="str" cm="1">
        <f t="array" ref="V1048">IF($BA1048="","",IF(INDEX(tblServicios[Conductor],$BA1048)=$T$2,"Conductor",IF(INDEX(tblServicios[Personal adicional],$BA1048)=$T$2,"Personal adicional","")))</f>
        <v/>
      </c>
      <c r="BA1048" s="33" t="str" cm="1">
        <f t="array" ref="BA10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adicional]=$T$2))&gt;0)),ROW(A1050)),"")</f>
        <v/>
      </c>
    </row>
    <row r="1049" spans="15:53" x14ac:dyDescent="0.35">
      <c r="O1049" s="1" t="str" cm="1">
        <f t="array" ref="O1049">IF($BA1049="","",INDEX(tblServicios[Fecha],$BA1049))</f>
        <v/>
      </c>
      <c r="P1049" t="str" cm="1">
        <f t="array" ref="P1049">IF($BA1049="","",INDEX(tblServicios[Contrato],$BA1049))</f>
        <v/>
      </c>
      <c r="Q1049" t="str" cm="1">
        <f t="array" ref="Q1049">IF($BA1049="","",INDEX(tblServicios[Vehículo],$BA1049))</f>
        <v/>
      </c>
      <c r="T1049" t="str" cm="1">
        <f t="array" ref="T1049">IF($BA1049="","",INDEX(tblServicios[Tipo suplemento],$BA1049))</f>
        <v/>
      </c>
      <c r="U1049" s="2" t="str">
        <f t="shared" si="18"/>
        <v/>
      </c>
      <c r="V1049" t="str" cm="1">
        <f t="array" ref="V1049">IF($BA1049="","",IF(INDEX(tblServicios[Conductor],$BA1049)=$T$2,"Conductor",IF(INDEX(tblServicios[Personal adicional],$BA1049)=$T$2,"Personal adicional","")))</f>
        <v/>
      </c>
      <c r="BA1049" s="33" t="str" cm="1">
        <f t="array" ref="BA10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adicional]=$T$2))&gt;0)),ROW(A1051)),"")</f>
        <v/>
      </c>
    </row>
    <row r="1050" spans="15:53" x14ac:dyDescent="0.35">
      <c r="O1050" s="1" t="str" cm="1">
        <f t="array" ref="O1050">IF($BA1050="","",INDEX(tblServicios[Fecha],$BA1050))</f>
        <v/>
      </c>
      <c r="P1050" t="str" cm="1">
        <f t="array" ref="P1050">IF($BA1050="","",INDEX(tblServicios[Contrato],$BA1050))</f>
        <v/>
      </c>
      <c r="Q1050" t="str" cm="1">
        <f t="array" ref="Q1050">IF($BA1050="","",INDEX(tblServicios[Vehículo],$BA1050))</f>
        <v/>
      </c>
      <c r="T1050" t="str" cm="1">
        <f t="array" ref="T1050">IF($BA1050="","",INDEX(tblServicios[Tipo suplemento],$BA1050))</f>
        <v/>
      </c>
      <c r="U1050" s="2" t="str">
        <f t="shared" si="18"/>
        <v/>
      </c>
      <c r="V1050" t="str" cm="1">
        <f t="array" ref="V1050">IF($BA1050="","",IF(INDEX(tblServicios[Conductor],$BA1050)=$T$2,"Conductor",IF(INDEX(tblServicios[Personal adicional],$BA1050)=$T$2,"Personal adicional","")))</f>
        <v/>
      </c>
      <c r="BA1050" s="33" t="str" cm="1">
        <f t="array" ref="BA10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adicional]=$T$2))&gt;0)),ROW(A1052)),"")</f>
        <v/>
      </c>
    </row>
    <row r="1051" spans="15:53" x14ac:dyDescent="0.35">
      <c r="O1051" s="1" t="str" cm="1">
        <f t="array" ref="O1051">IF($BA1051="","",INDEX(tblServicios[Fecha],$BA1051))</f>
        <v/>
      </c>
      <c r="P1051" t="str" cm="1">
        <f t="array" ref="P1051">IF($BA1051="","",INDEX(tblServicios[Contrato],$BA1051))</f>
        <v/>
      </c>
      <c r="Q1051" t="str" cm="1">
        <f t="array" ref="Q1051">IF($BA1051="","",INDEX(tblServicios[Vehículo],$BA1051))</f>
        <v/>
      </c>
      <c r="T1051" t="str" cm="1">
        <f t="array" ref="T1051">IF($BA1051="","",INDEX(tblServicios[Tipo suplemento],$BA1051))</f>
        <v/>
      </c>
      <c r="U1051" s="2" t="str">
        <f t="shared" si="18"/>
        <v/>
      </c>
      <c r="V1051" t="str" cm="1">
        <f t="array" ref="V1051">IF($BA1051="","",IF(INDEX(tblServicios[Conductor],$BA1051)=$T$2,"Conductor",IF(INDEX(tblServicios[Personal adicional],$BA1051)=$T$2,"Personal adicional","")))</f>
        <v/>
      </c>
      <c r="BA1051" s="33" t="str" cm="1">
        <f t="array" ref="BA10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adicional]=$T$2))&gt;0)),ROW(A1053)),"")</f>
        <v/>
      </c>
    </row>
    <row r="1052" spans="15:53" x14ac:dyDescent="0.35">
      <c r="O1052" s="1" t="str" cm="1">
        <f t="array" ref="O1052">IF($BA1052="","",INDEX(tblServicios[Fecha],$BA1052))</f>
        <v/>
      </c>
      <c r="P1052" t="str" cm="1">
        <f t="array" ref="P1052">IF($BA1052="","",INDEX(tblServicios[Contrato],$BA1052))</f>
        <v/>
      </c>
      <c r="Q1052" t="str" cm="1">
        <f t="array" ref="Q1052">IF($BA1052="","",INDEX(tblServicios[Vehículo],$BA1052))</f>
        <v/>
      </c>
      <c r="T1052" t="str" cm="1">
        <f t="array" ref="T1052">IF($BA1052="","",INDEX(tblServicios[Tipo suplemento],$BA1052))</f>
        <v/>
      </c>
      <c r="U1052" s="2" t="str">
        <f t="shared" si="18"/>
        <v/>
      </c>
      <c r="V1052" t="str" cm="1">
        <f t="array" ref="V1052">IF($BA1052="","",IF(INDEX(tblServicios[Conductor],$BA1052)=$T$2,"Conductor",IF(INDEX(tblServicios[Personal adicional],$BA1052)=$T$2,"Personal adicional","")))</f>
        <v/>
      </c>
      <c r="BA1052" s="33" t="str" cm="1">
        <f t="array" ref="BA10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adicional]=$T$2))&gt;0)),ROW(A1054)),"")</f>
        <v/>
      </c>
    </row>
    <row r="1053" spans="15:53" x14ac:dyDescent="0.35">
      <c r="O1053" s="1" t="str" cm="1">
        <f t="array" ref="O1053">IF($BA1053="","",INDEX(tblServicios[Fecha],$BA1053))</f>
        <v/>
      </c>
      <c r="P1053" t="str" cm="1">
        <f t="array" ref="P1053">IF($BA1053="","",INDEX(tblServicios[Contrato],$BA1053))</f>
        <v/>
      </c>
      <c r="Q1053" t="str" cm="1">
        <f t="array" ref="Q1053">IF($BA1053="","",INDEX(tblServicios[Vehículo],$BA1053))</f>
        <v/>
      </c>
      <c r="T1053" t="str" cm="1">
        <f t="array" ref="T1053">IF($BA1053="","",INDEX(tblServicios[Tipo suplemento],$BA1053))</f>
        <v/>
      </c>
      <c r="U1053" s="2" t="str">
        <f t="shared" si="18"/>
        <v/>
      </c>
      <c r="V1053" t="str" cm="1">
        <f t="array" ref="V1053">IF($BA1053="","",IF(INDEX(tblServicios[Conductor],$BA1053)=$T$2,"Conductor",IF(INDEX(tblServicios[Personal adicional],$BA1053)=$T$2,"Personal adicional","")))</f>
        <v/>
      </c>
      <c r="BA1053" s="33" t="str" cm="1">
        <f t="array" ref="BA10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adicional]=$T$2))&gt;0)),ROW(A1055)),"")</f>
        <v/>
      </c>
    </row>
    <row r="1054" spans="15:53" x14ac:dyDescent="0.35">
      <c r="O1054" s="1" t="str" cm="1">
        <f t="array" ref="O1054">IF($BA1054="","",INDEX(tblServicios[Fecha],$BA1054))</f>
        <v/>
      </c>
      <c r="P1054" t="str" cm="1">
        <f t="array" ref="P1054">IF($BA1054="","",INDEX(tblServicios[Contrato],$BA1054))</f>
        <v/>
      </c>
      <c r="Q1054" t="str" cm="1">
        <f t="array" ref="Q1054">IF($BA1054="","",INDEX(tblServicios[Vehículo],$BA1054))</f>
        <v/>
      </c>
      <c r="T1054" t="str" cm="1">
        <f t="array" ref="T1054">IF($BA1054="","",INDEX(tblServicios[Tipo suplemento],$BA1054))</f>
        <v/>
      </c>
      <c r="U1054" s="2" t="str">
        <f t="shared" si="18"/>
        <v/>
      </c>
      <c r="V1054" t="str" cm="1">
        <f t="array" ref="V1054">IF($BA1054="","",IF(INDEX(tblServicios[Conductor],$BA1054)=$T$2,"Conductor",IF(INDEX(tblServicios[Personal adicional],$BA1054)=$T$2,"Personal adicional","")))</f>
        <v/>
      </c>
      <c r="BA1054" s="33" t="str" cm="1">
        <f t="array" ref="BA10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adicional]=$T$2))&gt;0)),ROW(A1056)),"")</f>
        <v/>
      </c>
    </row>
    <row r="1055" spans="15:53" x14ac:dyDescent="0.35">
      <c r="O1055" s="1" t="str" cm="1">
        <f t="array" ref="O1055">IF($BA1055="","",INDEX(tblServicios[Fecha],$BA1055))</f>
        <v/>
      </c>
      <c r="P1055" t="str" cm="1">
        <f t="array" ref="P1055">IF($BA1055="","",INDEX(tblServicios[Contrato],$BA1055))</f>
        <v/>
      </c>
      <c r="Q1055" t="str" cm="1">
        <f t="array" ref="Q1055">IF($BA1055="","",INDEX(tblServicios[Vehículo],$BA1055))</f>
        <v/>
      </c>
      <c r="T1055" t="str" cm="1">
        <f t="array" ref="T1055">IF($BA1055="","",INDEX(tblServicios[Tipo suplemento],$BA1055))</f>
        <v/>
      </c>
      <c r="U1055" s="2" t="str">
        <f t="shared" si="18"/>
        <v/>
      </c>
      <c r="V1055" t="str" cm="1">
        <f t="array" ref="V1055">IF($BA1055="","",IF(INDEX(tblServicios[Conductor],$BA1055)=$T$2,"Conductor",IF(INDEX(tblServicios[Personal adicional],$BA1055)=$T$2,"Personal adicional","")))</f>
        <v/>
      </c>
      <c r="BA1055" s="33" t="str" cm="1">
        <f t="array" ref="BA10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adicional]=$T$2))&gt;0)),ROW(A1057)),"")</f>
        <v/>
      </c>
    </row>
    <row r="1056" spans="15:53" x14ac:dyDescent="0.35">
      <c r="O1056" s="1" t="str" cm="1">
        <f t="array" ref="O1056">IF($BA1056="","",INDEX(tblServicios[Fecha],$BA1056))</f>
        <v/>
      </c>
      <c r="P1056" t="str" cm="1">
        <f t="array" ref="P1056">IF($BA1056="","",INDEX(tblServicios[Contrato],$BA1056))</f>
        <v/>
      </c>
      <c r="Q1056" t="str" cm="1">
        <f t="array" ref="Q1056">IF($BA1056="","",INDEX(tblServicios[Vehículo],$BA1056))</f>
        <v/>
      </c>
      <c r="T1056" t="str" cm="1">
        <f t="array" ref="T1056">IF($BA1056="","",INDEX(tblServicios[Tipo suplemento],$BA1056))</f>
        <v/>
      </c>
      <c r="U1056" s="2" t="str">
        <f t="shared" si="18"/>
        <v/>
      </c>
      <c r="V1056" t="str" cm="1">
        <f t="array" ref="V1056">IF($BA1056="","",IF(INDEX(tblServicios[Conductor],$BA1056)=$T$2,"Conductor",IF(INDEX(tblServicios[Personal adicional],$BA1056)=$T$2,"Personal adicional","")))</f>
        <v/>
      </c>
      <c r="BA1056" s="33" t="str" cm="1">
        <f t="array" ref="BA10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adicional]=$T$2))&gt;0)),ROW(A1058)),"")</f>
        <v/>
      </c>
    </row>
    <row r="1057" spans="15:53" x14ac:dyDescent="0.35">
      <c r="O1057" s="1" t="str" cm="1">
        <f t="array" ref="O1057">IF($BA1057="","",INDEX(tblServicios[Fecha],$BA1057))</f>
        <v/>
      </c>
      <c r="P1057" t="str" cm="1">
        <f t="array" ref="P1057">IF($BA1057="","",INDEX(tblServicios[Contrato],$BA1057))</f>
        <v/>
      </c>
      <c r="Q1057" t="str" cm="1">
        <f t="array" ref="Q1057">IF($BA1057="","",INDEX(tblServicios[Vehículo],$BA1057))</f>
        <v/>
      </c>
      <c r="T1057" t="str" cm="1">
        <f t="array" ref="T1057">IF($BA1057="","",INDEX(tblServicios[Tipo suplemento],$BA1057))</f>
        <v/>
      </c>
      <c r="U1057" s="2" t="str">
        <f t="shared" si="18"/>
        <v/>
      </c>
      <c r="V1057" t="str" cm="1">
        <f t="array" ref="V1057">IF($BA1057="","",IF(INDEX(tblServicios[Conductor],$BA1057)=$T$2,"Conductor",IF(INDEX(tblServicios[Personal adicional],$BA1057)=$T$2,"Personal adicional","")))</f>
        <v/>
      </c>
      <c r="BA1057" s="33" t="str" cm="1">
        <f t="array" ref="BA10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adicional]=$T$2))&gt;0)),ROW(A1059)),"")</f>
        <v/>
      </c>
    </row>
    <row r="1058" spans="15:53" x14ac:dyDescent="0.35">
      <c r="O1058" s="1" t="str" cm="1">
        <f t="array" ref="O1058">IF($BA1058="","",INDEX(tblServicios[Fecha],$BA1058))</f>
        <v/>
      </c>
      <c r="P1058" t="str" cm="1">
        <f t="array" ref="P1058">IF($BA1058="","",INDEX(tblServicios[Contrato],$BA1058))</f>
        <v/>
      </c>
      <c r="Q1058" t="str" cm="1">
        <f t="array" ref="Q1058">IF($BA1058="","",INDEX(tblServicios[Vehículo],$BA1058))</f>
        <v/>
      </c>
      <c r="T1058" t="str" cm="1">
        <f t="array" ref="T1058">IF($BA1058="","",INDEX(tblServicios[Tipo suplemento],$BA1058))</f>
        <v/>
      </c>
      <c r="U1058" s="2" t="str">
        <f t="shared" si="18"/>
        <v/>
      </c>
      <c r="V1058" t="str" cm="1">
        <f t="array" ref="V1058">IF($BA1058="","",IF(INDEX(tblServicios[Conductor],$BA1058)=$T$2,"Conductor",IF(INDEX(tblServicios[Personal adicional],$BA1058)=$T$2,"Personal adicional","")))</f>
        <v/>
      </c>
      <c r="BA1058" s="33" t="str" cm="1">
        <f t="array" ref="BA10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adicional]=$T$2))&gt;0)),ROW(A1060)),"")</f>
        <v/>
      </c>
    </row>
    <row r="1059" spans="15:53" x14ac:dyDescent="0.35">
      <c r="O1059" s="1" t="str" cm="1">
        <f t="array" ref="O1059">IF($BA1059="","",INDEX(tblServicios[Fecha],$BA1059))</f>
        <v/>
      </c>
      <c r="P1059" t="str" cm="1">
        <f t="array" ref="P1059">IF($BA1059="","",INDEX(tblServicios[Contrato],$BA1059))</f>
        <v/>
      </c>
      <c r="Q1059" t="str" cm="1">
        <f t="array" ref="Q1059">IF($BA1059="","",INDEX(tblServicios[Vehículo],$BA1059))</f>
        <v/>
      </c>
      <c r="T1059" t="str" cm="1">
        <f t="array" ref="T1059">IF($BA1059="","",INDEX(tblServicios[Tipo suplemento],$BA1059))</f>
        <v/>
      </c>
      <c r="U1059" s="2" t="str">
        <f t="shared" si="18"/>
        <v/>
      </c>
      <c r="V1059" t="str" cm="1">
        <f t="array" ref="V1059">IF($BA1059="","",IF(INDEX(tblServicios[Conductor],$BA1059)=$T$2,"Conductor",IF(INDEX(tblServicios[Personal adicional],$BA1059)=$T$2,"Personal adicional","")))</f>
        <v/>
      </c>
      <c r="BA1059" s="33" t="str" cm="1">
        <f t="array" ref="BA10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adicional]=$T$2))&gt;0)),ROW(A1061)),"")</f>
        <v/>
      </c>
    </row>
    <row r="1060" spans="15:53" x14ac:dyDescent="0.35">
      <c r="O1060" s="1" t="str" cm="1">
        <f t="array" ref="O1060">IF($BA1060="","",INDEX(tblServicios[Fecha],$BA1060))</f>
        <v/>
      </c>
      <c r="P1060" t="str" cm="1">
        <f t="array" ref="P1060">IF($BA1060="","",INDEX(tblServicios[Contrato],$BA1060))</f>
        <v/>
      </c>
      <c r="Q1060" t="str" cm="1">
        <f t="array" ref="Q1060">IF($BA1060="","",INDEX(tblServicios[Vehículo],$BA1060))</f>
        <v/>
      </c>
      <c r="T1060" t="str" cm="1">
        <f t="array" ref="T1060">IF($BA1060="","",INDEX(tblServicios[Tipo suplemento],$BA1060))</f>
        <v/>
      </c>
      <c r="U1060" s="2" t="str">
        <f t="shared" si="18"/>
        <v/>
      </c>
      <c r="V1060" t="str" cm="1">
        <f t="array" ref="V1060">IF($BA1060="","",IF(INDEX(tblServicios[Conductor],$BA1060)=$T$2,"Conductor",IF(INDEX(tblServicios[Personal adicional],$BA1060)=$T$2,"Personal adicional","")))</f>
        <v/>
      </c>
      <c r="BA1060" s="33" t="str" cm="1">
        <f t="array" ref="BA10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adicional]=$T$2))&gt;0)),ROW(A1062)),"")</f>
        <v/>
      </c>
    </row>
    <row r="1061" spans="15:53" x14ac:dyDescent="0.35">
      <c r="O1061" s="1" t="str" cm="1">
        <f t="array" ref="O1061">IF($BA1061="","",INDEX(tblServicios[Fecha],$BA1061))</f>
        <v/>
      </c>
      <c r="P1061" t="str" cm="1">
        <f t="array" ref="P1061">IF($BA1061="","",INDEX(tblServicios[Contrato],$BA1061))</f>
        <v/>
      </c>
      <c r="Q1061" t="str" cm="1">
        <f t="array" ref="Q1061">IF($BA1061="","",INDEX(tblServicios[Vehículo],$BA1061))</f>
        <v/>
      </c>
      <c r="T1061" t="str" cm="1">
        <f t="array" ref="T1061">IF($BA1061="","",INDEX(tblServicios[Tipo suplemento],$BA1061))</f>
        <v/>
      </c>
      <c r="U1061" s="2" t="str">
        <f t="shared" si="18"/>
        <v/>
      </c>
      <c r="V1061" t="str" cm="1">
        <f t="array" ref="V1061">IF($BA1061="","",IF(INDEX(tblServicios[Conductor],$BA1061)=$T$2,"Conductor",IF(INDEX(tblServicios[Personal adicional],$BA1061)=$T$2,"Personal adicional","")))</f>
        <v/>
      </c>
      <c r="BA1061" s="33" t="str" cm="1">
        <f t="array" ref="BA10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adicional]=$T$2))&gt;0)),ROW(A1063)),"")</f>
        <v/>
      </c>
    </row>
    <row r="1062" spans="15:53" x14ac:dyDescent="0.35">
      <c r="O1062" s="1" t="str" cm="1">
        <f t="array" ref="O1062">IF($BA1062="","",INDEX(tblServicios[Fecha],$BA1062))</f>
        <v/>
      </c>
      <c r="P1062" t="str" cm="1">
        <f t="array" ref="P1062">IF($BA1062="","",INDEX(tblServicios[Contrato],$BA1062))</f>
        <v/>
      </c>
      <c r="Q1062" t="str" cm="1">
        <f t="array" ref="Q1062">IF($BA1062="","",INDEX(tblServicios[Vehículo],$BA1062))</f>
        <v/>
      </c>
      <c r="T1062" t="str" cm="1">
        <f t="array" ref="T1062">IF($BA1062="","",INDEX(tblServicios[Tipo suplemento],$BA1062))</f>
        <v/>
      </c>
      <c r="U1062" s="2" t="str">
        <f t="shared" si="18"/>
        <v/>
      </c>
      <c r="V1062" t="str" cm="1">
        <f t="array" ref="V1062">IF($BA1062="","",IF(INDEX(tblServicios[Conductor],$BA1062)=$T$2,"Conductor",IF(INDEX(tblServicios[Personal adicional],$BA1062)=$T$2,"Personal adicional","")))</f>
        <v/>
      </c>
      <c r="BA1062" s="33" t="str" cm="1">
        <f t="array" ref="BA10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adicional]=$T$2))&gt;0)),ROW(A1064)),"")</f>
        <v/>
      </c>
    </row>
    <row r="1063" spans="15:53" x14ac:dyDescent="0.35">
      <c r="O1063" s="1" t="str" cm="1">
        <f t="array" ref="O1063">IF($BA1063="","",INDEX(tblServicios[Fecha],$BA1063))</f>
        <v/>
      </c>
      <c r="P1063" t="str" cm="1">
        <f t="array" ref="P1063">IF($BA1063="","",INDEX(tblServicios[Contrato],$BA1063))</f>
        <v/>
      </c>
      <c r="Q1063" t="str" cm="1">
        <f t="array" ref="Q1063">IF($BA1063="","",INDEX(tblServicios[Vehículo],$BA1063))</f>
        <v/>
      </c>
      <c r="T1063" t="str" cm="1">
        <f t="array" ref="T1063">IF($BA1063="","",INDEX(tblServicios[Tipo suplemento],$BA1063))</f>
        <v/>
      </c>
      <c r="U1063" s="2" t="str">
        <f t="shared" si="18"/>
        <v/>
      </c>
      <c r="V1063" t="str" cm="1">
        <f t="array" ref="V1063">IF($BA1063="","",IF(INDEX(tblServicios[Conductor],$BA1063)=$T$2,"Conductor",IF(INDEX(tblServicios[Personal adicional],$BA1063)=$T$2,"Personal adicional","")))</f>
        <v/>
      </c>
      <c r="BA1063" s="33" t="str" cm="1">
        <f t="array" ref="BA10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adicional]=$T$2))&gt;0)),ROW(A1065)),"")</f>
        <v/>
      </c>
    </row>
    <row r="1064" spans="15:53" x14ac:dyDescent="0.35">
      <c r="O1064" s="1" t="str" cm="1">
        <f t="array" ref="O1064">IF($BA1064="","",INDEX(tblServicios[Fecha],$BA1064))</f>
        <v/>
      </c>
      <c r="P1064" t="str" cm="1">
        <f t="array" ref="P1064">IF($BA1064="","",INDEX(tblServicios[Contrato],$BA1064))</f>
        <v/>
      </c>
      <c r="Q1064" t="str" cm="1">
        <f t="array" ref="Q1064">IF($BA1064="","",INDEX(tblServicios[Vehículo],$BA1064))</f>
        <v/>
      </c>
      <c r="T1064" t="str" cm="1">
        <f t="array" ref="T1064">IF($BA1064="","",INDEX(tblServicios[Tipo suplemento],$BA1064))</f>
        <v/>
      </c>
      <c r="U1064" s="2" t="str">
        <f t="shared" si="18"/>
        <v/>
      </c>
      <c r="V1064" t="str" cm="1">
        <f t="array" ref="V1064">IF($BA1064="","",IF(INDEX(tblServicios[Conductor],$BA1064)=$T$2,"Conductor",IF(INDEX(tblServicios[Personal adicional],$BA1064)=$T$2,"Personal adicional","")))</f>
        <v/>
      </c>
      <c r="BA1064" s="33" t="str" cm="1">
        <f t="array" ref="BA10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adicional]=$T$2))&gt;0)),ROW(A1066)),"")</f>
        <v/>
      </c>
    </row>
    <row r="1065" spans="15:53" x14ac:dyDescent="0.35">
      <c r="O1065" s="1" t="str" cm="1">
        <f t="array" ref="O1065">IF($BA1065="","",INDEX(tblServicios[Fecha],$BA1065))</f>
        <v/>
      </c>
      <c r="P1065" t="str" cm="1">
        <f t="array" ref="P1065">IF($BA1065="","",INDEX(tblServicios[Contrato],$BA1065))</f>
        <v/>
      </c>
      <c r="Q1065" t="str" cm="1">
        <f t="array" ref="Q1065">IF($BA1065="","",INDEX(tblServicios[Vehículo],$BA1065))</f>
        <v/>
      </c>
      <c r="T1065" t="str" cm="1">
        <f t="array" ref="T1065">IF($BA1065="","",INDEX(tblServicios[Tipo suplemento],$BA1065))</f>
        <v/>
      </c>
      <c r="U1065" s="2" t="str">
        <f t="shared" si="18"/>
        <v/>
      </c>
      <c r="V1065" t="str" cm="1">
        <f t="array" ref="V1065">IF($BA1065="","",IF(INDEX(tblServicios[Conductor],$BA1065)=$T$2,"Conductor",IF(INDEX(tblServicios[Personal adicional],$BA1065)=$T$2,"Personal adicional","")))</f>
        <v/>
      </c>
      <c r="BA1065" s="33" t="str" cm="1">
        <f t="array" ref="BA10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adicional]=$T$2))&gt;0)),ROW(A1067)),"")</f>
        <v/>
      </c>
    </row>
    <row r="1066" spans="15:53" x14ac:dyDescent="0.35">
      <c r="O1066" s="1" t="str" cm="1">
        <f t="array" ref="O1066">IF($BA1066="","",INDEX(tblServicios[Fecha],$BA1066))</f>
        <v/>
      </c>
      <c r="P1066" t="str" cm="1">
        <f t="array" ref="P1066">IF($BA1066="","",INDEX(tblServicios[Contrato],$BA1066))</f>
        <v/>
      </c>
      <c r="Q1066" t="str" cm="1">
        <f t="array" ref="Q1066">IF($BA1066="","",INDEX(tblServicios[Vehículo],$BA1066))</f>
        <v/>
      </c>
      <c r="T1066" t="str" cm="1">
        <f t="array" ref="T1066">IF($BA1066="","",INDEX(tblServicios[Tipo suplemento],$BA1066))</f>
        <v/>
      </c>
      <c r="V1066" t="str" cm="1">
        <f t="array" ref="V1066">IF($BA1066="","",IF(INDEX(tblServicios[Conductor],$BA1066)=$T$2,"Conductor",IF(INDEX(tblServicios[Personal adicional],$BA1066)=$T$2,"Personal adicional","")))</f>
        <v/>
      </c>
      <c r="BA1066" s="33" t="str" cm="1">
        <f t="array" ref="BA10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adicional]=$T$2))&gt;0)),ROW(A1068)),"")</f>
        <v/>
      </c>
    </row>
    <row r="1067" spans="15:53" x14ac:dyDescent="0.35">
      <c r="O1067" s="1" t="str" cm="1">
        <f t="array" ref="O1067">IF($BA1067="","",INDEX(tblServicios[Fecha],$BA1067))</f>
        <v/>
      </c>
      <c r="P1067" t="str" cm="1">
        <f t="array" ref="P1067">IF($BA1067="","",INDEX(tblServicios[Contrato],$BA1067))</f>
        <v/>
      </c>
      <c r="Q1067" t="str" cm="1">
        <f t="array" ref="Q1067">IF($BA1067="","",INDEX(tblServicios[Vehículo],$BA1067))</f>
        <v/>
      </c>
      <c r="T1067" t="str" cm="1">
        <f t="array" ref="T1067">IF($BA1067="","",INDEX(tblServicios[Tipo suplemento],$BA1067))</f>
        <v/>
      </c>
      <c r="V1067" t="str" cm="1">
        <f t="array" ref="V1067">IF($BA1067="","",IF(INDEX(tblServicios[Conductor],$BA1067)=$T$2,"Conductor",IF(INDEX(tblServicios[Personal adicional],$BA1067)=$T$2,"Personal adicional","")))</f>
        <v/>
      </c>
      <c r="BA1067" s="33" t="str" cm="1">
        <f t="array" ref="BA10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adicional]=$T$2))&gt;0)),ROW(A1069)),"")</f>
        <v/>
      </c>
    </row>
    <row r="1068" spans="15:53" x14ac:dyDescent="0.35">
      <c r="O1068" s="1" t="str" cm="1">
        <f t="array" ref="O1068">IF($BA1068="","",INDEX(tblServicios[Fecha],$BA1068))</f>
        <v/>
      </c>
      <c r="P1068" t="str" cm="1">
        <f t="array" ref="P1068">IF($BA1068="","",INDEX(tblServicios[Contrato],$BA1068))</f>
        <v/>
      </c>
      <c r="Q1068" t="str" cm="1">
        <f t="array" ref="Q1068">IF($BA1068="","",INDEX(tblServicios[Vehículo],$BA1068))</f>
        <v/>
      </c>
      <c r="T1068" t="str" cm="1">
        <f t="array" ref="T1068">IF($BA1068="","",INDEX(tblServicios[Tipo suplemento],$BA1068))</f>
        <v/>
      </c>
      <c r="V1068" t="str" cm="1">
        <f t="array" ref="V1068">IF($BA1068="","",IF(INDEX(tblServicios[Conductor],$BA1068)=$T$2,"Conductor",IF(INDEX(tblServicios[Personal adicional],$BA1068)=$T$2,"Personal adicional","")))</f>
        <v/>
      </c>
      <c r="BA1068" s="33" t="str" cm="1">
        <f t="array" ref="BA10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adicional]=$T$2))&gt;0)),ROW(A1070)),"")</f>
        <v/>
      </c>
    </row>
    <row r="1069" spans="15:53" x14ac:dyDescent="0.35">
      <c r="O1069" s="1" t="str" cm="1">
        <f t="array" ref="O1069">IF($BA1069="","",INDEX(tblServicios[Fecha],$BA1069))</f>
        <v/>
      </c>
      <c r="P1069" t="str" cm="1">
        <f t="array" ref="P1069">IF($BA1069="","",INDEX(tblServicios[Contrato],$BA1069))</f>
        <v/>
      </c>
      <c r="Q1069" t="str" cm="1">
        <f t="array" ref="Q1069">IF($BA1069="","",INDEX(tblServicios[Vehículo],$BA1069))</f>
        <v/>
      </c>
      <c r="T1069" t="str" cm="1">
        <f t="array" ref="T1069">IF($BA1069="","",INDEX(tblServicios[Tipo suplemento],$BA1069))</f>
        <v/>
      </c>
      <c r="V1069" t="str" cm="1">
        <f t="array" ref="V1069">IF($BA1069="","",IF(INDEX(tblServicios[Conductor],$BA1069)=$T$2,"Conductor",IF(INDEX(tblServicios[Personal adicional],$BA1069)=$T$2,"Personal adicional","")))</f>
        <v/>
      </c>
      <c r="BA1069" s="33" t="str" cm="1">
        <f t="array" ref="BA10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adicional]=$T$2))&gt;0)),ROW(A1071)),"")</f>
        <v/>
      </c>
    </row>
    <row r="1070" spans="15:53" x14ac:dyDescent="0.35">
      <c r="O1070" s="1" t="str" cm="1">
        <f t="array" ref="O1070">IF($BA1070="","",INDEX(tblServicios[Fecha],$BA1070))</f>
        <v/>
      </c>
      <c r="P1070" t="str" cm="1">
        <f t="array" ref="P1070">IF($BA1070="","",INDEX(tblServicios[Contrato],$BA1070))</f>
        <v/>
      </c>
      <c r="Q1070" t="str" cm="1">
        <f t="array" ref="Q1070">IF($BA1070="","",INDEX(tblServicios[Vehículo],$BA1070))</f>
        <v/>
      </c>
      <c r="T1070" t="str" cm="1">
        <f t="array" ref="T1070">IF($BA1070="","",INDEX(tblServicios[Tipo suplemento],$BA1070))</f>
        <v/>
      </c>
      <c r="V1070" t="str" cm="1">
        <f t="array" ref="V1070">IF($BA1070="","",IF(INDEX(tblServicios[Conductor],$BA1070)=$T$2,"Conductor",IF(INDEX(tblServicios[Personal adicional],$BA1070)=$T$2,"Personal adicional","")))</f>
        <v/>
      </c>
      <c r="BA1070" s="33" t="str" cm="1">
        <f t="array" ref="BA10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adicional]=$T$2))&gt;0)),ROW(A1072)),"")</f>
        <v/>
      </c>
    </row>
    <row r="1071" spans="15:53" x14ac:dyDescent="0.35">
      <c r="O1071" s="1" t="str" cm="1">
        <f t="array" ref="O1071">IF($BA1071="","",INDEX(tblServicios[Fecha],$BA1071))</f>
        <v/>
      </c>
      <c r="P1071" t="str" cm="1">
        <f t="array" ref="P1071">IF($BA1071="","",INDEX(tblServicios[Contrato],$BA1071))</f>
        <v/>
      </c>
      <c r="Q1071" t="str" cm="1">
        <f t="array" ref="Q1071">IF($BA1071="","",INDEX(tblServicios[Vehículo],$BA1071))</f>
        <v/>
      </c>
      <c r="T1071" t="str" cm="1">
        <f t="array" ref="T1071">IF($BA1071="","",INDEX(tblServicios[Tipo suplemento],$BA1071))</f>
        <v/>
      </c>
      <c r="V1071" t="str" cm="1">
        <f t="array" ref="V1071">IF($BA1071="","",IF(INDEX(tblServicios[Conductor],$BA1071)=$T$2,"Conductor",IF(INDEX(tblServicios[Personal adicional],$BA1071)=$T$2,"Personal adicional","")))</f>
        <v/>
      </c>
      <c r="BA1071" s="33" t="str" cm="1">
        <f t="array" ref="BA10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adicional]=$T$2))&gt;0)),ROW(A1073)),"")</f>
        <v/>
      </c>
    </row>
    <row r="1072" spans="15:53" x14ac:dyDescent="0.35">
      <c r="O1072" s="1" t="str" cm="1">
        <f t="array" ref="O1072">IF($BA1072="","",INDEX(tblServicios[Fecha],$BA1072))</f>
        <v/>
      </c>
      <c r="P1072" t="str" cm="1">
        <f t="array" ref="P1072">IF($BA1072="","",INDEX(tblServicios[Contrato],$BA1072))</f>
        <v/>
      </c>
      <c r="Q1072" t="str" cm="1">
        <f t="array" ref="Q1072">IF($BA1072="","",INDEX(tblServicios[Vehículo],$BA1072))</f>
        <v/>
      </c>
      <c r="T1072" t="str" cm="1">
        <f t="array" ref="T1072">IF($BA1072="","",INDEX(tblServicios[Tipo suplemento],$BA1072))</f>
        <v/>
      </c>
      <c r="V1072" t="str" cm="1">
        <f t="array" ref="V1072">IF($BA1072="","",IF(INDEX(tblServicios[Conductor],$BA1072)=$T$2,"Conductor",IF(INDEX(tblServicios[Personal adicional],$BA1072)=$T$2,"Personal adicional","")))</f>
        <v/>
      </c>
      <c r="BA1072" s="33" t="str" cm="1">
        <f t="array" ref="BA10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adicional]=$T$2))&gt;0)),ROW(A1074)),"")</f>
        <v/>
      </c>
    </row>
    <row r="1073" spans="15:53" x14ac:dyDescent="0.35">
      <c r="O1073" s="1" t="str" cm="1">
        <f t="array" ref="O1073">IF($BA1073="","",INDEX(tblServicios[Fecha],$BA1073))</f>
        <v/>
      </c>
      <c r="P1073" t="str" cm="1">
        <f t="array" ref="P1073">IF($BA1073="","",INDEX(tblServicios[Contrato],$BA1073))</f>
        <v/>
      </c>
      <c r="Q1073" t="str" cm="1">
        <f t="array" ref="Q1073">IF($BA1073="","",INDEX(tblServicios[Vehículo],$BA1073))</f>
        <v/>
      </c>
      <c r="T1073" t="str" cm="1">
        <f t="array" ref="T1073">IF($BA1073="","",INDEX(tblServicios[Tipo suplemento],$BA1073))</f>
        <v/>
      </c>
      <c r="V1073" t="str" cm="1">
        <f t="array" ref="V1073">IF($BA1073="","",IF(INDEX(tblServicios[Conductor],$BA1073)=$T$2,"Conductor",IF(INDEX(tblServicios[Personal adicional],$BA1073)=$T$2,"Personal adicional","")))</f>
        <v/>
      </c>
      <c r="BA1073" s="33" t="str" cm="1">
        <f t="array" ref="BA10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adicional]=$T$2))&gt;0)),ROW(A1075)),"")</f>
        <v/>
      </c>
    </row>
    <row r="1074" spans="15:53" x14ac:dyDescent="0.35">
      <c r="O1074" s="1" t="str" cm="1">
        <f t="array" ref="O1074">IF($BA1074="","",INDEX(tblServicios[Fecha],$BA1074))</f>
        <v/>
      </c>
      <c r="P1074" t="str" cm="1">
        <f t="array" ref="P1074">IF($BA1074="","",INDEX(tblServicios[Contrato],$BA1074))</f>
        <v/>
      </c>
      <c r="Q1074" t="str" cm="1">
        <f t="array" ref="Q1074">IF($BA1074="","",INDEX(tblServicios[Vehículo],$BA1074))</f>
        <v/>
      </c>
      <c r="T1074" t="str" cm="1">
        <f t="array" ref="T1074">IF($BA1074="","",INDEX(tblServicios[Tipo suplemento],$BA1074))</f>
        <v/>
      </c>
      <c r="V1074" t="str" cm="1">
        <f t="array" ref="V1074">IF($BA1074="","",IF(INDEX(tblServicios[Conductor],$BA1074)=$T$2,"Conductor",IF(INDEX(tblServicios[Personal adicional],$BA1074)=$T$2,"Personal adicional","")))</f>
        <v/>
      </c>
      <c r="BA1074" s="33" t="str" cm="1">
        <f t="array" ref="BA10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adicional]=$T$2))&gt;0)),ROW(A1076)),"")</f>
        <v/>
      </c>
    </row>
    <row r="1075" spans="15:53" x14ac:dyDescent="0.35">
      <c r="O1075" s="1" t="str" cm="1">
        <f t="array" ref="O1075">IF($BA1075="","",INDEX(tblServicios[Fecha],$BA1075))</f>
        <v/>
      </c>
      <c r="P1075" t="str" cm="1">
        <f t="array" ref="P1075">IF($BA1075="","",INDEX(tblServicios[Contrato],$BA1075))</f>
        <v/>
      </c>
      <c r="Q1075" t="str" cm="1">
        <f t="array" ref="Q1075">IF($BA1075="","",INDEX(tblServicios[Vehículo],$BA1075))</f>
        <v/>
      </c>
      <c r="T1075" t="str" cm="1">
        <f t="array" ref="T1075">IF($BA1075="","",INDEX(tblServicios[Tipo suplemento],$BA1075))</f>
        <v/>
      </c>
      <c r="V1075" t="str" cm="1">
        <f t="array" ref="V1075">IF($BA1075="","",IF(INDEX(tblServicios[Conductor],$BA1075)=$T$2,"Conductor",IF(INDEX(tblServicios[Personal adicional],$BA1075)=$T$2,"Personal adicional","")))</f>
        <v/>
      </c>
      <c r="BA1075" s="33" t="str" cm="1">
        <f t="array" ref="BA10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adicional]=$T$2))&gt;0)),ROW(A1077)),"")</f>
        <v/>
      </c>
    </row>
    <row r="1076" spans="15:53" x14ac:dyDescent="0.35">
      <c r="O1076" s="1" t="str" cm="1">
        <f t="array" ref="O1076">IF($BA1076="","",INDEX(tblServicios[Fecha],$BA1076))</f>
        <v/>
      </c>
      <c r="P1076" t="str" cm="1">
        <f t="array" ref="P1076">IF($BA1076="","",INDEX(tblServicios[Contrato],$BA1076))</f>
        <v/>
      </c>
      <c r="Q1076" t="str" cm="1">
        <f t="array" ref="Q1076">IF($BA1076="","",INDEX(tblServicios[Vehículo],$BA1076))</f>
        <v/>
      </c>
      <c r="T1076" t="str" cm="1">
        <f t="array" ref="T1076">IF($BA1076="","",INDEX(tblServicios[Tipo suplemento],$BA1076))</f>
        <v/>
      </c>
      <c r="V1076" t="str" cm="1">
        <f t="array" ref="V1076">IF($BA1076="","",IF(INDEX(tblServicios[Conductor],$BA1076)=$T$2,"Conductor",IF(INDEX(tblServicios[Personal adicional],$BA1076)=$T$2,"Personal adicional","")))</f>
        <v/>
      </c>
      <c r="BA1076" s="33" t="str" cm="1">
        <f t="array" ref="BA10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adicional]=$T$2))&gt;0)),ROW(A1078)),"")</f>
        <v/>
      </c>
    </row>
    <row r="1077" spans="15:53" x14ac:dyDescent="0.35">
      <c r="O1077" s="1" t="str" cm="1">
        <f t="array" ref="O1077">IF($BA1077="","",INDEX(tblServicios[Fecha],$BA1077))</f>
        <v/>
      </c>
      <c r="P1077" t="str" cm="1">
        <f t="array" ref="P1077">IF($BA1077="","",INDEX(tblServicios[Contrato],$BA1077))</f>
        <v/>
      </c>
      <c r="Q1077" t="str" cm="1">
        <f t="array" ref="Q1077">IF($BA1077="","",INDEX(tblServicios[Vehículo],$BA1077))</f>
        <v/>
      </c>
      <c r="T1077" t="str" cm="1">
        <f t="array" ref="T1077">IF($BA1077="","",INDEX(tblServicios[Tipo suplemento],$BA1077))</f>
        <v/>
      </c>
      <c r="V1077" t="str" cm="1">
        <f t="array" ref="V1077">IF($BA1077="","",IF(INDEX(tblServicios[Conductor],$BA1077)=$T$2,"Conductor",IF(INDEX(tblServicios[Personal adicional],$BA1077)=$T$2,"Personal adicional","")))</f>
        <v/>
      </c>
      <c r="BA1077" s="33" t="str" cm="1">
        <f t="array" ref="BA10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adicional]=$T$2))&gt;0)),ROW(A1079)),"")</f>
        <v/>
      </c>
    </row>
    <row r="1078" spans="15:53" x14ac:dyDescent="0.35">
      <c r="O1078" s="1" t="str" cm="1">
        <f t="array" ref="O1078">IF($BA1078="","",INDEX(tblServicios[Fecha],$BA1078))</f>
        <v/>
      </c>
      <c r="P1078" t="str" cm="1">
        <f t="array" ref="P1078">IF($BA1078="","",INDEX(tblServicios[Contrato],$BA1078))</f>
        <v/>
      </c>
      <c r="Q1078" t="str" cm="1">
        <f t="array" ref="Q1078">IF($BA1078="","",INDEX(tblServicios[Vehículo],$BA1078))</f>
        <v/>
      </c>
      <c r="T1078" t="str" cm="1">
        <f t="array" ref="T1078">IF($BA1078="","",INDEX(tblServicios[Tipo suplemento],$BA1078))</f>
        <v/>
      </c>
      <c r="V1078" t="str" cm="1">
        <f t="array" ref="V1078">IF($BA1078="","",IF(INDEX(tblServicios[Conductor],$BA1078)=$T$2,"Conductor",IF(INDEX(tblServicios[Personal adicional],$BA1078)=$T$2,"Personal adicional","")))</f>
        <v/>
      </c>
      <c r="BA1078" s="33" t="str" cm="1">
        <f t="array" ref="BA10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adicional]=$T$2))&gt;0)),ROW(A1080)),"")</f>
        <v/>
      </c>
    </row>
    <row r="1079" spans="15:53" x14ac:dyDescent="0.35">
      <c r="O1079" s="1" t="str" cm="1">
        <f t="array" ref="O1079">IF($BA1079="","",INDEX(tblServicios[Fecha],$BA1079))</f>
        <v/>
      </c>
      <c r="P1079" t="str" cm="1">
        <f t="array" ref="P1079">IF($BA1079="","",INDEX(tblServicios[Contrato],$BA1079))</f>
        <v/>
      </c>
      <c r="Q1079" t="str" cm="1">
        <f t="array" ref="Q1079">IF($BA1079="","",INDEX(tblServicios[Vehículo],$BA1079))</f>
        <v/>
      </c>
      <c r="T1079" t="str" cm="1">
        <f t="array" ref="T1079">IF($BA1079="","",INDEX(tblServicios[Tipo suplemento],$BA1079))</f>
        <v/>
      </c>
      <c r="V1079" t="str" cm="1">
        <f t="array" ref="V1079">IF($BA1079="","",IF(INDEX(tblServicios[Conductor],$BA1079)=$T$2,"Conductor",IF(INDEX(tblServicios[Personal adicional],$BA1079)=$T$2,"Personal adicional","")))</f>
        <v/>
      </c>
      <c r="BA1079" s="33" t="str" cm="1">
        <f t="array" ref="BA10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adicional]=$T$2))&gt;0)),ROW(A1081)),"")</f>
        <v/>
      </c>
    </row>
    <row r="1080" spans="15:53" x14ac:dyDescent="0.35">
      <c r="O1080" s="1" t="str" cm="1">
        <f t="array" ref="O1080">IF($BA1080="","",INDEX(tblServicios[Fecha],$BA1080))</f>
        <v/>
      </c>
      <c r="P1080" t="str" cm="1">
        <f t="array" ref="P1080">IF($BA1080="","",INDEX(tblServicios[Contrato],$BA1080))</f>
        <v/>
      </c>
      <c r="Q1080" t="str" cm="1">
        <f t="array" ref="Q1080">IF($BA1080="","",INDEX(tblServicios[Vehículo],$BA1080))</f>
        <v/>
      </c>
      <c r="T1080" t="str" cm="1">
        <f t="array" ref="T1080">IF($BA1080="","",INDEX(tblServicios[Tipo suplemento],$BA1080))</f>
        <v/>
      </c>
      <c r="V1080" t="str" cm="1">
        <f t="array" ref="V1080">IF($BA1080="","",IF(INDEX(tblServicios[Conductor],$BA1080)=$T$2,"Conductor",IF(INDEX(tblServicios[Personal adicional],$BA1080)=$T$2,"Personal adicional","")))</f>
        <v/>
      </c>
      <c r="BA1080" s="33" t="str" cm="1">
        <f t="array" ref="BA10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adicional]=$T$2))&gt;0)),ROW(A1082)),"")</f>
        <v/>
      </c>
    </row>
    <row r="1081" spans="15:53" x14ac:dyDescent="0.35">
      <c r="O1081" s="1" t="str" cm="1">
        <f t="array" ref="O1081">IF($BA1081="","",INDEX(tblServicios[Fecha],$BA1081))</f>
        <v/>
      </c>
      <c r="P1081" t="str" cm="1">
        <f t="array" ref="P1081">IF($BA1081="","",INDEX(tblServicios[Contrato],$BA1081))</f>
        <v/>
      </c>
      <c r="Q1081" t="str" cm="1">
        <f t="array" ref="Q1081">IF($BA1081="","",INDEX(tblServicios[Vehículo],$BA1081))</f>
        <v/>
      </c>
      <c r="T1081" t="str" cm="1">
        <f t="array" ref="T1081">IF($BA1081="","",INDEX(tblServicios[Tipo suplemento],$BA1081))</f>
        <v/>
      </c>
      <c r="V1081" t="str" cm="1">
        <f t="array" ref="V1081">IF($BA1081="","",IF(INDEX(tblServicios[Conductor],$BA1081)=$T$2,"Conductor",IF(INDEX(tblServicios[Personal adicional],$BA1081)=$T$2,"Personal adicional","")))</f>
        <v/>
      </c>
      <c r="BA1081" s="33" t="str" cm="1">
        <f t="array" ref="BA10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adicional]=$T$2))&gt;0)),ROW(A1083)),"")</f>
        <v/>
      </c>
    </row>
    <row r="1082" spans="15:53" x14ac:dyDescent="0.35">
      <c r="O1082" s="1" t="str" cm="1">
        <f t="array" ref="O1082">IF($BA1082="","",INDEX(tblServicios[Fecha],$BA1082))</f>
        <v/>
      </c>
      <c r="P1082" t="str" cm="1">
        <f t="array" ref="P1082">IF($BA1082="","",INDEX(tblServicios[Contrato],$BA1082))</f>
        <v/>
      </c>
      <c r="Q1082" t="str" cm="1">
        <f t="array" ref="Q1082">IF($BA1082="","",INDEX(tblServicios[Vehículo],$BA1082))</f>
        <v/>
      </c>
      <c r="T1082" t="str" cm="1">
        <f t="array" ref="T1082">IF($BA1082="","",INDEX(tblServicios[Tipo suplemento],$BA1082))</f>
        <v/>
      </c>
      <c r="V1082" t="str" cm="1">
        <f t="array" ref="V1082">IF($BA1082="","",IF(INDEX(tblServicios[Conductor],$BA1082)=$T$2,"Conductor",IF(INDEX(tblServicios[Personal adicional],$BA1082)=$T$2,"Personal adicional","")))</f>
        <v/>
      </c>
      <c r="BA1082" s="33" t="str" cm="1">
        <f t="array" ref="BA10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adicional]=$T$2))&gt;0)),ROW(A1084)),"")</f>
        <v/>
      </c>
    </row>
    <row r="1083" spans="15:53" x14ac:dyDescent="0.35">
      <c r="O1083" s="1" t="str" cm="1">
        <f t="array" ref="O1083">IF($BA1083="","",INDEX(tblServicios[Fecha],$BA1083))</f>
        <v/>
      </c>
      <c r="P1083" t="str" cm="1">
        <f t="array" ref="P1083">IF($BA1083="","",INDEX(tblServicios[Contrato],$BA1083))</f>
        <v/>
      </c>
      <c r="Q1083" t="str" cm="1">
        <f t="array" ref="Q1083">IF($BA1083="","",INDEX(tblServicios[Vehículo],$BA1083))</f>
        <v/>
      </c>
      <c r="T1083" t="str" cm="1">
        <f t="array" ref="T1083">IF($BA1083="","",INDEX(tblServicios[Tipo suplemento],$BA1083))</f>
        <v/>
      </c>
      <c r="V1083" t="str" cm="1">
        <f t="array" ref="V1083">IF($BA1083="","",IF(INDEX(tblServicios[Conductor],$BA1083)=$T$2,"Conductor",IF(INDEX(tblServicios[Personal adicional],$BA1083)=$T$2,"Personal adicional","")))</f>
        <v/>
      </c>
      <c r="BA1083" s="33" t="str" cm="1">
        <f t="array" ref="BA10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adicional]=$T$2))&gt;0)),ROW(A1085)),"")</f>
        <v/>
      </c>
    </row>
    <row r="1084" spans="15:53" x14ac:dyDescent="0.35">
      <c r="O1084" s="1" t="str" cm="1">
        <f t="array" ref="O1084">IF($BA1084="","",INDEX(tblServicios[Fecha],$BA1084))</f>
        <v/>
      </c>
      <c r="P1084" t="str" cm="1">
        <f t="array" ref="P1084">IF($BA1084="","",INDEX(tblServicios[Contrato],$BA1084))</f>
        <v/>
      </c>
      <c r="Q1084" t="str" cm="1">
        <f t="array" ref="Q1084">IF($BA1084="","",INDEX(tblServicios[Vehículo],$BA1084))</f>
        <v/>
      </c>
      <c r="T1084" t="str" cm="1">
        <f t="array" ref="T1084">IF($BA1084="","",INDEX(tblServicios[Tipo suplemento],$BA1084))</f>
        <v/>
      </c>
      <c r="V1084" t="str" cm="1">
        <f t="array" ref="V1084">IF($BA1084="","",IF(INDEX(tblServicios[Conductor],$BA1084)=$T$2,"Conductor",IF(INDEX(tblServicios[Personal adicional],$BA1084)=$T$2,"Personal adicional","")))</f>
        <v/>
      </c>
      <c r="BA1084" s="33" t="str" cm="1">
        <f t="array" ref="BA10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adicional]=$T$2))&gt;0)),ROW(A1086)),"")</f>
        <v/>
      </c>
    </row>
    <row r="1085" spans="15:53" x14ac:dyDescent="0.35">
      <c r="O1085" s="1" t="str" cm="1">
        <f t="array" ref="O1085">IF($BA1085="","",INDEX(tblServicios[Fecha],$BA1085))</f>
        <v/>
      </c>
      <c r="P1085" t="str" cm="1">
        <f t="array" ref="P1085">IF($BA1085="","",INDEX(tblServicios[Contrato],$BA1085))</f>
        <v/>
      </c>
      <c r="Q1085" t="str" cm="1">
        <f t="array" ref="Q1085">IF($BA1085="","",INDEX(tblServicios[Vehículo],$BA1085))</f>
        <v/>
      </c>
      <c r="T1085" t="str" cm="1">
        <f t="array" ref="T1085">IF($BA1085="","",INDEX(tblServicios[Tipo suplemento],$BA1085))</f>
        <v/>
      </c>
      <c r="V1085" t="str" cm="1">
        <f t="array" ref="V1085">IF($BA1085="","",IF(INDEX(tblServicios[Conductor],$BA1085)=$T$2,"Conductor",IF(INDEX(tblServicios[Personal adicional],$BA1085)=$T$2,"Personal adicional","")))</f>
        <v/>
      </c>
      <c r="BA1085" s="33" t="str" cm="1">
        <f t="array" ref="BA10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adicional]=$T$2))&gt;0)),ROW(A1087)),"")</f>
        <v/>
      </c>
    </row>
    <row r="1086" spans="15:53" x14ac:dyDescent="0.35">
      <c r="O1086" s="1" t="str" cm="1">
        <f t="array" ref="O1086">IF($BA1086="","",INDEX(tblServicios[Fecha],$BA1086))</f>
        <v/>
      </c>
      <c r="P1086" t="str" cm="1">
        <f t="array" ref="P1086">IF($BA1086="","",INDEX(tblServicios[Contrato],$BA1086))</f>
        <v/>
      </c>
      <c r="Q1086" t="str" cm="1">
        <f t="array" ref="Q1086">IF($BA1086="","",INDEX(tblServicios[Vehículo],$BA1086))</f>
        <v/>
      </c>
      <c r="T1086" t="str" cm="1">
        <f t="array" ref="T1086">IF($BA1086="","",INDEX(tblServicios[Tipo suplemento],$BA1086))</f>
        <v/>
      </c>
      <c r="V1086" t="str" cm="1">
        <f t="array" ref="V1086">IF($BA1086="","",IF(INDEX(tblServicios[Conductor],$BA1086)=$T$2,"Conductor",IF(INDEX(tblServicios[Personal adicional],$BA1086)=$T$2,"Personal adicional","")))</f>
        <v/>
      </c>
      <c r="BA1086" s="33" t="str" cm="1">
        <f t="array" ref="BA10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adicional]=$T$2))&gt;0)),ROW(A1088)),"")</f>
        <v/>
      </c>
    </row>
    <row r="1087" spans="15:53" x14ac:dyDescent="0.35">
      <c r="O1087" s="1" t="str" cm="1">
        <f t="array" ref="O1087">IF($BA1087="","",INDEX(tblServicios[Fecha],$BA1087))</f>
        <v/>
      </c>
      <c r="P1087" t="str" cm="1">
        <f t="array" ref="P1087">IF($BA1087="","",INDEX(tblServicios[Contrato],$BA1087))</f>
        <v/>
      </c>
      <c r="Q1087" t="str" cm="1">
        <f t="array" ref="Q1087">IF($BA1087="","",INDEX(tblServicios[Vehículo],$BA1087))</f>
        <v/>
      </c>
      <c r="T1087" t="str" cm="1">
        <f t="array" ref="T1087">IF($BA1087="","",INDEX(tblServicios[Tipo suplemento],$BA1087))</f>
        <v/>
      </c>
      <c r="V1087" t="str" cm="1">
        <f t="array" ref="V1087">IF($BA1087="","",IF(INDEX(tblServicios[Conductor],$BA1087)=$T$2,"Conductor",IF(INDEX(tblServicios[Personal adicional],$BA1087)=$T$2,"Personal adicional","")))</f>
        <v/>
      </c>
      <c r="BA1087" s="33" t="str" cm="1">
        <f t="array" ref="BA10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adicional]=$T$2))&gt;0)),ROW(A1089)),"")</f>
        <v/>
      </c>
    </row>
    <row r="1088" spans="15:53" x14ac:dyDescent="0.35">
      <c r="O1088" s="1" t="str" cm="1">
        <f t="array" ref="O1088">IF($BA1088="","",INDEX(tblServicios[Fecha],$BA1088))</f>
        <v/>
      </c>
      <c r="P1088" t="str" cm="1">
        <f t="array" ref="P1088">IF($BA1088="","",INDEX(tblServicios[Contrato],$BA1088))</f>
        <v/>
      </c>
      <c r="Q1088" t="str" cm="1">
        <f t="array" ref="Q1088">IF($BA1088="","",INDEX(tblServicios[Vehículo],$BA1088))</f>
        <v/>
      </c>
      <c r="T1088" t="str" cm="1">
        <f t="array" ref="T1088">IF($BA1088="","",INDEX(tblServicios[Tipo suplemento],$BA1088))</f>
        <v/>
      </c>
      <c r="V1088" t="str" cm="1">
        <f t="array" ref="V1088">IF($BA1088="","",IF(INDEX(tblServicios[Conductor],$BA1088)=$T$2,"Conductor",IF(INDEX(tblServicios[Personal adicional],$BA1088)=$T$2,"Personal adicional","")))</f>
        <v/>
      </c>
      <c r="BA1088" s="33" t="str" cm="1">
        <f t="array" ref="BA10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adicional]=$T$2))&gt;0)),ROW(A1090)),"")</f>
        <v/>
      </c>
    </row>
    <row r="1089" spans="15:53" x14ac:dyDescent="0.35">
      <c r="O1089" s="1" t="str" cm="1">
        <f t="array" ref="O1089">IF($BA1089="","",INDEX(tblServicios[Fecha],$BA1089))</f>
        <v/>
      </c>
      <c r="P1089" t="str" cm="1">
        <f t="array" ref="P1089">IF($BA1089="","",INDEX(tblServicios[Contrato],$BA1089))</f>
        <v/>
      </c>
      <c r="Q1089" t="str" cm="1">
        <f t="array" ref="Q1089">IF($BA1089="","",INDEX(tblServicios[Vehículo],$BA1089))</f>
        <v/>
      </c>
      <c r="T1089" t="str" cm="1">
        <f t="array" ref="T1089">IF($BA1089="","",INDEX(tblServicios[Tipo suplemento],$BA1089))</f>
        <v/>
      </c>
      <c r="V1089" t="str" cm="1">
        <f t="array" ref="V1089">IF($BA1089="","",IF(INDEX(tblServicios[Conductor],$BA1089)=$T$2,"Conductor",IF(INDEX(tblServicios[Personal adicional],$BA1089)=$T$2,"Personal adicional","")))</f>
        <v/>
      </c>
      <c r="BA1089" s="33" t="str" cm="1">
        <f t="array" ref="BA10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adicional]=$T$2))&gt;0)),ROW(A1091)),"")</f>
        <v/>
      </c>
    </row>
    <row r="1090" spans="15:53" x14ac:dyDescent="0.35">
      <c r="O1090" s="1" t="str" cm="1">
        <f t="array" ref="O1090">IF($BA1090="","",INDEX(tblServicios[Fecha],$BA1090))</f>
        <v/>
      </c>
      <c r="P1090" t="str" cm="1">
        <f t="array" ref="P1090">IF($BA1090="","",INDEX(tblServicios[Contrato],$BA1090))</f>
        <v/>
      </c>
      <c r="Q1090" t="str" cm="1">
        <f t="array" ref="Q1090">IF($BA1090="","",INDEX(tblServicios[Vehículo],$BA1090))</f>
        <v/>
      </c>
      <c r="T1090" t="str" cm="1">
        <f t="array" ref="T1090">IF($BA1090="","",INDEX(tblServicios[Tipo suplemento],$BA1090))</f>
        <v/>
      </c>
      <c r="V1090" t="str" cm="1">
        <f t="array" ref="V1090">IF($BA1090="","",IF(INDEX(tblServicios[Conductor],$BA1090)=$T$2,"Conductor",IF(INDEX(tblServicios[Personal adicional],$BA1090)=$T$2,"Personal adicional","")))</f>
        <v/>
      </c>
      <c r="BA1090" s="33" t="str" cm="1">
        <f t="array" ref="BA10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adicional]=$T$2))&gt;0)),ROW(A1092)),"")</f>
        <v/>
      </c>
    </row>
    <row r="1091" spans="15:53" x14ac:dyDescent="0.35">
      <c r="O1091" s="1" t="str" cm="1">
        <f t="array" ref="O1091">IF($BA1091="","",INDEX(tblServicios[Fecha],$BA1091))</f>
        <v/>
      </c>
      <c r="P1091" t="str" cm="1">
        <f t="array" ref="P1091">IF($BA1091="","",INDEX(tblServicios[Contrato],$BA1091))</f>
        <v/>
      </c>
      <c r="Q1091" t="str" cm="1">
        <f t="array" ref="Q1091">IF($BA1091="","",INDEX(tblServicios[Vehículo],$BA1091))</f>
        <v/>
      </c>
      <c r="T1091" t="str" cm="1">
        <f t="array" ref="T1091">IF($BA1091="","",INDEX(tblServicios[Tipo suplemento],$BA1091))</f>
        <v/>
      </c>
      <c r="V1091" t="str" cm="1">
        <f t="array" ref="V1091">IF($BA1091="","",IF(INDEX(tblServicios[Conductor],$BA1091)=$T$2,"Conductor",IF(INDEX(tblServicios[Personal adicional],$BA1091)=$T$2,"Personal adicional","")))</f>
        <v/>
      </c>
      <c r="BA1091" s="33" t="str" cm="1">
        <f t="array" ref="BA10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adicional]=$T$2))&gt;0)),ROW(A1093)),"")</f>
        <v/>
      </c>
    </row>
    <row r="1092" spans="15:53" x14ac:dyDescent="0.35">
      <c r="O1092" s="1" t="str" cm="1">
        <f t="array" ref="O1092">IF($BA1092="","",INDEX(tblServicios[Fecha],$BA1092))</f>
        <v/>
      </c>
      <c r="P1092" t="str" cm="1">
        <f t="array" ref="P1092">IF($BA1092="","",INDEX(tblServicios[Contrato],$BA1092))</f>
        <v/>
      </c>
      <c r="Q1092" t="str" cm="1">
        <f t="array" ref="Q1092">IF($BA1092="","",INDEX(tblServicios[Vehículo],$BA1092))</f>
        <v/>
      </c>
      <c r="T1092" t="str" cm="1">
        <f t="array" ref="T1092">IF($BA1092="","",INDEX(tblServicios[Tipo suplemento],$BA1092))</f>
        <v/>
      </c>
      <c r="V1092" t="str" cm="1">
        <f t="array" ref="V1092">IF($BA1092="","",IF(INDEX(tblServicios[Conductor],$BA1092)=$T$2,"Conductor",IF(INDEX(tblServicios[Personal adicional],$BA1092)=$T$2,"Personal adicional","")))</f>
        <v/>
      </c>
      <c r="BA1092" s="33" t="str" cm="1">
        <f t="array" ref="BA10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adicional]=$T$2))&gt;0)),ROW(A1094)),"")</f>
        <v/>
      </c>
    </row>
    <row r="1093" spans="15:53" x14ac:dyDescent="0.35">
      <c r="O1093" s="1" t="str" cm="1">
        <f t="array" ref="O1093">IF($BA1093="","",INDEX(tblServicios[Fecha],$BA1093))</f>
        <v/>
      </c>
      <c r="P1093" t="str" cm="1">
        <f t="array" ref="P1093">IF($BA1093="","",INDEX(tblServicios[Contrato],$BA1093))</f>
        <v/>
      </c>
      <c r="Q1093" t="str" cm="1">
        <f t="array" ref="Q1093">IF($BA1093="","",INDEX(tblServicios[Vehículo],$BA1093))</f>
        <v/>
      </c>
      <c r="T1093" t="str" cm="1">
        <f t="array" ref="T1093">IF($BA1093="","",INDEX(tblServicios[Tipo suplemento],$BA1093))</f>
        <v/>
      </c>
      <c r="V1093" t="str" cm="1">
        <f t="array" ref="V1093">IF($BA1093="","",IF(INDEX(tblServicios[Conductor],$BA1093)=$T$2,"Conductor",IF(INDEX(tblServicios[Personal adicional],$BA1093)=$T$2,"Personal adicional","")))</f>
        <v/>
      </c>
      <c r="BA1093" s="33" t="str" cm="1">
        <f t="array" ref="BA10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adicional]=$T$2))&gt;0)),ROW(A1095)),"")</f>
        <v/>
      </c>
    </row>
    <row r="1094" spans="15:53" x14ac:dyDescent="0.35">
      <c r="O1094" s="1" t="str" cm="1">
        <f t="array" ref="O1094">IF($BA1094="","",INDEX(tblServicios[Fecha],$BA1094))</f>
        <v/>
      </c>
      <c r="P1094" t="str" cm="1">
        <f t="array" ref="P1094">IF($BA1094="","",INDEX(tblServicios[Contrato],$BA1094))</f>
        <v/>
      </c>
      <c r="Q1094" t="str" cm="1">
        <f t="array" ref="Q1094">IF($BA1094="","",INDEX(tblServicios[Vehículo],$BA1094))</f>
        <v/>
      </c>
      <c r="T1094" t="str" cm="1">
        <f t="array" ref="T1094">IF($BA1094="","",INDEX(tblServicios[Tipo suplemento],$BA1094))</f>
        <v/>
      </c>
      <c r="V1094" t="str" cm="1">
        <f t="array" ref="V1094">IF($BA1094="","",IF(INDEX(tblServicios[Conductor],$BA1094)=$T$2,"Conductor",IF(INDEX(tblServicios[Personal adicional],$BA1094)=$T$2,"Personal adicional","")))</f>
        <v/>
      </c>
      <c r="BA1094" s="33" t="str" cm="1">
        <f t="array" ref="BA10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adicional]=$T$2))&gt;0)),ROW(A1096)),"")</f>
        <v/>
      </c>
    </row>
    <row r="1095" spans="15:53" x14ac:dyDescent="0.35">
      <c r="O1095" s="1" t="str" cm="1">
        <f t="array" ref="O1095">IF($BA1095="","",INDEX(tblServicios[Fecha],$BA1095))</f>
        <v/>
      </c>
      <c r="P1095" t="str" cm="1">
        <f t="array" ref="P1095">IF($BA1095="","",INDEX(tblServicios[Contrato],$BA1095))</f>
        <v/>
      </c>
      <c r="Q1095" t="str" cm="1">
        <f t="array" ref="Q1095">IF($BA1095="","",INDEX(tblServicios[Vehículo],$BA1095))</f>
        <v/>
      </c>
      <c r="T1095" t="str" cm="1">
        <f t="array" ref="T1095">IF($BA1095="","",INDEX(tblServicios[Tipo suplemento],$BA1095))</f>
        <v/>
      </c>
      <c r="V1095" t="str" cm="1">
        <f t="array" ref="V1095">IF($BA1095="","",IF(INDEX(tblServicios[Conductor],$BA1095)=$T$2,"Conductor",IF(INDEX(tblServicios[Personal adicional],$BA1095)=$T$2,"Personal adicional","")))</f>
        <v/>
      </c>
      <c r="BA1095" s="33" t="str" cm="1">
        <f t="array" ref="BA10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adicional]=$T$2))&gt;0)),ROW(A1097)),"")</f>
        <v/>
      </c>
    </row>
    <row r="1096" spans="15:53" x14ac:dyDescent="0.35">
      <c r="O1096" s="1" t="str" cm="1">
        <f t="array" ref="O1096">IF($BA1096="","",INDEX(tblServicios[Fecha],$BA1096))</f>
        <v/>
      </c>
      <c r="P1096" t="str" cm="1">
        <f t="array" ref="P1096">IF($BA1096="","",INDEX(tblServicios[Contrato],$BA1096))</f>
        <v/>
      </c>
      <c r="Q1096" t="str" cm="1">
        <f t="array" ref="Q1096">IF($BA1096="","",INDEX(tblServicios[Vehículo],$BA1096))</f>
        <v/>
      </c>
      <c r="T1096" t="str" cm="1">
        <f t="array" ref="T1096">IF($BA1096="","",INDEX(tblServicios[Tipo suplemento],$BA1096))</f>
        <v/>
      </c>
      <c r="V1096" t="str" cm="1">
        <f t="array" ref="V1096">IF($BA1096="","",IF(INDEX(tblServicios[Conductor],$BA1096)=$T$2,"Conductor",IF(INDEX(tblServicios[Personal adicional],$BA1096)=$T$2,"Personal adicional","")))</f>
        <v/>
      </c>
      <c r="BA1096" s="33" t="str" cm="1">
        <f t="array" ref="BA10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adicional]=$T$2))&gt;0)),ROW(A1098)),"")</f>
        <v/>
      </c>
    </row>
    <row r="1097" spans="15:53" x14ac:dyDescent="0.35">
      <c r="O1097" s="1" t="str" cm="1">
        <f t="array" ref="O1097">IF($BA1097="","",INDEX(tblServicios[Fecha],$BA1097))</f>
        <v/>
      </c>
      <c r="P1097" t="str" cm="1">
        <f t="array" ref="P1097">IF($BA1097="","",INDEX(tblServicios[Contrato],$BA1097))</f>
        <v/>
      </c>
      <c r="Q1097" t="str" cm="1">
        <f t="array" ref="Q1097">IF($BA1097="","",INDEX(tblServicios[Vehículo],$BA1097))</f>
        <v/>
      </c>
      <c r="T1097" t="str" cm="1">
        <f t="array" ref="T1097">IF($BA1097="","",INDEX(tblServicios[Tipo suplemento],$BA1097))</f>
        <v/>
      </c>
      <c r="V1097" t="str" cm="1">
        <f t="array" ref="V1097">IF($BA1097="","",IF(INDEX(tblServicios[Conductor],$BA1097)=$T$2,"Conductor",IF(INDEX(tblServicios[Personal adicional],$BA1097)=$T$2,"Personal adicional","")))</f>
        <v/>
      </c>
      <c r="BA1097" s="33" t="str" cm="1">
        <f t="array" ref="BA10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adicional]=$T$2))&gt;0)),ROW(A1099)),"")</f>
        <v/>
      </c>
    </row>
    <row r="1098" spans="15:53" x14ac:dyDescent="0.35">
      <c r="O1098" s="1" t="str" cm="1">
        <f t="array" ref="O1098">IF($BA1098="","",INDEX(tblServicios[Fecha],$BA1098))</f>
        <v/>
      </c>
      <c r="P1098" t="str" cm="1">
        <f t="array" ref="P1098">IF($BA1098="","",INDEX(tblServicios[Contrato],$BA1098))</f>
        <v/>
      </c>
      <c r="Q1098" t="str" cm="1">
        <f t="array" ref="Q1098">IF($BA1098="","",INDEX(tblServicios[Vehículo],$BA1098))</f>
        <v/>
      </c>
      <c r="T1098" t="str" cm="1">
        <f t="array" ref="T1098">IF($BA1098="","",INDEX(tblServicios[Tipo suplemento],$BA1098))</f>
        <v/>
      </c>
      <c r="V1098" t="str" cm="1">
        <f t="array" ref="V1098">IF($BA1098="","",IF(INDEX(tblServicios[Conductor],$BA1098)=$T$2,"Conductor",IF(INDEX(tblServicios[Personal adicional],$BA1098)=$T$2,"Personal adicional","")))</f>
        <v/>
      </c>
      <c r="BA1098" s="33" t="str" cm="1">
        <f t="array" ref="BA10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adicional]=$T$2))&gt;0)),ROW(A1100)),"")</f>
        <v/>
      </c>
    </row>
    <row r="1099" spans="15:53" x14ac:dyDescent="0.35">
      <c r="O1099" s="1" t="str" cm="1">
        <f t="array" ref="O1099">IF($BA1099="","",INDEX(tblServicios[Fecha],$BA1099))</f>
        <v/>
      </c>
      <c r="P1099" t="str" cm="1">
        <f t="array" ref="P1099">IF($BA1099="","",INDEX(tblServicios[Contrato],$BA1099))</f>
        <v/>
      </c>
      <c r="Q1099" t="str" cm="1">
        <f t="array" ref="Q1099">IF($BA1099="","",INDEX(tblServicios[Vehículo],$BA1099))</f>
        <v/>
      </c>
      <c r="T1099" t="str" cm="1">
        <f t="array" ref="T1099">IF($BA1099="","",INDEX(tblServicios[Tipo suplemento],$BA1099))</f>
        <v/>
      </c>
      <c r="V1099" t="str" cm="1">
        <f t="array" ref="V1099">IF($BA1099="","",IF(INDEX(tblServicios[Conductor],$BA1099)=$T$2,"Conductor",IF(INDEX(tblServicios[Personal adicional],$BA1099)=$T$2,"Personal adicional","")))</f>
        <v/>
      </c>
      <c r="BA1099" s="33" t="str" cm="1">
        <f t="array" ref="BA10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adicional]=$T$2))&gt;0)),ROW(A1101)),"")</f>
        <v/>
      </c>
    </row>
    <row r="1100" spans="15:53" x14ac:dyDescent="0.35">
      <c r="O1100" s="1" t="str" cm="1">
        <f t="array" ref="O1100">IF($BA1100="","",INDEX(tblServicios[Fecha],$BA1100))</f>
        <v/>
      </c>
      <c r="P1100" t="str" cm="1">
        <f t="array" ref="P1100">IF($BA1100="","",INDEX(tblServicios[Contrato],$BA1100))</f>
        <v/>
      </c>
      <c r="Q1100" t="str" cm="1">
        <f t="array" ref="Q1100">IF($BA1100="","",INDEX(tblServicios[Vehículo],$BA1100))</f>
        <v/>
      </c>
      <c r="T1100" t="str" cm="1">
        <f t="array" ref="T1100">IF($BA1100="","",INDEX(tblServicios[Tipo suplemento],$BA1100))</f>
        <v/>
      </c>
      <c r="V1100" t="str" cm="1">
        <f t="array" ref="V1100">IF($BA1100="","",IF(INDEX(tblServicios[Conductor],$BA1100)=$T$2,"Conductor",IF(INDEX(tblServicios[Personal adicional],$BA1100)=$T$2,"Personal adicional","")))</f>
        <v/>
      </c>
      <c r="BA1100" s="33" t="str" cm="1">
        <f t="array" ref="BA11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adicional]=$T$2))&gt;0)),ROW(A1102)),"")</f>
        <v/>
      </c>
    </row>
    <row r="1101" spans="15:53" x14ac:dyDescent="0.35">
      <c r="P1101" t="str" cm="1">
        <f t="array" ref="P1101">IF($BA1101="","",INDEX(tblServicios[Contrato],$BA1101))</f>
        <v/>
      </c>
      <c r="Q1101" t="str" cm="1">
        <f t="array" ref="Q1101">IF($BA1101="","",INDEX(tblServicios[Vehículo],$BA1101))</f>
        <v/>
      </c>
      <c r="T1101" t="str" cm="1">
        <f t="array" ref="T1101">IF($BA1101="","",INDEX(tblServicios[Tipo suplemento],$BA1101))</f>
        <v/>
      </c>
      <c r="V1101" t="str" cm="1">
        <f t="array" ref="V1101">IF($BA1101="","",IF(INDEX(tblServicios[Conductor],$BA1101)=$T$2,"Conductor",IF(INDEX(tblServicios[Personal adicional],$BA1101)=$T$2,"Personal adicional","")))</f>
        <v/>
      </c>
      <c r="BA1101" s="33" t="str" cm="1">
        <f t="array" ref="BA11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adicional]=$T$2))&gt;0)),ROW(A1103)),"")</f>
        <v/>
      </c>
    </row>
    <row r="1102" spans="15:53" x14ac:dyDescent="0.35">
      <c r="P1102" t="str" cm="1">
        <f t="array" ref="P1102">IF($BA1102="","",INDEX(tblServicios[Contrato],$BA1102))</f>
        <v/>
      </c>
      <c r="Q1102" t="str" cm="1">
        <f t="array" ref="Q1102">IF($BA1102="","",INDEX(tblServicios[Vehículo],$BA1102))</f>
        <v/>
      </c>
      <c r="T1102" t="str" cm="1">
        <f t="array" ref="T1102">IF($BA1102="","",INDEX(tblServicios[Tipo suplemento],$BA1102))</f>
        <v/>
      </c>
      <c r="V1102" t="str" cm="1">
        <f t="array" ref="V1102">IF($BA1102="","",IF(INDEX(tblServicios[Conductor],$BA1102)=$T$2,"Conductor",IF(INDEX(tblServicios[Personal adicional],$BA1102)=$T$2,"Personal adicional","")))</f>
        <v/>
      </c>
      <c r="BA1102" s="33" t="str" cm="1">
        <f t="array" ref="BA11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adicional]=$T$2))&gt;0)),ROW(A1104)),"")</f>
        <v/>
      </c>
    </row>
    <row r="1103" spans="15:53" x14ac:dyDescent="0.35">
      <c r="P1103" t="str" cm="1">
        <f t="array" ref="P1103">IF($BA1103="","",INDEX(tblServicios[Contrato],$BA1103))</f>
        <v/>
      </c>
      <c r="Q1103" t="str" cm="1">
        <f t="array" ref="Q1103">IF($BA1103="","",INDEX(tblServicios[Vehículo],$BA1103))</f>
        <v/>
      </c>
      <c r="T1103" t="str" cm="1">
        <f t="array" ref="T1103">IF($BA1103="","",INDEX(tblServicios[Tipo suplemento],$BA1103))</f>
        <v/>
      </c>
      <c r="V1103" t="str" cm="1">
        <f t="array" ref="V1103">IF($BA1103="","",IF(INDEX(tblServicios[Conductor],$BA1103)=$T$2,"Conductor",IF(INDEX(tblServicios[Personal adicional],$BA1103)=$T$2,"Personal adicional","")))</f>
        <v/>
      </c>
      <c r="BA1103" s="33" t="str" cm="1">
        <f t="array" ref="BA11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adicional]=$T$2))&gt;0)),ROW(A1105)),"")</f>
        <v/>
      </c>
    </row>
    <row r="1104" spans="15:53" x14ac:dyDescent="0.35">
      <c r="P1104" t="str" cm="1">
        <f t="array" ref="P1104">IF($BA1104="","",INDEX(tblServicios[Contrato],$BA1104))</f>
        <v/>
      </c>
      <c r="Q1104" t="str" cm="1">
        <f t="array" ref="Q1104">IF($BA1104="","",INDEX(tblServicios[Vehículo],$BA1104))</f>
        <v/>
      </c>
      <c r="T1104" t="str" cm="1">
        <f t="array" ref="T1104">IF($BA1104="","",INDEX(tblServicios[Tipo suplemento],$BA1104))</f>
        <v/>
      </c>
      <c r="V1104" t="str" cm="1">
        <f t="array" ref="V1104">IF($BA1104="","",IF(INDEX(tblServicios[Conductor],$BA1104)=$T$2,"Conductor",IF(INDEX(tblServicios[Personal adicional],$BA1104)=$T$2,"Personal adicional","")))</f>
        <v/>
      </c>
      <c r="BA1104" s="33" t="str" cm="1">
        <f t="array" ref="BA11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adicional]=$T$2))&gt;0)),ROW(A1106)),"")</f>
        <v/>
      </c>
    </row>
    <row r="1105" spans="16:53" x14ac:dyDescent="0.35">
      <c r="P1105" t="str" cm="1">
        <f t="array" ref="P1105">IF($BA1105="","",INDEX(tblServicios[Contrato],$BA1105))</f>
        <v/>
      </c>
      <c r="Q1105" t="str" cm="1">
        <f t="array" ref="Q1105">IF($BA1105="","",INDEX(tblServicios[Vehículo],$BA1105))</f>
        <v/>
      </c>
      <c r="T1105" t="str" cm="1">
        <f t="array" ref="T1105">IF($BA1105="","",INDEX(tblServicios[Tipo suplemento],$BA1105))</f>
        <v/>
      </c>
      <c r="V1105" t="str" cm="1">
        <f t="array" ref="V1105">IF($BA1105="","",IF(INDEX(tblServicios[Conductor],$BA1105)=$T$2,"Conductor",IF(INDEX(tblServicios[Personal adicional],$BA1105)=$T$2,"Personal adicional","")))</f>
        <v/>
      </c>
      <c r="BA1105" s="33" t="str" cm="1">
        <f t="array" ref="BA11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adicional]=$T$2))&gt;0)),ROW(A1107)),"")</f>
        <v/>
      </c>
    </row>
    <row r="1106" spans="16:53" x14ac:dyDescent="0.35">
      <c r="P1106" t="str" cm="1">
        <f t="array" ref="P1106">IF($BA1106="","",INDEX(tblServicios[Contrato],$BA1106))</f>
        <v/>
      </c>
      <c r="Q1106" t="str" cm="1">
        <f t="array" ref="Q1106">IF($BA1106="","",INDEX(tblServicios[Vehículo],$BA1106))</f>
        <v/>
      </c>
      <c r="T1106" t="str" cm="1">
        <f t="array" ref="T1106">IF($BA1106="","",INDEX(tblServicios[Tipo suplemento],$BA1106))</f>
        <v/>
      </c>
      <c r="V1106" t="str" cm="1">
        <f t="array" ref="V1106">IF($BA1106="","",IF(INDEX(tblServicios[Conductor],$BA1106)=$T$2,"Conductor",IF(INDEX(tblServicios[Personal adicional],$BA1106)=$T$2,"Personal adicional","")))</f>
        <v/>
      </c>
      <c r="BA1106" s="33" t="str" cm="1">
        <f t="array" ref="BA11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adicional]=$T$2))&gt;0)),ROW(A1108)),"")</f>
        <v/>
      </c>
    </row>
    <row r="1107" spans="16:53" x14ac:dyDescent="0.35">
      <c r="P1107" t="str" cm="1">
        <f t="array" ref="P1107">IF($BA1107="","",INDEX(tblServicios[Contrato],$BA1107))</f>
        <v/>
      </c>
      <c r="Q1107" t="str" cm="1">
        <f t="array" ref="Q1107">IF($BA1107="","",INDEX(tblServicios[Vehículo],$BA1107))</f>
        <v/>
      </c>
      <c r="T1107" t="str" cm="1">
        <f t="array" ref="T1107">IF($BA1107="","",INDEX(tblServicios[Tipo suplemento],$BA1107))</f>
        <v/>
      </c>
      <c r="V1107" t="str" cm="1">
        <f t="array" ref="V1107">IF($BA1107="","",IF(INDEX(tblServicios[Conductor],$BA1107)=$T$2,"Conductor",IF(INDEX(tblServicios[Personal adicional],$BA1107)=$T$2,"Personal adicional","")))</f>
        <v/>
      </c>
      <c r="BA1107" s="33" t="str" cm="1">
        <f t="array" ref="BA11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adicional]=$T$2))&gt;0)),ROW(A1109)),"")</f>
        <v/>
      </c>
    </row>
    <row r="1108" spans="16:53" x14ac:dyDescent="0.35">
      <c r="P1108" t="str" cm="1">
        <f t="array" ref="P1108">IF($BA1108="","",INDEX(tblServicios[Contrato],$BA1108))</f>
        <v/>
      </c>
      <c r="Q1108" t="str" cm="1">
        <f t="array" ref="Q1108">IF($BA1108="","",INDEX(tblServicios[Vehículo],$BA1108))</f>
        <v/>
      </c>
      <c r="T1108" t="str" cm="1">
        <f t="array" ref="T1108">IF($BA1108="","",INDEX(tblServicios[Tipo suplemento],$BA1108))</f>
        <v/>
      </c>
      <c r="V1108" t="str" cm="1">
        <f t="array" ref="V1108">IF($BA1108="","",IF(INDEX(tblServicios[Conductor],$BA1108)=$T$2,"Conductor",IF(INDEX(tblServicios[Personal adicional],$BA1108)=$T$2,"Personal adicional","")))</f>
        <v/>
      </c>
      <c r="BA1108" s="33" t="str" cm="1">
        <f t="array" ref="BA11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adicional]=$T$2))&gt;0)),ROW(A1110)),"")</f>
        <v/>
      </c>
    </row>
    <row r="1109" spans="16:53" x14ac:dyDescent="0.35">
      <c r="P1109" t="str" cm="1">
        <f t="array" ref="P1109">IF($BA1109="","",INDEX(tblServicios[Contrato],$BA1109))</f>
        <v/>
      </c>
      <c r="Q1109" t="str" cm="1">
        <f t="array" ref="Q1109">IF($BA1109="","",INDEX(tblServicios[Vehículo],$BA1109))</f>
        <v/>
      </c>
      <c r="T1109" t="str" cm="1">
        <f t="array" ref="T1109">IF($BA1109="","",INDEX(tblServicios[Tipo suplemento],$BA1109))</f>
        <v/>
      </c>
      <c r="V1109" t="str" cm="1">
        <f t="array" ref="V1109">IF($BA1109="","",IF(INDEX(tblServicios[Conductor],$BA1109)=$T$2,"Conductor",IF(INDEX(tblServicios[Personal adicional],$BA1109)=$T$2,"Personal adicional","")))</f>
        <v/>
      </c>
      <c r="BA1109" s="33" t="str" cm="1">
        <f t="array" ref="BA11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adicional]=$T$2))&gt;0)),ROW(A1111)),"")</f>
        <v/>
      </c>
    </row>
    <row r="1110" spans="16:53" x14ac:dyDescent="0.35">
      <c r="P1110" t="str" cm="1">
        <f t="array" ref="P1110">IF($BA1110="","",INDEX(tblServicios[Contrato],$BA1110))</f>
        <v/>
      </c>
      <c r="Q1110" t="str" cm="1">
        <f t="array" ref="Q1110">IF($BA1110="","",INDEX(tblServicios[Vehículo],$BA1110))</f>
        <v/>
      </c>
      <c r="T1110" t="str" cm="1">
        <f t="array" ref="T1110">IF($BA1110="","",INDEX(tblServicios[Tipo suplemento],$BA1110))</f>
        <v/>
      </c>
      <c r="V1110" t="str" cm="1">
        <f t="array" ref="V1110">IF($BA1110="","",IF(INDEX(tblServicios[Conductor],$BA1110)=$T$2,"Conductor",IF(INDEX(tblServicios[Personal adicional],$BA1110)=$T$2,"Personal adicional","")))</f>
        <v/>
      </c>
      <c r="BA1110" s="33" t="str" cm="1">
        <f t="array" ref="BA11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adicional]=$T$2))&gt;0)),ROW(A1112)),"")</f>
        <v/>
      </c>
    </row>
    <row r="1111" spans="16:53" x14ac:dyDescent="0.35">
      <c r="P1111" t="str" cm="1">
        <f t="array" ref="P1111">IF($BA1111="","",INDEX(tblServicios[Contrato],$BA1111))</f>
        <v/>
      </c>
      <c r="Q1111" t="str" cm="1">
        <f t="array" ref="Q1111">IF($BA1111="","",INDEX(tblServicios[Vehículo],$BA1111))</f>
        <v/>
      </c>
      <c r="T1111" t="str" cm="1">
        <f t="array" ref="T1111">IF($BA1111="","",INDEX(tblServicios[Tipo suplemento],$BA1111))</f>
        <v/>
      </c>
      <c r="V1111" t="str" cm="1">
        <f t="array" ref="V1111">IF($BA1111="","",IF(INDEX(tblServicios[Conductor],$BA1111)=$T$2,"Conductor",IF(INDEX(tblServicios[Personal adicional],$BA1111)=$T$2,"Personal adicional","")))</f>
        <v/>
      </c>
      <c r="BA1111" s="33" t="str" cm="1">
        <f t="array" ref="BA11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adicional]=$T$2))&gt;0)),ROW(A1113)),"")</f>
        <v/>
      </c>
    </row>
    <row r="1112" spans="16:53" x14ac:dyDescent="0.35">
      <c r="P1112" t="str" cm="1">
        <f t="array" ref="P1112">IF($BA1112="","",INDEX(tblServicios[Contrato],$BA1112))</f>
        <v/>
      </c>
      <c r="Q1112" t="str" cm="1">
        <f t="array" ref="Q1112">IF($BA1112="","",INDEX(tblServicios[Vehículo],$BA1112))</f>
        <v/>
      </c>
      <c r="T1112" t="str" cm="1">
        <f t="array" ref="T1112">IF($BA1112="","",INDEX(tblServicios[Tipo suplemento],$BA1112))</f>
        <v/>
      </c>
      <c r="V1112" t="str" cm="1">
        <f t="array" ref="V1112">IF($BA1112="","",IF(INDEX(tblServicios[Conductor],$BA1112)=$T$2,"Conductor",IF(INDEX(tblServicios[Personal adicional],$BA1112)=$T$2,"Personal adicional","")))</f>
        <v/>
      </c>
      <c r="BA1112" s="33" t="str" cm="1">
        <f t="array" ref="BA11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adicional]=$T$2))&gt;0)),ROW(A1114)),"")</f>
        <v/>
      </c>
    </row>
    <row r="1113" spans="16:53" x14ac:dyDescent="0.35">
      <c r="P1113" t="str" cm="1">
        <f t="array" ref="P1113">IF($BA1113="","",INDEX(tblServicios[Contrato],$BA1113))</f>
        <v/>
      </c>
      <c r="Q1113" t="str" cm="1">
        <f t="array" ref="Q1113">IF($BA1113="","",INDEX(tblServicios[Vehículo],$BA1113))</f>
        <v/>
      </c>
      <c r="T1113" t="str" cm="1">
        <f t="array" ref="T1113">IF($BA1113="","",INDEX(tblServicios[Tipo suplemento],$BA1113))</f>
        <v/>
      </c>
      <c r="V1113" t="str" cm="1">
        <f t="array" ref="V1113">IF($BA1113="","",IF(INDEX(tblServicios[Conductor],$BA1113)=$T$2,"Conductor",IF(INDEX(tblServicios[Personal adicional],$BA1113)=$T$2,"Personal adicional","")))</f>
        <v/>
      </c>
      <c r="BA1113" s="33" t="str" cm="1">
        <f t="array" ref="BA11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adicional]=$T$2))&gt;0)),ROW(A1115)),"")</f>
        <v/>
      </c>
    </row>
    <row r="1114" spans="16:53" x14ac:dyDescent="0.35">
      <c r="P1114" t="str" cm="1">
        <f t="array" ref="P1114">IF($BA1114="","",INDEX(tblServicios[Contrato],$BA1114))</f>
        <v/>
      </c>
      <c r="Q1114" t="str" cm="1">
        <f t="array" ref="Q1114">IF($BA1114="","",INDEX(tblServicios[Vehículo],$BA1114))</f>
        <v/>
      </c>
      <c r="T1114" t="str" cm="1">
        <f t="array" ref="T1114">IF($BA1114="","",INDEX(tblServicios[Tipo suplemento],$BA1114))</f>
        <v/>
      </c>
      <c r="V1114" t="str" cm="1">
        <f t="array" ref="V1114">IF($BA1114="","",IF(INDEX(tblServicios[Conductor],$BA1114)=$T$2,"Conductor",IF(INDEX(tblServicios[Personal adicional],$BA1114)=$T$2,"Personal adicional","")))</f>
        <v/>
      </c>
      <c r="BA1114" s="33" t="str" cm="1">
        <f t="array" ref="BA11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adicional]=$T$2))&gt;0)),ROW(A1116)),"")</f>
        <v/>
      </c>
    </row>
    <row r="1115" spans="16:53" x14ac:dyDescent="0.35">
      <c r="P1115" t="str" cm="1">
        <f t="array" ref="P1115">IF($BA1115="","",INDEX(tblServicios[Contrato],$BA1115))</f>
        <v/>
      </c>
      <c r="Q1115" t="str" cm="1">
        <f t="array" ref="Q1115">IF($BA1115="","",INDEX(tblServicios[Vehículo],$BA1115))</f>
        <v/>
      </c>
      <c r="T1115" t="str" cm="1">
        <f t="array" ref="T1115">IF($BA1115="","",INDEX(tblServicios[Tipo suplemento],$BA1115))</f>
        <v/>
      </c>
      <c r="V1115" t="str" cm="1">
        <f t="array" ref="V1115">IF($BA1115="","",IF(INDEX(tblServicios[Conductor],$BA1115)=$T$2,"Conductor",IF(INDEX(tblServicios[Personal adicional],$BA1115)=$T$2,"Personal adicional","")))</f>
        <v/>
      </c>
      <c r="BA1115" s="33" t="str" cm="1">
        <f t="array" ref="BA11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adicional]=$T$2))&gt;0)),ROW(A1117)),"")</f>
        <v/>
      </c>
    </row>
    <row r="1116" spans="16:53" x14ac:dyDescent="0.35">
      <c r="P1116" t="str" cm="1">
        <f t="array" ref="P1116">IF($BA1116="","",INDEX(tblServicios[Contrato],$BA1116))</f>
        <v/>
      </c>
      <c r="Q1116" t="str" cm="1">
        <f t="array" ref="Q1116">IF($BA1116="","",INDEX(tblServicios[Vehículo],$BA1116))</f>
        <v/>
      </c>
      <c r="T1116" t="str" cm="1">
        <f t="array" ref="T1116">IF($BA1116="","",INDEX(tblServicios[Tipo suplemento],$BA1116))</f>
        <v/>
      </c>
      <c r="V1116" t="str" cm="1">
        <f t="array" ref="V1116">IF($BA1116="","",IF(INDEX(tblServicios[Conductor],$BA1116)=$T$2,"Conductor",IF(INDEX(tblServicios[Personal adicional],$BA1116)=$T$2,"Personal adicional","")))</f>
        <v/>
      </c>
      <c r="BA1116" s="33" t="str" cm="1">
        <f t="array" ref="BA11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adicional]=$T$2))&gt;0)),ROW(A1118)),"")</f>
        <v/>
      </c>
    </row>
    <row r="1117" spans="16:53" x14ac:dyDescent="0.35">
      <c r="P1117" t="str" cm="1">
        <f t="array" ref="P1117">IF($BA1117="","",INDEX(tblServicios[Contrato],$BA1117))</f>
        <v/>
      </c>
      <c r="Q1117" t="str" cm="1">
        <f t="array" ref="Q1117">IF($BA1117="","",INDEX(tblServicios[Vehículo],$BA1117))</f>
        <v/>
      </c>
      <c r="T1117" t="str" cm="1">
        <f t="array" ref="T1117">IF($BA1117="","",INDEX(tblServicios[Tipo suplemento],$BA1117))</f>
        <v/>
      </c>
      <c r="V1117" t="str" cm="1">
        <f t="array" ref="V1117">IF($BA1117="","",IF(INDEX(tblServicios[Conductor],$BA1117)=$T$2,"Conductor",IF(INDEX(tblServicios[Personal adicional],$BA1117)=$T$2,"Personal adicional","")))</f>
        <v/>
      </c>
      <c r="BA1117" s="33" t="str" cm="1">
        <f t="array" ref="BA11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adicional]=$T$2))&gt;0)),ROW(A1119)),"")</f>
        <v/>
      </c>
    </row>
    <row r="1118" spans="16:53" x14ac:dyDescent="0.35">
      <c r="P1118" t="str" cm="1">
        <f t="array" ref="P1118">IF($BA1118="","",INDEX(tblServicios[Contrato],$BA1118))</f>
        <v/>
      </c>
      <c r="Q1118" t="str" cm="1">
        <f t="array" ref="Q1118">IF($BA1118="","",INDEX(tblServicios[Vehículo],$BA1118))</f>
        <v/>
      </c>
      <c r="T1118" t="str" cm="1">
        <f t="array" ref="T1118">IF($BA1118="","",INDEX(tblServicios[Tipo suplemento],$BA1118))</f>
        <v/>
      </c>
      <c r="V1118" t="str" cm="1">
        <f t="array" ref="V1118">IF($BA1118="","",IF(INDEX(tblServicios[Conductor],$BA1118)=$T$2,"Conductor",IF(INDEX(tblServicios[Personal adicional],$BA1118)=$T$2,"Personal adicional","")))</f>
        <v/>
      </c>
      <c r="BA1118" s="33" t="str" cm="1">
        <f t="array" ref="BA11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adicional]=$T$2))&gt;0)),ROW(A1120)),"")</f>
        <v/>
      </c>
    </row>
    <row r="1119" spans="16:53" x14ac:dyDescent="0.35">
      <c r="P1119" t="str" cm="1">
        <f t="array" ref="P1119">IF($BA1119="","",INDEX(tblServicios[Contrato],$BA1119))</f>
        <v/>
      </c>
      <c r="Q1119" t="str" cm="1">
        <f t="array" ref="Q1119">IF($BA1119="","",INDEX(tblServicios[Vehículo],$BA1119))</f>
        <v/>
      </c>
      <c r="T1119" t="str" cm="1">
        <f t="array" ref="T1119">IF($BA1119="","",INDEX(tblServicios[Tipo suplemento],$BA1119))</f>
        <v/>
      </c>
      <c r="V1119" t="str" cm="1">
        <f t="array" ref="V1119">IF($BA1119="","",IF(INDEX(tblServicios[Conductor],$BA1119)=$T$2,"Conductor",IF(INDEX(tblServicios[Personal adicional],$BA1119)=$T$2,"Personal adicional","")))</f>
        <v/>
      </c>
      <c r="BA1119" s="33" t="str" cm="1">
        <f t="array" ref="BA11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adicional]=$T$2))&gt;0)),ROW(A1121)),"")</f>
        <v/>
      </c>
    </row>
    <row r="1120" spans="16:53" x14ac:dyDescent="0.35">
      <c r="P1120" t="str" cm="1">
        <f t="array" ref="P1120">IF($BA1120="","",INDEX(tblServicios[Contrato],$BA1120))</f>
        <v/>
      </c>
      <c r="Q1120" t="str" cm="1">
        <f t="array" ref="Q1120">IF($BA1120="","",INDEX(tblServicios[Vehículo],$BA1120))</f>
        <v/>
      </c>
      <c r="T1120" t="str" cm="1">
        <f t="array" ref="T1120">IF($BA1120="","",INDEX(tblServicios[Tipo suplemento],$BA1120))</f>
        <v/>
      </c>
      <c r="V1120" t="str" cm="1">
        <f t="array" ref="V1120">IF($BA1120="","",IF(INDEX(tblServicios[Conductor],$BA1120)=$T$2,"Conductor",IF(INDEX(tblServicios[Personal adicional],$BA1120)=$T$2,"Personal adicional","")))</f>
        <v/>
      </c>
      <c r="BA1120" s="33" t="str" cm="1">
        <f t="array" ref="BA11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adicional]=$T$2))&gt;0)),ROW(A1122)),"")</f>
        <v/>
      </c>
    </row>
    <row r="1121" spans="16:53" x14ac:dyDescent="0.35">
      <c r="P1121" t="str" cm="1">
        <f t="array" ref="P1121">IF($BA1121="","",INDEX(tblServicios[Contrato],$BA1121))</f>
        <v/>
      </c>
      <c r="Q1121" t="str" cm="1">
        <f t="array" ref="Q1121">IF($BA1121="","",INDEX(tblServicios[Vehículo],$BA1121))</f>
        <v/>
      </c>
      <c r="T1121" t="str" cm="1">
        <f t="array" ref="T1121">IF($BA1121="","",INDEX(tblServicios[Tipo suplemento],$BA1121))</f>
        <v/>
      </c>
      <c r="V1121" t="str" cm="1">
        <f t="array" ref="V1121">IF($BA1121="","",IF(INDEX(tblServicios[Conductor],$BA1121)=$T$2,"Conductor",IF(INDEX(tblServicios[Personal adicional],$BA1121)=$T$2,"Personal adicional","")))</f>
        <v/>
      </c>
      <c r="BA1121" s="33" t="str" cm="1">
        <f t="array" ref="BA11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adicional]=$T$2))&gt;0)),ROW(A1123)),"")</f>
        <v/>
      </c>
    </row>
    <row r="1122" spans="16:53" x14ac:dyDescent="0.35">
      <c r="P1122" t="str" cm="1">
        <f t="array" ref="P1122">IF($BA1122="","",INDEX(tblServicios[Contrato],$BA1122))</f>
        <v/>
      </c>
      <c r="Q1122" t="str" cm="1">
        <f t="array" ref="Q1122">IF($BA1122="","",INDEX(tblServicios[Vehículo],$BA1122))</f>
        <v/>
      </c>
      <c r="T1122" t="str" cm="1">
        <f t="array" ref="T1122">IF($BA1122="","",INDEX(tblServicios[Tipo suplemento],$BA1122))</f>
        <v/>
      </c>
      <c r="V1122" t="str" cm="1">
        <f t="array" ref="V1122">IF($BA1122="","",IF(INDEX(tblServicios[Conductor],$BA1122)=$T$2,"Conductor",IF(INDEX(tblServicios[Personal adicional],$BA1122)=$T$2,"Personal adicional","")))</f>
        <v/>
      </c>
      <c r="BA1122" s="33" t="str" cm="1">
        <f t="array" ref="BA11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adicional]=$T$2))&gt;0)),ROW(A1124)),"")</f>
        <v/>
      </c>
    </row>
    <row r="1123" spans="16:53" x14ac:dyDescent="0.35">
      <c r="P1123" t="str" cm="1">
        <f t="array" ref="P1123">IF($BA1123="","",INDEX(tblServicios[Contrato],$BA1123))</f>
        <v/>
      </c>
      <c r="Q1123" t="str" cm="1">
        <f t="array" ref="Q1123">IF($BA1123="","",INDEX(tblServicios[Vehículo],$BA1123))</f>
        <v/>
      </c>
      <c r="T1123" t="str" cm="1">
        <f t="array" ref="T1123">IF($BA1123="","",INDEX(tblServicios[Tipo suplemento],$BA1123))</f>
        <v/>
      </c>
      <c r="V1123" t="str" cm="1">
        <f t="array" ref="V1123">IF($BA1123="","",IF(INDEX(tblServicios[Conductor],$BA1123)=$T$2,"Conductor",IF(INDEX(tblServicios[Personal adicional],$BA1123)=$T$2,"Personal adicional","")))</f>
        <v/>
      </c>
      <c r="BA1123" s="33" t="str" cm="1">
        <f t="array" ref="BA11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adicional]=$T$2))&gt;0)),ROW(A1125)),"")</f>
        <v/>
      </c>
    </row>
    <row r="1124" spans="16:53" x14ac:dyDescent="0.35">
      <c r="P1124" t="str" cm="1">
        <f t="array" ref="P1124">IF($BA1124="","",INDEX(tblServicios[Contrato],$BA1124))</f>
        <v/>
      </c>
      <c r="Q1124" t="str" cm="1">
        <f t="array" ref="Q1124">IF($BA1124="","",INDEX(tblServicios[Vehículo],$BA1124))</f>
        <v/>
      </c>
      <c r="T1124" t="str" cm="1">
        <f t="array" ref="T1124">IF($BA1124="","",INDEX(tblServicios[Tipo suplemento],$BA1124))</f>
        <v/>
      </c>
      <c r="V1124" t="str" cm="1">
        <f t="array" ref="V1124">IF($BA1124="","",IF(INDEX(tblServicios[Conductor],$BA1124)=$T$2,"Conductor",IF(INDEX(tblServicios[Personal adicional],$BA1124)=$T$2,"Personal adicional","")))</f>
        <v/>
      </c>
      <c r="BA1124" s="33" t="str" cm="1">
        <f t="array" ref="BA11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adicional]=$T$2))&gt;0)),ROW(A1126)),"")</f>
        <v/>
      </c>
    </row>
    <row r="1125" spans="16:53" x14ac:dyDescent="0.35">
      <c r="P1125" t="str" cm="1">
        <f t="array" ref="P1125">IF($BA1125="","",INDEX(tblServicios[Contrato],$BA1125))</f>
        <v/>
      </c>
      <c r="Q1125" t="str" cm="1">
        <f t="array" ref="Q1125">IF($BA1125="","",INDEX(tblServicios[Vehículo],$BA1125))</f>
        <v/>
      </c>
      <c r="T1125" t="str" cm="1">
        <f t="array" ref="T1125">IF($BA1125="","",INDEX(tblServicios[Tipo suplemento],$BA1125))</f>
        <v/>
      </c>
      <c r="V1125" t="str" cm="1">
        <f t="array" ref="V1125">IF($BA1125="","",IF(INDEX(tblServicios[Conductor],$BA1125)=$T$2,"Conductor",IF(INDEX(tblServicios[Personal adicional],$BA1125)=$T$2,"Personal adicional","")))</f>
        <v/>
      </c>
      <c r="BA1125" s="33" t="str" cm="1">
        <f t="array" ref="BA11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adicional]=$T$2))&gt;0)),ROW(A1127)),"")</f>
        <v/>
      </c>
    </row>
    <row r="1126" spans="16:53" x14ac:dyDescent="0.35">
      <c r="P1126" t="str" cm="1">
        <f t="array" ref="P1126">IF($BA1126="","",INDEX(tblServicios[Contrato],$BA1126))</f>
        <v/>
      </c>
      <c r="Q1126" t="str" cm="1">
        <f t="array" ref="Q1126">IF($BA1126="","",INDEX(tblServicios[Vehículo],$BA1126))</f>
        <v/>
      </c>
      <c r="T1126" t="str" cm="1">
        <f t="array" ref="T1126">IF($BA1126="","",INDEX(tblServicios[Tipo suplemento],$BA1126))</f>
        <v/>
      </c>
      <c r="V1126" t="str" cm="1">
        <f t="array" ref="V1126">IF($BA1126="","",IF(INDEX(tblServicios[Conductor],$BA1126)=$T$2,"Conductor",IF(INDEX(tblServicios[Personal adicional],$BA1126)=$T$2,"Personal adicional","")))</f>
        <v/>
      </c>
      <c r="BA1126" s="33" t="str" cm="1">
        <f t="array" ref="BA11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adicional]=$T$2))&gt;0)),ROW(A1128)),"")</f>
        <v/>
      </c>
    </row>
    <row r="1127" spans="16:53" x14ac:dyDescent="0.35">
      <c r="P1127" t="str" cm="1">
        <f t="array" ref="P1127">IF($BA1127="","",INDEX(tblServicios[Contrato],$BA1127))</f>
        <v/>
      </c>
      <c r="Q1127" t="str" cm="1">
        <f t="array" ref="Q1127">IF($BA1127="","",INDEX(tblServicios[Vehículo],$BA1127))</f>
        <v/>
      </c>
      <c r="T1127" t="str" cm="1">
        <f t="array" ref="T1127">IF($BA1127="","",INDEX(tblServicios[Tipo suplemento],$BA1127))</f>
        <v/>
      </c>
      <c r="V1127" t="str" cm="1">
        <f t="array" ref="V1127">IF($BA1127="","",IF(INDEX(tblServicios[Conductor],$BA1127)=$T$2,"Conductor",IF(INDEX(tblServicios[Personal adicional],$BA1127)=$T$2,"Personal adicional","")))</f>
        <v/>
      </c>
      <c r="BA1127" s="33" t="str" cm="1">
        <f t="array" ref="BA11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adicional]=$T$2))&gt;0)),ROW(A1129)),"")</f>
        <v/>
      </c>
    </row>
    <row r="1128" spans="16:53" x14ac:dyDescent="0.35">
      <c r="P1128" t="str" cm="1">
        <f t="array" ref="P1128">IF($BA1128="","",INDEX(tblServicios[Contrato],$BA1128))</f>
        <v/>
      </c>
      <c r="Q1128" t="str" cm="1">
        <f t="array" ref="Q1128">IF($BA1128="","",INDEX(tblServicios[Vehículo],$BA1128))</f>
        <v/>
      </c>
      <c r="T1128" t="str" cm="1">
        <f t="array" ref="T1128">IF($BA1128="","",INDEX(tblServicios[Tipo suplemento],$BA1128))</f>
        <v/>
      </c>
      <c r="V1128" t="str" cm="1">
        <f t="array" ref="V1128">IF($BA1128="","",IF(INDEX(tblServicios[Conductor],$BA1128)=$T$2,"Conductor",IF(INDEX(tblServicios[Personal adicional],$BA1128)=$T$2,"Personal adicional","")))</f>
        <v/>
      </c>
      <c r="BA1128" s="33" t="str" cm="1">
        <f t="array" ref="BA11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adicional]=$T$2))&gt;0)),ROW(A1130)),"")</f>
        <v/>
      </c>
    </row>
    <row r="1129" spans="16:53" x14ac:dyDescent="0.35">
      <c r="P1129" t="str" cm="1">
        <f t="array" ref="P1129">IF($BA1129="","",INDEX(tblServicios[Contrato],$BA1129))</f>
        <v/>
      </c>
      <c r="Q1129" t="str" cm="1">
        <f t="array" ref="Q1129">IF($BA1129="","",INDEX(tblServicios[Vehículo],$BA1129))</f>
        <v/>
      </c>
      <c r="T1129" t="str" cm="1">
        <f t="array" ref="T1129">IF($BA1129="","",INDEX(tblServicios[Tipo suplemento],$BA1129))</f>
        <v/>
      </c>
      <c r="V1129" t="str" cm="1">
        <f t="array" ref="V1129">IF($BA1129="","",IF(INDEX(tblServicios[Conductor],$BA1129)=$T$2,"Conductor",IF(INDEX(tblServicios[Personal adicional],$BA1129)=$T$2,"Personal adicional","")))</f>
        <v/>
      </c>
      <c r="BA1129" s="33" t="str" cm="1">
        <f t="array" ref="BA11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adicional]=$T$2))&gt;0)),ROW(A1131)),"")</f>
        <v/>
      </c>
    </row>
    <row r="1130" spans="16:53" x14ac:dyDescent="0.35">
      <c r="P1130" t="str" cm="1">
        <f t="array" ref="P1130">IF($BA1130="","",INDEX(tblServicios[Contrato],$BA1130))</f>
        <v/>
      </c>
      <c r="Q1130" t="str" cm="1">
        <f t="array" ref="Q1130">IF($BA1130="","",INDEX(tblServicios[Vehículo],$BA1130))</f>
        <v/>
      </c>
      <c r="T1130" t="str" cm="1">
        <f t="array" ref="T1130">IF($BA1130="","",INDEX(tblServicios[Tipo suplemento],$BA1130))</f>
        <v/>
      </c>
      <c r="V1130" t="str" cm="1">
        <f t="array" ref="V1130">IF($BA1130="","",IF(INDEX(tblServicios[Conductor],$BA1130)=$T$2,"Conductor",IF(INDEX(tblServicios[Personal adicional],$BA1130)=$T$2,"Personal adicional","")))</f>
        <v/>
      </c>
      <c r="BA1130" s="33" t="str" cm="1">
        <f t="array" ref="BA11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adicional]=$T$2))&gt;0)),ROW(A1132)),"")</f>
        <v/>
      </c>
    </row>
    <row r="1131" spans="16:53" x14ac:dyDescent="0.35">
      <c r="P1131" t="str" cm="1">
        <f t="array" ref="P1131">IF($BA1131="","",INDEX(tblServicios[Contrato],$BA1131))</f>
        <v/>
      </c>
      <c r="Q1131" t="str" cm="1">
        <f t="array" ref="Q1131">IF($BA1131="","",INDEX(tblServicios[Vehículo],$BA1131))</f>
        <v/>
      </c>
      <c r="T1131" t="str" cm="1">
        <f t="array" ref="T1131">IF($BA1131="","",INDEX(tblServicios[Tipo suplemento],$BA1131))</f>
        <v/>
      </c>
      <c r="V1131" t="str" cm="1">
        <f t="array" ref="V1131">IF($BA1131="","",IF(INDEX(tblServicios[Conductor],$BA1131)=$T$2,"Conductor",IF(INDEX(tblServicios[Personal adicional],$BA1131)=$T$2,"Personal adicional","")))</f>
        <v/>
      </c>
      <c r="BA1131" s="33" t="str" cm="1">
        <f t="array" ref="BA11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adicional]=$T$2))&gt;0)),ROW(A1133)),"")</f>
        <v/>
      </c>
    </row>
    <row r="1132" spans="16:53" x14ac:dyDescent="0.35">
      <c r="P1132" t="str" cm="1">
        <f t="array" ref="P1132">IF($BA1132="","",INDEX(tblServicios[Contrato],$BA1132))</f>
        <v/>
      </c>
      <c r="Q1132" t="str" cm="1">
        <f t="array" ref="Q1132">IF($BA1132="","",INDEX(tblServicios[Vehículo],$BA1132))</f>
        <v/>
      </c>
      <c r="T1132" t="str" cm="1">
        <f t="array" ref="T1132">IF($BA1132="","",INDEX(tblServicios[Tipo suplemento],$BA1132))</f>
        <v/>
      </c>
      <c r="V1132" t="str" cm="1">
        <f t="array" ref="V1132">IF($BA1132="","",IF(INDEX(tblServicios[Conductor],$BA1132)=$T$2,"Conductor",IF(INDEX(tblServicios[Personal adicional],$BA1132)=$T$2,"Personal adicional","")))</f>
        <v/>
      </c>
      <c r="BA1132" s="33" t="str" cm="1">
        <f t="array" ref="BA11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adicional]=$T$2))&gt;0)),ROW(A1134)),"")</f>
        <v/>
      </c>
    </row>
    <row r="1133" spans="16:53" x14ac:dyDescent="0.35">
      <c r="P1133" t="str" cm="1">
        <f t="array" ref="P1133">IF($BA1133="","",INDEX(tblServicios[Contrato],$BA1133))</f>
        <v/>
      </c>
      <c r="Q1133" t="str" cm="1">
        <f t="array" ref="Q1133">IF($BA1133="","",INDEX(tblServicios[Vehículo],$BA1133))</f>
        <v/>
      </c>
      <c r="T1133" t="str" cm="1">
        <f t="array" ref="T1133">IF($BA1133="","",INDEX(tblServicios[Tipo suplemento],$BA1133))</f>
        <v/>
      </c>
      <c r="V1133" t="str" cm="1">
        <f t="array" ref="V1133">IF($BA1133="","",IF(INDEX(tblServicios[Conductor],$BA1133)=$T$2,"Conductor",IF(INDEX(tblServicios[Personal adicional],$BA1133)=$T$2,"Personal adicional","")))</f>
        <v/>
      </c>
      <c r="BA1133" s="33" t="str" cm="1">
        <f t="array" ref="BA11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adicional]=$T$2))&gt;0)),ROW(A1135)),"")</f>
        <v/>
      </c>
    </row>
    <row r="1134" spans="16:53" x14ac:dyDescent="0.35">
      <c r="P1134" t="str" cm="1">
        <f t="array" ref="P1134">IF($BA1134="","",INDEX(tblServicios[Contrato],$BA1134))</f>
        <v/>
      </c>
      <c r="Q1134" t="str" cm="1">
        <f t="array" ref="Q1134">IF($BA1134="","",INDEX(tblServicios[Vehículo],$BA1134))</f>
        <v/>
      </c>
      <c r="T1134" t="str" cm="1">
        <f t="array" ref="T1134">IF($BA1134="","",INDEX(tblServicios[Tipo suplemento],$BA1134))</f>
        <v/>
      </c>
      <c r="V1134" t="str" cm="1">
        <f t="array" ref="V1134">IF($BA1134="","",IF(INDEX(tblServicios[Conductor],$BA1134)=$T$2,"Conductor",IF(INDEX(tblServicios[Personal adicional],$BA1134)=$T$2,"Personal adicional","")))</f>
        <v/>
      </c>
      <c r="BA1134" s="33" t="str" cm="1">
        <f t="array" ref="BA11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adicional]=$T$2))&gt;0)),ROW(A1136)),"")</f>
        <v/>
      </c>
    </row>
    <row r="1135" spans="16:53" x14ac:dyDescent="0.35">
      <c r="P1135" t="str" cm="1">
        <f t="array" ref="P1135">IF($BA1135="","",INDEX(tblServicios[Contrato],$BA1135))</f>
        <v/>
      </c>
      <c r="Q1135" t="str" cm="1">
        <f t="array" ref="Q1135">IF($BA1135="","",INDEX(tblServicios[Vehículo],$BA1135))</f>
        <v/>
      </c>
      <c r="T1135" t="str" cm="1">
        <f t="array" ref="T1135">IF($BA1135="","",INDEX(tblServicios[Tipo suplemento],$BA1135))</f>
        <v/>
      </c>
      <c r="V1135" t="str" cm="1">
        <f t="array" ref="V1135">IF($BA1135="","",IF(INDEX(tblServicios[Conductor],$BA1135)=$T$2,"Conductor",IF(INDEX(tblServicios[Personal adicional],$BA1135)=$T$2,"Personal adicional","")))</f>
        <v/>
      </c>
      <c r="BA1135" s="33" t="str" cm="1">
        <f t="array" ref="BA11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adicional]=$T$2))&gt;0)),ROW(A1137)),"")</f>
        <v/>
      </c>
    </row>
    <row r="1136" spans="16:53" x14ac:dyDescent="0.35">
      <c r="P1136" t="str" cm="1">
        <f t="array" ref="P1136">IF($BA1136="","",INDEX(tblServicios[Contrato],$BA1136))</f>
        <v/>
      </c>
      <c r="Q1136" t="str" cm="1">
        <f t="array" ref="Q1136">IF($BA1136="","",INDEX(tblServicios[Vehículo],$BA1136))</f>
        <v/>
      </c>
      <c r="T1136" t="str" cm="1">
        <f t="array" ref="T1136">IF($BA1136="","",INDEX(tblServicios[Tipo suplemento],$BA1136))</f>
        <v/>
      </c>
      <c r="V1136" t="str" cm="1">
        <f t="array" ref="V1136">IF($BA1136="","",IF(INDEX(tblServicios[Conductor],$BA1136)=$T$2,"Conductor",IF(INDEX(tblServicios[Personal adicional],$BA1136)=$T$2,"Personal adicional","")))</f>
        <v/>
      </c>
      <c r="BA1136" s="33" t="str" cm="1">
        <f t="array" ref="BA11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adicional]=$T$2))&gt;0)),ROW(A1138)),"")</f>
        <v/>
      </c>
    </row>
    <row r="1137" spans="16:53" x14ac:dyDescent="0.35">
      <c r="P1137" t="str" cm="1">
        <f t="array" ref="P1137">IF($BA1137="","",INDEX(tblServicios[Contrato],$BA1137))</f>
        <v/>
      </c>
      <c r="Q1137" t="str" cm="1">
        <f t="array" ref="Q1137">IF($BA1137="","",INDEX(tblServicios[Vehículo],$BA1137))</f>
        <v/>
      </c>
      <c r="T1137" t="str" cm="1">
        <f t="array" ref="T1137">IF($BA1137="","",INDEX(tblServicios[Tipo suplemento],$BA1137))</f>
        <v/>
      </c>
      <c r="V1137" t="str" cm="1">
        <f t="array" ref="V1137">IF($BA1137="","",IF(INDEX(tblServicios[Conductor],$BA1137)=$T$2,"Conductor",IF(INDEX(tblServicios[Personal adicional],$BA1137)=$T$2,"Personal adicional","")))</f>
        <v/>
      </c>
      <c r="BA1137" s="33" t="str" cm="1">
        <f t="array" ref="BA11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adicional]=$T$2))&gt;0)),ROW(A1139)),"")</f>
        <v/>
      </c>
    </row>
    <row r="1138" spans="16:53" x14ac:dyDescent="0.35">
      <c r="P1138" t="str" cm="1">
        <f t="array" ref="P1138">IF($BA1138="","",INDEX(tblServicios[Contrato],$BA1138))</f>
        <v/>
      </c>
      <c r="Q1138" t="str" cm="1">
        <f t="array" ref="Q1138">IF($BA1138="","",INDEX(tblServicios[Vehículo],$BA1138))</f>
        <v/>
      </c>
      <c r="T1138" t="str" cm="1">
        <f t="array" ref="T1138">IF($BA1138="","",INDEX(tblServicios[Tipo suplemento],$BA1138))</f>
        <v/>
      </c>
      <c r="V1138" t="str" cm="1">
        <f t="array" ref="V1138">IF($BA1138="","",IF(INDEX(tblServicios[Conductor],$BA1138)=$T$2,"Conductor",IF(INDEX(tblServicios[Personal adicional],$BA1138)=$T$2,"Personal adicional","")))</f>
        <v/>
      </c>
      <c r="BA1138" s="33" t="str" cm="1">
        <f t="array" ref="BA11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adicional]=$T$2))&gt;0)),ROW(A1140)),"")</f>
        <v/>
      </c>
    </row>
    <row r="1139" spans="16:53" x14ac:dyDescent="0.35">
      <c r="P1139" t="str" cm="1">
        <f t="array" ref="P1139">IF($BA1139="","",INDEX(tblServicios[Contrato],$BA1139))</f>
        <v/>
      </c>
      <c r="Q1139" t="str" cm="1">
        <f t="array" ref="Q1139">IF($BA1139="","",INDEX(tblServicios[Vehículo],$BA1139))</f>
        <v/>
      </c>
      <c r="T1139" t="str" cm="1">
        <f t="array" ref="T1139">IF($BA1139="","",INDEX(tblServicios[Tipo suplemento],$BA1139))</f>
        <v/>
      </c>
      <c r="V1139" t="str" cm="1">
        <f t="array" ref="V1139">IF($BA1139="","",IF(INDEX(tblServicios[Conductor],$BA1139)=$T$2,"Conductor",IF(INDEX(tblServicios[Personal adicional],$BA1139)=$T$2,"Personal adicional","")))</f>
        <v/>
      </c>
      <c r="BA1139" s="33" t="str" cm="1">
        <f t="array" ref="BA11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adicional]=$T$2))&gt;0)),ROW(A1141)),"")</f>
        <v/>
      </c>
    </row>
    <row r="1140" spans="16:53" x14ac:dyDescent="0.35">
      <c r="P1140" t="str" cm="1">
        <f t="array" ref="P1140">IF($BA1140="","",INDEX(tblServicios[Contrato],$BA1140))</f>
        <v/>
      </c>
      <c r="Q1140" t="str" cm="1">
        <f t="array" ref="Q1140">IF($BA1140="","",INDEX(tblServicios[Vehículo],$BA1140))</f>
        <v/>
      </c>
      <c r="T1140" t="str" cm="1">
        <f t="array" ref="T1140">IF($BA1140="","",INDEX(tblServicios[Tipo suplemento],$BA1140))</f>
        <v/>
      </c>
      <c r="V1140" t="str" cm="1">
        <f t="array" ref="V1140">IF($BA1140="","",IF(INDEX(tblServicios[Conductor],$BA1140)=$T$2,"Conductor",IF(INDEX(tblServicios[Personal adicional],$BA1140)=$T$2,"Personal adicional","")))</f>
        <v/>
      </c>
      <c r="BA1140" s="33" t="str" cm="1">
        <f t="array" ref="BA11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adicional]=$T$2))&gt;0)),ROW(A1142)),"")</f>
        <v/>
      </c>
    </row>
    <row r="1141" spans="16:53" x14ac:dyDescent="0.35">
      <c r="P1141" t="str" cm="1">
        <f t="array" ref="P1141">IF($BA1141="","",INDEX(tblServicios[Contrato],$BA1141))</f>
        <v/>
      </c>
      <c r="Q1141" t="str" cm="1">
        <f t="array" ref="Q1141">IF($BA1141="","",INDEX(tblServicios[Vehículo],$BA1141))</f>
        <v/>
      </c>
      <c r="T1141" t="str" cm="1">
        <f t="array" ref="T1141">IF($BA1141="","",INDEX(tblServicios[Tipo suplemento],$BA1141))</f>
        <v/>
      </c>
      <c r="V1141" t="str" cm="1">
        <f t="array" ref="V1141">IF($BA1141="","",IF(INDEX(tblServicios[Conductor],$BA1141)=$T$2,"Conductor",IF(INDEX(tblServicios[Personal adicional],$BA1141)=$T$2,"Personal adicional","")))</f>
        <v/>
      </c>
      <c r="BA1141" s="33" t="str" cm="1">
        <f t="array" ref="BA11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adicional]=$T$2))&gt;0)),ROW(A1143)),"")</f>
        <v/>
      </c>
    </row>
    <row r="1142" spans="16:53" x14ac:dyDescent="0.35">
      <c r="P1142" t="str" cm="1">
        <f t="array" ref="P1142">IF($BA1142="","",INDEX(tblServicios[Contrato],$BA1142))</f>
        <v/>
      </c>
      <c r="Q1142" t="str" cm="1">
        <f t="array" ref="Q1142">IF($BA1142="","",INDEX(tblServicios[Vehículo],$BA1142))</f>
        <v/>
      </c>
      <c r="T1142" t="str" cm="1">
        <f t="array" ref="T1142">IF($BA1142="","",INDEX(tblServicios[Tipo suplemento],$BA1142))</f>
        <v/>
      </c>
      <c r="V1142" t="str" cm="1">
        <f t="array" ref="V1142">IF($BA1142="","",IF(INDEX(tblServicios[Conductor],$BA1142)=$T$2,"Conductor",IF(INDEX(tblServicios[Personal adicional],$BA1142)=$T$2,"Personal adicional","")))</f>
        <v/>
      </c>
      <c r="BA1142" s="33" t="str" cm="1">
        <f t="array" ref="BA11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adicional]=$T$2))&gt;0)),ROW(A1144)),"")</f>
        <v/>
      </c>
    </row>
    <row r="1143" spans="16:53" x14ac:dyDescent="0.35">
      <c r="P1143" t="str" cm="1">
        <f t="array" ref="P1143">IF($BA1143="","",INDEX(tblServicios[Contrato],$BA1143))</f>
        <v/>
      </c>
      <c r="Q1143" t="str" cm="1">
        <f t="array" ref="Q1143">IF($BA1143="","",INDEX(tblServicios[Vehículo],$BA1143))</f>
        <v/>
      </c>
      <c r="T1143" t="str" cm="1">
        <f t="array" ref="T1143">IF($BA1143="","",INDEX(tblServicios[Tipo suplemento],$BA1143))</f>
        <v/>
      </c>
      <c r="V1143" t="str" cm="1">
        <f t="array" ref="V1143">IF($BA1143="","",IF(INDEX(tblServicios[Conductor],$BA1143)=$T$2,"Conductor",IF(INDEX(tblServicios[Personal adicional],$BA1143)=$T$2,"Personal adicional","")))</f>
        <v/>
      </c>
      <c r="BA1143" s="33" t="str" cm="1">
        <f t="array" ref="BA11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adicional]=$T$2))&gt;0)),ROW(A1145)),"")</f>
        <v/>
      </c>
    </row>
    <row r="1144" spans="16:53" x14ac:dyDescent="0.35">
      <c r="P1144" t="str" cm="1">
        <f t="array" ref="P1144">IF($BA1144="","",INDEX(tblServicios[Contrato],$BA1144))</f>
        <v/>
      </c>
      <c r="Q1144" t="str" cm="1">
        <f t="array" ref="Q1144">IF($BA1144="","",INDEX(tblServicios[Vehículo],$BA1144))</f>
        <v/>
      </c>
      <c r="T1144" t="str" cm="1">
        <f t="array" ref="T1144">IF($BA1144="","",INDEX(tblServicios[Tipo suplemento],$BA1144))</f>
        <v/>
      </c>
      <c r="V1144" t="str" cm="1">
        <f t="array" ref="V1144">IF($BA1144="","",IF(INDEX(tblServicios[Conductor],$BA1144)=$T$2,"Conductor",IF(INDEX(tblServicios[Personal adicional],$BA1144)=$T$2,"Personal adicional","")))</f>
        <v/>
      </c>
      <c r="BA1144" s="33" t="str" cm="1">
        <f t="array" ref="BA11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adicional]=$T$2))&gt;0)),ROW(A1146)),"")</f>
        <v/>
      </c>
    </row>
    <row r="1145" spans="16:53" x14ac:dyDescent="0.35">
      <c r="P1145" t="str" cm="1">
        <f t="array" ref="P1145">IF($BA1145="","",INDEX(tblServicios[Contrato],$BA1145))</f>
        <v/>
      </c>
      <c r="Q1145" t="str" cm="1">
        <f t="array" ref="Q1145">IF($BA1145="","",INDEX(tblServicios[Vehículo],$BA1145))</f>
        <v/>
      </c>
      <c r="T1145" t="str" cm="1">
        <f t="array" ref="T1145">IF($BA1145="","",INDEX(tblServicios[Tipo suplemento],$BA1145))</f>
        <v/>
      </c>
      <c r="V1145" t="str" cm="1">
        <f t="array" ref="V1145">IF($BA1145="","",IF(INDEX(tblServicios[Conductor],$BA1145)=$T$2,"Conductor",IF(INDEX(tblServicios[Personal adicional],$BA1145)=$T$2,"Personal adicional","")))</f>
        <v/>
      </c>
      <c r="BA1145" s="33" t="str" cm="1">
        <f t="array" ref="BA11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adicional]=$T$2))&gt;0)),ROW(A1147)),"")</f>
        <v/>
      </c>
    </row>
    <row r="1146" spans="16:53" x14ac:dyDescent="0.35">
      <c r="P1146" t="str" cm="1">
        <f t="array" ref="P1146">IF($BA1146="","",INDEX(tblServicios[Contrato],$BA1146))</f>
        <v/>
      </c>
      <c r="Q1146" t="str" cm="1">
        <f t="array" ref="Q1146">IF($BA1146="","",INDEX(tblServicios[Vehículo],$BA1146))</f>
        <v/>
      </c>
      <c r="T1146" t="str" cm="1">
        <f t="array" ref="T1146">IF($BA1146="","",INDEX(tblServicios[Tipo suplemento],$BA1146))</f>
        <v/>
      </c>
      <c r="V1146" t="str" cm="1">
        <f t="array" ref="V1146">IF($BA1146="","",IF(INDEX(tblServicios[Conductor],$BA1146)=$T$2,"Conductor",IF(INDEX(tblServicios[Personal adicional],$BA1146)=$T$2,"Personal adicional","")))</f>
        <v/>
      </c>
      <c r="BA1146" s="33" t="str" cm="1">
        <f t="array" ref="BA11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adicional]=$T$2))&gt;0)),ROW(A1148)),"")</f>
        <v/>
      </c>
    </row>
    <row r="1147" spans="16:53" x14ac:dyDescent="0.35">
      <c r="P1147" t="str" cm="1">
        <f t="array" ref="P1147">IF($BA1147="","",INDEX(tblServicios[Contrato],$BA1147))</f>
        <v/>
      </c>
      <c r="Q1147" t="str" cm="1">
        <f t="array" ref="Q1147">IF($BA1147="","",INDEX(tblServicios[Vehículo],$BA1147))</f>
        <v/>
      </c>
      <c r="T1147" t="str" cm="1">
        <f t="array" ref="T1147">IF($BA1147="","",INDEX(tblServicios[Tipo suplemento],$BA1147))</f>
        <v/>
      </c>
      <c r="V1147" t="str" cm="1">
        <f t="array" ref="V1147">IF($BA1147="","",IF(INDEX(tblServicios[Conductor],$BA1147)=$T$2,"Conductor",IF(INDEX(tblServicios[Personal adicional],$BA1147)=$T$2,"Personal adicional","")))</f>
        <v/>
      </c>
      <c r="BA1147" s="33" t="str" cm="1">
        <f t="array" ref="BA11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adicional]=$T$2))&gt;0)),ROW(A1149)),"")</f>
        <v/>
      </c>
    </row>
    <row r="1148" spans="16:53" x14ac:dyDescent="0.35">
      <c r="P1148" t="str" cm="1">
        <f t="array" ref="P1148">IF($BA1148="","",INDEX(tblServicios[Contrato],$BA1148))</f>
        <v/>
      </c>
      <c r="Q1148" t="str" cm="1">
        <f t="array" ref="Q1148">IF($BA1148="","",INDEX(tblServicios[Vehículo],$BA1148))</f>
        <v/>
      </c>
      <c r="T1148" t="str" cm="1">
        <f t="array" ref="T1148">IF($BA1148="","",INDEX(tblServicios[Tipo suplemento],$BA1148))</f>
        <v/>
      </c>
      <c r="V1148" t="str" cm="1">
        <f t="array" ref="V1148">IF($BA1148="","",IF(INDEX(tblServicios[Conductor],$BA1148)=$T$2,"Conductor",IF(INDEX(tblServicios[Personal adicional],$BA1148)=$T$2,"Personal adicional","")))</f>
        <v/>
      </c>
      <c r="BA1148" s="33" t="str" cm="1">
        <f t="array" ref="BA11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adicional]=$T$2))&gt;0)),ROW(A1150)),"")</f>
        <v/>
      </c>
    </row>
    <row r="1149" spans="16:53" x14ac:dyDescent="0.35">
      <c r="P1149" t="str" cm="1">
        <f t="array" ref="P1149">IF($BA1149="","",INDEX(tblServicios[Contrato],$BA1149))</f>
        <v/>
      </c>
      <c r="Q1149" t="str" cm="1">
        <f t="array" ref="Q1149">IF($BA1149="","",INDEX(tblServicios[Vehículo],$BA1149))</f>
        <v/>
      </c>
      <c r="T1149" t="str" cm="1">
        <f t="array" ref="T1149">IF($BA1149="","",INDEX(tblServicios[Tipo suplemento],$BA1149))</f>
        <v/>
      </c>
      <c r="V1149" t="str" cm="1">
        <f t="array" ref="V1149">IF($BA1149="","",IF(INDEX(tblServicios[Conductor],$BA1149)=$T$2,"Conductor",IF(INDEX(tblServicios[Personal adicional],$BA1149)=$T$2,"Personal adicional","")))</f>
        <v/>
      </c>
      <c r="BA1149" s="33" t="str" cm="1">
        <f t="array" ref="BA11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adicional]=$T$2))&gt;0)),ROW(A1151)),"")</f>
        <v/>
      </c>
    </row>
    <row r="1150" spans="16:53" x14ac:dyDescent="0.35">
      <c r="P1150" t="str" cm="1">
        <f t="array" ref="P1150">IF($BA1150="","",INDEX(tblServicios[Contrato],$BA1150))</f>
        <v/>
      </c>
      <c r="Q1150" t="str" cm="1">
        <f t="array" ref="Q1150">IF($BA1150="","",INDEX(tblServicios[Vehículo],$BA1150))</f>
        <v/>
      </c>
      <c r="T1150" t="str" cm="1">
        <f t="array" ref="T1150">IF($BA1150="","",INDEX(tblServicios[Tipo suplemento],$BA1150))</f>
        <v/>
      </c>
      <c r="V1150" t="str" cm="1">
        <f t="array" ref="V1150">IF($BA1150="","",IF(INDEX(tblServicios[Conductor],$BA1150)=$T$2,"Conductor",IF(INDEX(tblServicios[Personal adicional],$BA1150)=$T$2,"Personal adicional","")))</f>
        <v/>
      </c>
      <c r="BA1150" s="33" t="str" cm="1">
        <f t="array" ref="BA11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adicional]=$T$2))&gt;0)),ROW(A1152)),"")</f>
        <v/>
      </c>
    </row>
    <row r="1151" spans="16:53" x14ac:dyDescent="0.35">
      <c r="P1151" t="str" cm="1">
        <f t="array" ref="P1151">IF($BA1151="","",INDEX(tblServicios[Contrato],$BA1151))</f>
        <v/>
      </c>
      <c r="Q1151" t="str" cm="1">
        <f t="array" ref="Q1151">IF($BA1151="","",INDEX(tblServicios[Vehículo],$BA1151))</f>
        <v/>
      </c>
      <c r="T1151" t="str" cm="1">
        <f t="array" ref="T1151">IF($BA1151="","",INDEX(tblServicios[Tipo suplemento],$BA1151))</f>
        <v/>
      </c>
      <c r="V1151" t="str" cm="1">
        <f t="array" ref="V1151">IF($BA1151="","",IF(INDEX(tblServicios[Conductor],$BA1151)=$T$2,"Conductor",IF(INDEX(tblServicios[Personal adicional],$BA1151)=$T$2,"Personal adicional","")))</f>
        <v/>
      </c>
      <c r="BA1151" s="33" t="str" cm="1">
        <f t="array" ref="BA11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adicional]=$T$2))&gt;0)),ROW(A1153)),"")</f>
        <v/>
      </c>
    </row>
    <row r="1152" spans="16:53" x14ac:dyDescent="0.35">
      <c r="P1152" t="str" cm="1">
        <f t="array" ref="P1152">IF($BA1152="","",INDEX(tblServicios[Contrato],$BA1152))</f>
        <v/>
      </c>
      <c r="Q1152" t="str" cm="1">
        <f t="array" ref="Q1152">IF($BA1152="","",INDEX(tblServicios[Vehículo],$BA1152))</f>
        <v/>
      </c>
      <c r="T1152" t="str" cm="1">
        <f t="array" ref="T1152">IF($BA1152="","",INDEX(tblServicios[Tipo suplemento],$BA1152))</f>
        <v/>
      </c>
      <c r="V1152" t="str" cm="1">
        <f t="array" ref="V1152">IF($BA1152="","",IF(INDEX(tblServicios[Conductor],$BA1152)=$T$2,"Conductor",IF(INDEX(tblServicios[Personal adicional],$BA1152)=$T$2,"Personal adicional","")))</f>
        <v/>
      </c>
      <c r="BA1152" s="33" t="str" cm="1">
        <f t="array" ref="BA11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adicional]=$T$2))&gt;0)),ROW(A1154)),"")</f>
        <v/>
      </c>
    </row>
    <row r="1153" spans="16:53" x14ac:dyDescent="0.35">
      <c r="P1153" t="str" cm="1">
        <f t="array" ref="P1153">IF($BA1153="","",INDEX(tblServicios[Contrato],$BA1153))</f>
        <v/>
      </c>
      <c r="Q1153" t="str" cm="1">
        <f t="array" ref="Q1153">IF($BA1153="","",INDEX(tblServicios[Vehículo],$BA1153))</f>
        <v/>
      </c>
      <c r="T1153" t="str" cm="1">
        <f t="array" ref="T1153">IF($BA1153="","",INDEX(tblServicios[Tipo suplemento],$BA1153))</f>
        <v/>
      </c>
      <c r="V1153" t="str" cm="1">
        <f t="array" ref="V1153">IF($BA1153="","",IF(INDEX(tblServicios[Conductor],$BA1153)=$T$2,"Conductor",IF(INDEX(tblServicios[Personal adicional],$BA1153)=$T$2,"Personal adicional","")))</f>
        <v/>
      </c>
      <c r="BA1153" s="33" t="str" cm="1">
        <f t="array" ref="BA11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adicional]=$T$2))&gt;0)),ROW(A1155)),"")</f>
        <v/>
      </c>
    </row>
    <row r="1154" spans="16:53" x14ac:dyDescent="0.35">
      <c r="P1154" t="str" cm="1">
        <f t="array" ref="P1154">IF($BA1154="","",INDEX(tblServicios[Contrato],$BA1154))</f>
        <v/>
      </c>
      <c r="Q1154" t="str" cm="1">
        <f t="array" ref="Q1154">IF($BA1154="","",INDEX(tblServicios[Vehículo],$BA1154))</f>
        <v/>
      </c>
      <c r="T1154" t="str" cm="1">
        <f t="array" ref="T1154">IF($BA1154="","",INDEX(tblServicios[Tipo suplemento],$BA1154))</f>
        <v/>
      </c>
      <c r="V1154" t="str" cm="1">
        <f t="array" ref="V1154">IF($BA1154="","",IF(INDEX(tblServicios[Conductor],$BA1154)=$T$2,"Conductor",IF(INDEX(tblServicios[Personal adicional],$BA1154)=$T$2,"Personal adicional","")))</f>
        <v/>
      </c>
      <c r="BA1154" s="33" t="str" cm="1">
        <f t="array" ref="BA11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adicional]=$T$2))&gt;0)),ROW(A1156)),"")</f>
        <v/>
      </c>
    </row>
    <row r="1155" spans="16:53" x14ac:dyDescent="0.35">
      <c r="P1155" t="str" cm="1">
        <f t="array" ref="P1155">IF($BA1155="","",INDEX(tblServicios[Contrato],$BA1155))</f>
        <v/>
      </c>
      <c r="Q1155" t="str" cm="1">
        <f t="array" ref="Q1155">IF($BA1155="","",INDEX(tblServicios[Vehículo],$BA1155))</f>
        <v/>
      </c>
      <c r="T1155" t="str" cm="1">
        <f t="array" ref="T1155">IF($BA1155="","",INDEX(tblServicios[Tipo suplemento],$BA1155))</f>
        <v/>
      </c>
      <c r="V1155" t="str" cm="1">
        <f t="array" ref="V1155">IF($BA1155="","",IF(INDEX(tblServicios[Conductor],$BA1155)=$T$2,"Conductor",IF(INDEX(tblServicios[Personal adicional],$BA1155)=$T$2,"Personal adicional","")))</f>
        <v/>
      </c>
      <c r="BA1155" s="33" t="str" cm="1">
        <f t="array" ref="BA11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adicional]=$T$2))&gt;0)),ROW(A1157)),"")</f>
        <v/>
      </c>
    </row>
    <row r="1156" spans="16:53" x14ac:dyDescent="0.35">
      <c r="P1156" t="str" cm="1">
        <f t="array" ref="P1156">IF($BA1156="","",INDEX(tblServicios[Contrato],$BA1156))</f>
        <v/>
      </c>
      <c r="Q1156" t="str" cm="1">
        <f t="array" ref="Q1156">IF($BA1156="","",INDEX(tblServicios[Vehículo],$BA1156))</f>
        <v/>
      </c>
      <c r="T1156" t="str" cm="1">
        <f t="array" ref="T1156">IF($BA1156="","",INDEX(tblServicios[Tipo suplemento],$BA1156))</f>
        <v/>
      </c>
      <c r="V1156" t="str" cm="1">
        <f t="array" ref="V1156">IF($BA1156="","",IF(INDEX(tblServicios[Conductor],$BA1156)=$T$2,"Conductor",IF(INDEX(tblServicios[Personal adicional],$BA1156)=$T$2,"Personal adicional","")))</f>
        <v/>
      </c>
      <c r="BA1156" s="33" t="str" cm="1">
        <f t="array" ref="BA11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adicional]=$T$2))&gt;0)),ROW(A1158)),"")</f>
        <v/>
      </c>
    </row>
    <row r="1157" spans="16:53" x14ac:dyDescent="0.35">
      <c r="P1157" t="str" cm="1">
        <f t="array" ref="P1157">IF($BA1157="","",INDEX(tblServicios[Contrato],$BA1157))</f>
        <v/>
      </c>
      <c r="Q1157" t="str" cm="1">
        <f t="array" ref="Q1157">IF($BA1157="","",INDEX(tblServicios[Vehículo],$BA1157))</f>
        <v/>
      </c>
      <c r="T1157" t="str" cm="1">
        <f t="array" ref="T1157">IF($BA1157="","",INDEX(tblServicios[Tipo suplemento],$BA1157))</f>
        <v/>
      </c>
      <c r="V1157" t="str" cm="1">
        <f t="array" ref="V1157">IF($BA1157="","",IF(INDEX(tblServicios[Conductor],$BA1157)=$T$2,"Conductor",IF(INDEX(tblServicios[Personal adicional],$BA1157)=$T$2,"Personal adicional","")))</f>
        <v/>
      </c>
      <c r="BA1157" s="33" t="str" cm="1">
        <f t="array" ref="BA11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adicional]=$T$2))&gt;0)),ROW(A1159)),"")</f>
        <v/>
      </c>
    </row>
    <row r="1158" spans="16:53" x14ac:dyDescent="0.35">
      <c r="P1158" t="str" cm="1">
        <f t="array" ref="P1158">IF($BA1158="","",INDEX(tblServicios[Contrato],$BA1158))</f>
        <v/>
      </c>
      <c r="Q1158" t="str" cm="1">
        <f t="array" ref="Q1158">IF($BA1158="","",INDEX(tblServicios[Vehículo],$BA1158))</f>
        <v/>
      </c>
      <c r="T1158" t="str" cm="1">
        <f t="array" ref="T1158">IF($BA1158="","",INDEX(tblServicios[Tipo suplemento],$BA1158))</f>
        <v/>
      </c>
      <c r="V1158" t="str" cm="1">
        <f t="array" ref="V1158">IF($BA1158="","",IF(INDEX(tblServicios[Conductor],$BA1158)=$T$2,"Conductor",IF(INDEX(tblServicios[Personal adicional],$BA1158)=$T$2,"Personal adicional","")))</f>
        <v/>
      </c>
      <c r="BA1158" s="33" t="str" cm="1">
        <f t="array" ref="BA11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adicional]=$T$2))&gt;0)),ROW(A1160)),"")</f>
        <v/>
      </c>
    </row>
    <row r="1159" spans="16:53" x14ac:dyDescent="0.35">
      <c r="P1159" t="str" cm="1">
        <f t="array" ref="P1159">IF($BA1159="","",INDEX(tblServicios[Contrato],$BA1159))</f>
        <v/>
      </c>
      <c r="Q1159" t="str" cm="1">
        <f t="array" ref="Q1159">IF($BA1159="","",INDEX(tblServicios[Vehículo],$BA1159))</f>
        <v/>
      </c>
      <c r="T1159" t="str" cm="1">
        <f t="array" ref="T1159">IF($BA1159="","",INDEX(tblServicios[Tipo suplemento],$BA1159))</f>
        <v/>
      </c>
      <c r="V1159" t="str" cm="1">
        <f t="array" ref="V1159">IF($BA1159="","",IF(INDEX(tblServicios[Conductor],$BA1159)=$T$2,"Conductor",IF(INDEX(tblServicios[Personal adicional],$BA1159)=$T$2,"Personal adicional","")))</f>
        <v/>
      </c>
      <c r="BA1159" s="33" t="str" cm="1">
        <f t="array" ref="BA11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adicional]=$T$2))&gt;0)),ROW(A1161)),"")</f>
        <v/>
      </c>
    </row>
    <row r="1160" spans="16:53" x14ac:dyDescent="0.35">
      <c r="P1160" t="str" cm="1">
        <f t="array" ref="P1160">IF($BA1160="","",INDEX(tblServicios[Contrato],$BA1160))</f>
        <v/>
      </c>
      <c r="Q1160" t="str" cm="1">
        <f t="array" ref="Q1160">IF($BA1160="","",INDEX(tblServicios[Vehículo],$BA1160))</f>
        <v/>
      </c>
      <c r="T1160" t="str" cm="1">
        <f t="array" ref="T1160">IF($BA1160="","",INDEX(tblServicios[Tipo suplemento],$BA1160))</f>
        <v/>
      </c>
      <c r="V1160" t="str" cm="1">
        <f t="array" ref="V1160">IF($BA1160="","",IF(INDEX(tblServicios[Conductor],$BA1160)=$T$2,"Conductor",IF(INDEX(tblServicios[Personal adicional],$BA1160)=$T$2,"Personal adicional","")))</f>
        <v/>
      </c>
      <c r="BA1160" s="33" t="str" cm="1">
        <f t="array" ref="BA11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adicional]=$T$2))&gt;0)),ROW(A1162)),"")</f>
        <v/>
      </c>
    </row>
    <row r="1161" spans="16:53" x14ac:dyDescent="0.35">
      <c r="P1161" t="str" cm="1">
        <f t="array" ref="P1161">IF($BA1161="","",INDEX(tblServicios[Contrato],$BA1161))</f>
        <v/>
      </c>
      <c r="Q1161" t="str" cm="1">
        <f t="array" ref="Q1161">IF($BA1161="","",INDEX(tblServicios[Vehículo],$BA1161))</f>
        <v/>
      </c>
      <c r="T1161" t="str" cm="1">
        <f t="array" ref="T1161">IF($BA1161="","",INDEX(tblServicios[Tipo suplemento],$BA1161))</f>
        <v/>
      </c>
      <c r="V1161" t="str" cm="1">
        <f t="array" ref="V1161">IF($BA1161="","",IF(INDEX(tblServicios[Conductor],$BA1161)=$T$2,"Conductor",IF(INDEX(tblServicios[Personal adicional],$BA1161)=$T$2,"Personal adicional","")))</f>
        <v/>
      </c>
      <c r="BA1161" s="33" t="str" cm="1">
        <f t="array" ref="BA11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adicional]=$T$2))&gt;0)),ROW(A1163)),"")</f>
        <v/>
      </c>
    </row>
    <row r="1162" spans="16:53" x14ac:dyDescent="0.35">
      <c r="P1162" t="str" cm="1">
        <f t="array" ref="P1162">IF($BA1162="","",INDEX(tblServicios[Contrato],$BA1162))</f>
        <v/>
      </c>
      <c r="Q1162" t="str" cm="1">
        <f t="array" ref="Q1162">IF($BA1162="","",INDEX(tblServicios[Vehículo],$BA1162))</f>
        <v/>
      </c>
      <c r="T1162" t="str" cm="1">
        <f t="array" ref="T1162">IF($BA1162="","",INDEX(tblServicios[Tipo suplemento],$BA1162))</f>
        <v/>
      </c>
      <c r="V1162" t="str" cm="1">
        <f t="array" ref="V1162">IF($BA1162="","",IF(INDEX(tblServicios[Conductor],$BA1162)=$T$2,"Conductor",IF(INDEX(tblServicios[Personal adicional],$BA1162)=$T$2,"Personal adicional","")))</f>
        <v/>
      </c>
      <c r="BA1162" s="33" t="str" cm="1">
        <f t="array" ref="BA11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adicional]=$T$2))&gt;0)),ROW(A1164)),"")</f>
        <v/>
      </c>
    </row>
    <row r="1163" spans="16:53" x14ac:dyDescent="0.35">
      <c r="P1163" t="str" cm="1">
        <f t="array" ref="P1163">IF($BA1163="","",INDEX(tblServicios[Contrato],$BA1163))</f>
        <v/>
      </c>
      <c r="Q1163" t="str" cm="1">
        <f t="array" ref="Q1163">IF($BA1163="","",INDEX(tblServicios[Vehículo],$BA1163))</f>
        <v/>
      </c>
      <c r="T1163" t="str" cm="1">
        <f t="array" ref="T1163">IF($BA1163="","",INDEX(tblServicios[Tipo suplemento],$BA1163))</f>
        <v/>
      </c>
      <c r="V1163" t="str" cm="1">
        <f t="array" ref="V1163">IF($BA1163="","",IF(INDEX(tblServicios[Conductor],$BA1163)=$T$2,"Conductor",IF(INDEX(tblServicios[Personal adicional],$BA1163)=$T$2,"Personal adicional","")))</f>
        <v/>
      </c>
      <c r="BA1163" s="33" t="str" cm="1">
        <f t="array" ref="BA11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adicional]=$T$2))&gt;0)),ROW(A1165)),"")</f>
        <v/>
      </c>
    </row>
    <row r="1164" spans="16:53" x14ac:dyDescent="0.35">
      <c r="P1164" t="str" cm="1">
        <f t="array" ref="P1164">IF($BA1164="","",INDEX(tblServicios[Contrato],$BA1164))</f>
        <v/>
      </c>
      <c r="Q1164" t="str" cm="1">
        <f t="array" ref="Q1164">IF($BA1164="","",INDEX(tblServicios[Vehículo],$BA1164))</f>
        <v/>
      </c>
      <c r="T1164" t="str" cm="1">
        <f t="array" ref="T1164">IF($BA1164="","",INDEX(tblServicios[Tipo suplemento],$BA1164))</f>
        <v/>
      </c>
      <c r="V1164" t="str" cm="1">
        <f t="array" ref="V1164">IF($BA1164="","",IF(INDEX(tblServicios[Conductor],$BA1164)=$T$2,"Conductor",IF(INDEX(tblServicios[Personal adicional],$BA1164)=$T$2,"Personal adicional","")))</f>
        <v/>
      </c>
      <c r="BA1164" s="33" t="str" cm="1">
        <f t="array" ref="BA11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adicional]=$T$2))&gt;0)),ROW(A1166)),"")</f>
        <v/>
      </c>
    </row>
    <row r="1165" spans="16:53" x14ac:dyDescent="0.35">
      <c r="P1165" t="str" cm="1">
        <f t="array" ref="P1165">IF($BA1165="","",INDEX(tblServicios[Contrato],$BA1165))</f>
        <v/>
      </c>
      <c r="Q1165" t="str" cm="1">
        <f t="array" ref="Q1165">IF($BA1165="","",INDEX(tblServicios[Vehículo],$BA1165))</f>
        <v/>
      </c>
      <c r="T1165" t="str" cm="1">
        <f t="array" ref="T1165">IF($BA1165="","",INDEX(tblServicios[Tipo suplemento],$BA1165))</f>
        <v/>
      </c>
      <c r="V1165" t="str" cm="1">
        <f t="array" ref="V1165">IF($BA1165="","",IF(INDEX(tblServicios[Conductor],$BA1165)=$T$2,"Conductor",IF(INDEX(tblServicios[Personal adicional],$BA1165)=$T$2,"Personal adicional","")))</f>
        <v/>
      </c>
      <c r="BA1165" s="33" t="str" cm="1">
        <f t="array" ref="BA11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adicional]=$T$2))&gt;0)),ROW(A1167)),"")</f>
        <v/>
      </c>
    </row>
    <row r="1166" spans="16:53" x14ac:dyDescent="0.35">
      <c r="P1166" t="str" cm="1">
        <f t="array" ref="P1166">IF($BA1166="","",INDEX(tblServicios[Contrato],$BA1166))</f>
        <v/>
      </c>
      <c r="Q1166" t="str" cm="1">
        <f t="array" ref="Q1166">IF($BA1166="","",INDEX(tblServicios[Vehículo],$BA1166))</f>
        <v/>
      </c>
      <c r="T1166" t="str" cm="1">
        <f t="array" ref="T1166">IF($BA1166="","",INDEX(tblServicios[Tipo suplemento],$BA1166))</f>
        <v/>
      </c>
      <c r="V1166" t="str" cm="1">
        <f t="array" ref="V1166">IF($BA1166="","",IF(INDEX(tblServicios[Conductor],$BA1166)=$T$2,"Conductor",IF(INDEX(tblServicios[Personal adicional],$BA1166)=$T$2,"Personal adicional","")))</f>
        <v/>
      </c>
      <c r="BA1166" s="33" t="str" cm="1">
        <f t="array" ref="BA11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adicional]=$T$2))&gt;0)),ROW(A1168)),"")</f>
        <v/>
      </c>
    </row>
    <row r="1167" spans="16:53" x14ac:dyDescent="0.35">
      <c r="P1167" t="str" cm="1">
        <f t="array" ref="P1167">IF($BA1167="","",INDEX(tblServicios[Contrato],$BA1167))</f>
        <v/>
      </c>
      <c r="Q1167" t="str" cm="1">
        <f t="array" ref="Q1167">IF($BA1167="","",INDEX(tblServicios[Vehículo],$BA1167))</f>
        <v/>
      </c>
      <c r="T1167" t="str" cm="1">
        <f t="array" ref="T1167">IF($BA1167="","",INDEX(tblServicios[Tipo suplemento],$BA1167))</f>
        <v/>
      </c>
      <c r="V1167" t="str" cm="1">
        <f t="array" ref="V1167">IF($BA1167="","",IF(INDEX(tblServicios[Conductor],$BA1167)=$T$2,"Conductor",IF(INDEX(tblServicios[Personal adicional],$BA1167)=$T$2,"Personal adicional","")))</f>
        <v/>
      </c>
      <c r="BA1167" s="33" t="str" cm="1">
        <f t="array" ref="BA11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adicional]=$T$2))&gt;0)),ROW(A1169)),"")</f>
        <v/>
      </c>
    </row>
    <row r="1168" spans="16:53" x14ac:dyDescent="0.35">
      <c r="P1168" t="str" cm="1">
        <f t="array" ref="P1168">IF($BA1168="","",INDEX(tblServicios[Contrato],$BA1168))</f>
        <v/>
      </c>
      <c r="Q1168" t="str" cm="1">
        <f t="array" ref="Q1168">IF($BA1168="","",INDEX(tblServicios[Vehículo],$BA1168))</f>
        <v/>
      </c>
      <c r="T1168" t="str" cm="1">
        <f t="array" ref="T1168">IF($BA1168="","",INDEX(tblServicios[Tipo suplemento],$BA1168))</f>
        <v/>
      </c>
      <c r="V1168" t="str" cm="1">
        <f t="array" ref="V1168">IF($BA1168="","",IF(INDEX(tblServicios[Conductor],$BA1168)=$T$2,"Conductor",IF(INDEX(tblServicios[Personal adicional],$BA1168)=$T$2,"Personal adicional","")))</f>
        <v/>
      </c>
      <c r="BA1168" s="33" t="str" cm="1">
        <f t="array" ref="BA11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adicional]=$T$2))&gt;0)),ROW(A1170)),"")</f>
        <v/>
      </c>
    </row>
    <row r="1169" spans="16:53" x14ac:dyDescent="0.35">
      <c r="P1169" t="str" cm="1">
        <f t="array" ref="P1169">IF($BA1169="","",INDEX(tblServicios[Contrato],$BA1169))</f>
        <v/>
      </c>
      <c r="Q1169" t="str" cm="1">
        <f t="array" ref="Q1169">IF($BA1169="","",INDEX(tblServicios[Vehículo],$BA1169))</f>
        <v/>
      </c>
      <c r="T1169" t="str" cm="1">
        <f t="array" ref="T1169">IF($BA1169="","",INDEX(tblServicios[Tipo suplemento],$BA1169))</f>
        <v/>
      </c>
      <c r="V1169" t="str" cm="1">
        <f t="array" ref="V1169">IF($BA1169="","",IF(INDEX(tblServicios[Conductor],$BA1169)=$T$2,"Conductor",IF(INDEX(tblServicios[Personal adicional],$BA1169)=$T$2,"Personal adicional","")))</f>
        <v/>
      </c>
      <c r="BA1169" s="33" t="str" cm="1">
        <f t="array" ref="BA11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adicional]=$T$2))&gt;0)),ROW(A1171)),"")</f>
        <v/>
      </c>
    </row>
    <row r="1170" spans="16:53" x14ac:dyDescent="0.35">
      <c r="P1170" t="str" cm="1">
        <f t="array" ref="P1170">IF($BA1170="","",INDEX(tblServicios[Contrato],$BA1170))</f>
        <v/>
      </c>
      <c r="Q1170" t="str" cm="1">
        <f t="array" ref="Q1170">IF($BA1170="","",INDEX(tblServicios[Vehículo],$BA1170))</f>
        <v/>
      </c>
      <c r="T1170" t="str" cm="1">
        <f t="array" ref="T1170">IF($BA1170="","",INDEX(tblServicios[Tipo suplemento],$BA1170))</f>
        <v/>
      </c>
      <c r="V1170" t="str" cm="1">
        <f t="array" ref="V1170">IF($BA1170="","",IF(INDEX(tblServicios[Conductor],$BA1170)=$T$2,"Conductor",IF(INDEX(tblServicios[Personal adicional],$BA1170)=$T$2,"Personal adicional","")))</f>
        <v/>
      </c>
      <c r="BA1170" s="33" t="str" cm="1">
        <f t="array" ref="BA11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adicional]=$T$2))&gt;0)),ROW(A1172)),"")</f>
        <v/>
      </c>
    </row>
    <row r="1171" spans="16:53" x14ac:dyDescent="0.35">
      <c r="P1171" t="str" cm="1">
        <f t="array" ref="P1171">IF($BA1171="","",INDEX(tblServicios[Contrato],$BA1171))</f>
        <v/>
      </c>
      <c r="Q1171" t="str" cm="1">
        <f t="array" ref="Q1171">IF($BA1171="","",INDEX(tblServicios[Vehículo],$BA1171))</f>
        <v/>
      </c>
      <c r="T1171" t="str" cm="1">
        <f t="array" ref="T1171">IF($BA1171="","",INDEX(tblServicios[Tipo suplemento],$BA1171))</f>
        <v/>
      </c>
      <c r="V1171" t="str" cm="1">
        <f t="array" ref="V1171">IF($BA1171="","",IF(INDEX(tblServicios[Conductor],$BA1171)=$T$2,"Conductor",IF(INDEX(tblServicios[Personal adicional],$BA1171)=$T$2,"Personal adicional","")))</f>
        <v/>
      </c>
      <c r="BA1171" s="33" t="str" cm="1">
        <f t="array" ref="BA11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adicional]=$T$2))&gt;0)),ROW(A1173)),"")</f>
        <v/>
      </c>
    </row>
    <row r="1172" spans="16:53" x14ac:dyDescent="0.35">
      <c r="P1172" t="str" cm="1">
        <f t="array" ref="P1172">IF($BA1172="","",INDEX(tblServicios[Contrato],$BA1172))</f>
        <v/>
      </c>
      <c r="Q1172" t="str" cm="1">
        <f t="array" ref="Q1172">IF($BA1172="","",INDEX(tblServicios[Vehículo],$BA1172))</f>
        <v/>
      </c>
      <c r="T1172" t="str" cm="1">
        <f t="array" ref="T1172">IF($BA1172="","",INDEX(tblServicios[Tipo suplemento],$BA1172))</f>
        <v/>
      </c>
      <c r="V1172" t="str" cm="1">
        <f t="array" ref="V1172">IF($BA1172="","",IF(INDEX(tblServicios[Conductor],$BA1172)=$T$2,"Conductor",IF(INDEX(tblServicios[Personal adicional],$BA1172)=$T$2,"Personal adicional","")))</f>
        <v/>
      </c>
      <c r="BA1172" s="33" t="str" cm="1">
        <f t="array" ref="BA11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adicional]=$T$2))&gt;0)),ROW(A1174)),"")</f>
        <v/>
      </c>
    </row>
    <row r="1173" spans="16:53" x14ac:dyDescent="0.35">
      <c r="P1173" t="str" cm="1">
        <f t="array" ref="P1173">IF($BA1173="","",INDEX(tblServicios[Contrato],$BA1173))</f>
        <v/>
      </c>
      <c r="Q1173" t="str" cm="1">
        <f t="array" ref="Q1173">IF($BA1173="","",INDEX(tblServicios[Vehículo],$BA1173))</f>
        <v/>
      </c>
      <c r="T1173" t="str" cm="1">
        <f t="array" ref="T1173">IF($BA1173="","",INDEX(tblServicios[Tipo suplemento],$BA1173))</f>
        <v/>
      </c>
      <c r="V1173" t="str" cm="1">
        <f t="array" ref="V1173">IF($BA1173="","",IF(INDEX(tblServicios[Conductor],$BA1173)=$T$2,"Conductor",IF(INDEX(tblServicios[Personal adicional],$BA1173)=$T$2,"Personal adicional","")))</f>
        <v/>
      </c>
      <c r="BA1173" s="33" t="str" cm="1">
        <f t="array" ref="BA11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adicional]=$T$2))&gt;0)),ROW(A1175)),"")</f>
        <v/>
      </c>
    </row>
    <row r="1174" spans="16:53" x14ac:dyDescent="0.35">
      <c r="P1174" t="str" cm="1">
        <f t="array" ref="P1174">IF($BA1174="","",INDEX(tblServicios[Contrato],$BA1174))</f>
        <v/>
      </c>
      <c r="Q1174" t="str" cm="1">
        <f t="array" ref="Q1174">IF($BA1174="","",INDEX(tblServicios[Vehículo],$BA1174))</f>
        <v/>
      </c>
      <c r="T1174" t="str" cm="1">
        <f t="array" ref="T1174">IF($BA1174="","",INDEX(tblServicios[Tipo suplemento],$BA1174))</f>
        <v/>
      </c>
      <c r="V1174" t="str" cm="1">
        <f t="array" ref="V1174">IF($BA1174="","",IF(INDEX(tblServicios[Conductor],$BA1174)=$T$2,"Conductor",IF(INDEX(tblServicios[Personal adicional],$BA1174)=$T$2,"Personal adicional","")))</f>
        <v/>
      </c>
      <c r="BA1174" s="33" t="str" cm="1">
        <f t="array" ref="BA11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adicional]=$T$2))&gt;0)),ROW(A1176)),"")</f>
        <v/>
      </c>
    </row>
    <row r="1175" spans="16:53" x14ac:dyDescent="0.35">
      <c r="P1175" t="str" cm="1">
        <f t="array" ref="P1175">IF($BA1175="","",INDEX(tblServicios[Contrato],$BA1175))</f>
        <v/>
      </c>
      <c r="Q1175" t="str" cm="1">
        <f t="array" ref="Q1175">IF($BA1175="","",INDEX(tblServicios[Vehículo],$BA1175))</f>
        <v/>
      </c>
      <c r="T1175" t="str" cm="1">
        <f t="array" ref="T1175">IF($BA1175="","",INDEX(tblServicios[Tipo suplemento],$BA1175))</f>
        <v/>
      </c>
      <c r="V1175" t="str" cm="1">
        <f t="array" ref="V1175">IF($BA1175="","",IF(INDEX(tblServicios[Conductor],$BA1175)=$T$2,"Conductor",IF(INDEX(tblServicios[Personal adicional],$BA1175)=$T$2,"Personal adicional","")))</f>
        <v/>
      </c>
      <c r="BA1175" s="33" t="str" cm="1">
        <f t="array" ref="BA11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adicional]=$T$2))&gt;0)),ROW(A1177)),"")</f>
        <v/>
      </c>
    </row>
    <row r="1176" spans="16:53" x14ac:dyDescent="0.35">
      <c r="P1176" t="str" cm="1">
        <f t="array" ref="P1176">IF($BA1176="","",INDEX(tblServicios[Contrato],$BA1176))</f>
        <v/>
      </c>
      <c r="Q1176" t="str" cm="1">
        <f t="array" ref="Q1176">IF($BA1176="","",INDEX(tblServicios[Vehículo],$BA1176))</f>
        <v/>
      </c>
      <c r="T1176" t="str" cm="1">
        <f t="array" ref="T1176">IF($BA1176="","",INDEX(tblServicios[Tipo suplemento],$BA1176))</f>
        <v/>
      </c>
      <c r="V1176" t="str" cm="1">
        <f t="array" ref="V1176">IF($BA1176="","",IF(INDEX(tblServicios[Conductor],$BA1176)=$T$2,"Conductor",IF(INDEX(tblServicios[Personal adicional],$BA1176)=$T$2,"Personal adicional","")))</f>
        <v/>
      </c>
      <c r="BA1176" s="33" t="str" cm="1">
        <f t="array" ref="BA11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adicional]=$T$2))&gt;0)),ROW(A1178)),"")</f>
        <v/>
      </c>
    </row>
    <row r="1177" spans="16:53" x14ac:dyDescent="0.35">
      <c r="P1177" t="str" cm="1">
        <f t="array" ref="P1177">IF($BA1177="","",INDEX(tblServicios[Contrato],$BA1177))</f>
        <v/>
      </c>
      <c r="Q1177" t="str" cm="1">
        <f t="array" ref="Q1177">IF($BA1177="","",INDEX(tblServicios[Vehículo],$BA1177))</f>
        <v/>
      </c>
      <c r="T1177" t="str" cm="1">
        <f t="array" ref="T1177">IF($BA1177="","",INDEX(tblServicios[Tipo suplemento],$BA1177))</f>
        <v/>
      </c>
      <c r="V1177" t="str" cm="1">
        <f t="array" ref="V1177">IF($BA1177="","",IF(INDEX(tblServicios[Conductor],$BA1177)=$T$2,"Conductor",IF(INDEX(tblServicios[Personal adicional],$BA1177)=$T$2,"Personal adicional","")))</f>
        <v/>
      </c>
      <c r="BA1177" s="33" t="str" cm="1">
        <f t="array" ref="BA11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adicional]=$T$2))&gt;0)),ROW(A1179)),"")</f>
        <v/>
      </c>
    </row>
    <row r="1178" spans="16:53" x14ac:dyDescent="0.35">
      <c r="P1178" t="str" cm="1">
        <f t="array" ref="P1178">IF($BA1178="","",INDEX(tblServicios[Contrato],$BA1178))</f>
        <v/>
      </c>
      <c r="Q1178" t="str" cm="1">
        <f t="array" ref="Q1178">IF($BA1178="","",INDEX(tblServicios[Vehículo],$BA1178))</f>
        <v/>
      </c>
      <c r="T1178" t="str" cm="1">
        <f t="array" ref="T1178">IF($BA1178="","",INDEX(tblServicios[Tipo suplemento],$BA1178))</f>
        <v/>
      </c>
      <c r="V1178" t="str" cm="1">
        <f t="array" ref="V1178">IF($BA1178="","",IF(INDEX(tblServicios[Conductor],$BA1178)=$T$2,"Conductor",IF(INDEX(tblServicios[Personal adicional],$BA1178)=$T$2,"Personal adicional","")))</f>
        <v/>
      </c>
      <c r="BA1178" s="33" t="str" cm="1">
        <f t="array" ref="BA11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adicional]=$T$2))&gt;0)),ROW(A1180)),"")</f>
        <v/>
      </c>
    </row>
    <row r="1179" spans="16:53" x14ac:dyDescent="0.35">
      <c r="P1179" t="str" cm="1">
        <f t="array" ref="P1179">IF($BA1179="","",INDEX(tblServicios[Contrato],$BA1179))</f>
        <v/>
      </c>
      <c r="Q1179" t="str" cm="1">
        <f t="array" ref="Q1179">IF($BA1179="","",INDEX(tblServicios[Vehículo],$BA1179))</f>
        <v/>
      </c>
      <c r="T1179" t="str" cm="1">
        <f t="array" ref="T1179">IF($BA1179="","",INDEX(tblServicios[Tipo suplemento],$BA1179))</f>
        <v/>
      </c>
      <c r="V1179" t="str" cm="1">
        <f t="array" ref="V1179">IF($BA1179="","",IF(INDEX(tblServicios[Conductor],$BA1179)=$T$2,"Conductor",IF(INDEX(tblServicios[Personal adicional],$BA1179)=$T$2,"Personal adicional","")))</f>
        <v/>
      </c>
      <c r="BA1179" s="33" t="str" cm="1">
        <f t="array" ref="BA11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adicional]=$T$2))&gt;0)),ROW(A1181)),"")</f>
        <v/>
      </c>
    </row>
    <row r="1180" spans="16:53" x14ac:dyDescent="0.35">
      <c r="P1180" t="str" cm="1">
        <f t="array" ref="P1180">IF($BA1180="","",INDEX(tblServicios[Contrato],$BA1180))</f>
        <v/>
      </c>
      <c r="Q1180" t="str" cm="1">
        <f t="array" ref="Q1180">IF($BA1180="","",INDEX(tblServicios[Vehículo],$BA1180))</f>
        <v/>
      </c>
      <c r="T1180" t="str" cm="1">
        <f t="array" ref="T1180">IF($BA1180="","",INDEX(tblServicios[Tipo suplemento],$BA1180))</f>
        <v/>
      </c>
      <c r="V1180" t="str" cm="1">
        <f t="array" ref="V1180">IF($BA1180="","",IF(INDEX(tblServicios[Conductor],$BA1180)=$T$2,"Conductor",IF(INDEX(tblServicios[Personal adicional],$BA1180)=$T$2,"Personal adicional","")))</f>
        <v/>
      </c>
      <c r="BA1180" s="33" t="str" cm="1">
        <f t="array" ref="BA11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adicional]=$T$2))&gt;0)),ROW(A1182)),"")</f>
        <v/>
      </c>
    </row>
    <row r="1181" spans="16:53" x14ac:dyDescent="0.35">
      <c r="P1181" t="str" cm="1">
        <f t="array" ref="P1181">IF($BA1181="","",INDEX(tblServicios[Contrato],$BA1181))</f>
        <v/>
      </c>
      <c r="Q1181" t="str" cm="1">
        <f t="array" ref="Q1181">IF($BA1181="","",INDEX(tblServicios[Vehículo],$BA1181))</f>
        <v/>
      </c>
      <c r="T1181" t="str" cm="1">
        <f t="array" ref="T1181">IF($BA1181="","",INDEX(tblServicios[Tipo suplemento],$BA1181))</f>
        <v/>
      </c>
      <c r="V1181" t="str" cm="1">
        <f t="array" ref="V1181">IF($BA1181="","",IF(INDEX(tblServicios[Conductor],$BA1181)=$T$2,"Conductor",IF(INDEX(tblServicios[Personal adicional],$BA1181)=$T$2,"Personal adicional","")))</f>
        <v/>
      </c>
      <c r="BA1181" s="33" t="str" cm="1">
        <f t="array" ref="BA11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adicional]=$T$2))&gt;0)),ROW(A1183)),"")</f>
        <v/>
      </c>
    </row>
    <row r="1182" spans="16:53" x14ac:dyDescent="0.35">
      <c r="P1182" t="str" cm="1">
        <f t="array" ref="P1182">IF($BA1182="","",INDEX(tblServicios[Contrato],$BA1182))</f>
        <v/>
      </c>
      <c r="Q1182" t="str" cm="1">
        <f t="array" ref="Q1182">IF($BA1182="","",INDEX(tblServicios[Vehículo],$BA1182))</f>
        <v/>
      </c>
      <c r="T1182" t="str" cm="1">
        <f t="array" ref="T1182">IF($BA1182="","",INDEX(tblServicios[Tipo suplemento],$BA1182))</f>
        <v/>
      </c>
      <c r="V1182" t="str" cm="1">
        <f t="array" ref="V1182">IF($BA1182="","",IF(INDEX(tblServicios[Conductor],$BA1182)=$T$2,"Conductor",IF(INDEX(tblServicios[Personal adicional],$BA1182)=$T$2,"Personal adicional","")))</f>
        <v/>
      </c>
      <c r="BA1182" s="33" t="str" cm="1">
        <f t="array" ref="BA11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adicional]=$T$2))&gt;0)),ROW(A1184)),"")</f>
        <v/>
      </c>
    </row>
    <row r="1183" spans="16:53" x14ac:dyDescent="0.35">
      <c r="P1183" t="str" cm="1">
        <f t="array" ref="P1183">IF($BA1183="","",INDEX(tblServicios[Contrato],$BA1183))</f>
        <v/>
      </c>
      <c r="Q1183" t="str" cm="1">
        <f t="array" ref="Q1183">IF($BA1183="","",INDEX(tblServicios[Vehículo],$BA1183))</f>
        <v/>
      </c>
      <c r="T1183" t="str" cm="1">
        <f t="array" ref="T1183">IF($BA1183="","",INDEX(tblServicios[Tipo suplemento],$BA1183))</f>
        <v/>
      </c>
      <c r="V1183" t="str" cm="1">
        <f t="array" ref="V1183">IF($BA1183="","",IF(INDEX(tblServicios[Conductor],$BA1183)=$T$2,"Conductor",IF(INDEX(tblServicios[Personal adicional],$BA1183)=$T$2,"Personal adicional","")))</f>
        <v/>
      </c>
      <c r="BA1183" s="33" t="str" cm="1">
        <f t="array" ref="BA11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adicional]=$T$2))&gt;0)),ROW(A1185)),"")</f>
        <v/>
      </c>
    </row>
    <row r="1184" spans="16:53" x14ac:dyDescent="0.35">
      <c r="P1184" t="str" cm="1">
        <f t="array" ref="P1184">IF($BA1184="","",INDEX(tblServicios[Contrato],$BA1184))</f>
        <v/>
      </c>
      <c r="Q1184" t="str" cm="1">
        <f t="array" ref="Q1184">IF($BA1184="","",INDEX(tblServicios[Vehículo],$BA1184))</f>
        <v/>
      </c>
      <c r="T1184" t="str" cm="1">
        <f t="array" ref="T1184">IF($BA1184="","",INDEX(tblServicios[Tipo suplemento],$BA1184))</f>
        <v/>
      </c>
      <c r="V1184" t="str" cm="1">
        <f t="array" ref="V1184">IF($BA1184="","",IF(INDEX(tblServicios[Conductor],$BA1184)=$T$2,"Conductor",IF(INDEX(tblServicios[Personal adicional],$BA1184)=$T$2,"Personal adicional","")))</f>
        <v/>
      </c>
      <c r="BA1184" s="33" t="str" cm="1">
        <f t="array" ref="BA11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adicional]=$T$2))&gt;0)),ROW(A1186)),"")</f>
        <v/>
      </c>
    </row>
    <row r="1185" spans="16:53" x14ac:dyDescent="0.35">
      <c r="P1185" t="str" cm="1">
        <f t="array" ref="P1185">IF($BA1185="","",INDEX(tblServicios[Contrato],$BA1185))</f>
        <v/>
      </c>
      <c r="Q1185" t="str" cm="1">
        <f t="array" ref="Q1185">IF($BA1185="","",INDEX(tblServicios[Vehículo],$BA1185))</f>
        <v/>
      </c>
      <c r="T1185" t="str" cm="1">
        <f t="array" ref="T1185">IF($BA1185="","",INDEX(tblServicios[Tipo suplemento],$BA1185))</f>
        <v/>
      </c>
      <c r="V1185" t="str" cm="1">
        <f t="array" ref="V1185">IF($BA1185="","",IF(INDEX(tblServicios[Conductor],$BA1185)=$T$2,"Conductor",IF(INDEX(tblServicios[Personal adicional],$BA1185)=$T$2,"Personal adicional","")))</f>
        <v/>
      </c>
      <c r="BA1185" s="33" t="str" cm="1">
        <f t="array" ref="BA11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adicional]=$T$2))&gt;0)),ROW(A1187)),"")</f>
        <v/>
      </c>
    </row>
    <row r="1186" spans="16:53" x14ac:dyDescent="0.35">
      <c r="P1186" t="str" cm="1">
        <f t="array" ref="P1186">IF($BA1186="","",INDEX(tblServicios[Contrato],$BA1186))</f>
        <v/>
      </c>
      <c r="Q1186" t="str" cm="1">
        <f t="array" ref="Q1186">IF($BA1186="","",INDEX(tblServicios[Vehículo],$BA1186))</f>
        <v/>
      </c>
      <c r="T1186" t="str" cm="1">
        <f t="array" ref="T1186">IF($BA1186="","",INDEX(tblServicios[Tipo suplemento],$BA1186))</f>
        <v/>
      </c>
      <c r="V1186" t="str" cm="1">
        <f t="array" ref="V1186">IF($BA1186="","",IF(INDEX(tblServicios[Conductor],$BA1186)=$T$2,"Conductor",IF(INDEX(tblServicios[Personal adicional],$BA1186)=$T$2,"Personal adicional","")))</f>
        <v/>
      </c>
      <c r="BA1186" s="33" t="str" cm="1">
        <f t="array" ref="BA11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adicional]=$T$2))&gt;0)),ROW(A1188)),"")</f>
        <v/>
      </c>
    </row>
    <row r="1187" spans="16:53" x14ac:dyDescent="0.35">
      <c r="P1187" t="str" cm="1">
        <f t="array" ref="P1187">IF($BA1187="","",INDEX(tblServicios[Contrato],$BA1187))</f>
        <v/>
      </c>
      <c r="Q1187" t="str" cm="1">
        <f t="array" ref="Q1187">IF($BA1187="","",INDEX(tblServicios[Vehículo],$BA1187))</f>
        <v/>
      </c>
      <c r="T1187" t="str" cm="1">
        <f t="array" ref="T1187">IF($BA1187="","",INDEX(tblServicios[Tipo suplemento],$BA1187))</f>
        <v/>
      </c>
      <c r="V1187" t="str" cm="1">
        <f t="array" ref="V1187">IF($BA1187="","",IF(INDEX(tblServicios[Conductor],$BA1187)=$T$2,"Conductor",IF(INDEX(tblServicios[Personal adicional],$BA1187)=$T$2,"Personal adicional","")))</f>
        <v/>
      </c>
      <c r="BA1187" s="33" t="str" cm="1">
        <f t="array" ref="BA11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adicional]=$T$2))&gt;0)),ROW(A1189)),"")</f>
        <v/>
      </c>
    </row>
    <row r="1188" spans="16:53" x14ac:dyDescent="0.35">
      <c r="P1188" t="str" cm="1">
        <f t="array" ref="P1188">IF($BA1188="","",INDEX(tblServicios[Contrato],$BA1188))</f>
        <v/>
      </c>
      <c r="Q1188" t="str" cm="1">
        <f t="array" ref="Q1188">IF($BA1188="","",INDEX(tblServicios[Vehículo],$BA1188))</f>
        <v/>
      </c>
      <c r="T1188" t="str" cm="1">
        <f t="array" ref="T1188">IF($BA1188="","",INDEX(tblServicios[Tipo suplemento],$BA1188))</f>
        <v/>
      </c>
      <c r="V1188" t="str" cm="1">
        <f t="array" ref="V1188">IF($BA1188="","",IF(INDEX(tblServicios[Conductor],$BA1188)=$T$2,"Conductor",IF(INDEX(tblServicios[Personal adicional],$BA1188)=$T$2,"Personal adicional","")))</f>
        <v/>
      </c>
      <c r="BA1188" s="33" t="str" cm="1">
        <f t="array" ref="BA11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adicional]=$T$2))&gt;0)),ROW(A1190)),"")</f>
        <v/>
      </c>
    </row>
    <row r="1189" spans="16:53" x14ac:dyDescent="0.35">
      <c r="P1189" t="str" cm="1">
        <f t="array" ref="P1189">IF($BA1189="","",INDEX(tblServicios[Contrato],$BA1189))</f>
        <v/>
      </c>
      <c r="Q1189" t="str" cm="1">
        <f t="array" ref="Q1189">IF($BA1189="","",INDEX(tblServicios[Vehículo],$BA1189))</f>
        <v/>
      </c>
      <c r="T1189" t="str" cm="1">
        <f t="array" ref="T1189">IF($BA1189="","",INDEX(tblServicios[Tipo suplemento],$BA1189))</f>
        <v/>
      </c>
      <c r="V1189" t="str" cm="1">
        <f t="array" ref="V1189">IF($BA1189="","",IF(INDEX(tblServicios[Conductor],$BA1189)=$T$2,"Conductor",IF(INDEX(tblServicios[Personal adicional],$BA1189)=$T$2,"Personal adicional","")))</f>
        <v/>
      </c>
      <c r="BA1189" s="33" t="str" cm="1">
        <f t="array" ref="BA11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adicional]=$T$2))&gt;0)),ROW(A1191)),"")</f>
        <v/>
      </c>
    </row>
    <row r="1190" spans="16:53" x14ac:dyDescent="0.35">
      <c r="P1190" t="str" cm="1">
        <f t="array" ref="P1190">IF($BA1190="","",INDEX(tblServicios[Contrato],$BA1190))</f>
        <v/>
      </c>
      <c r="Q1190" t="str" cm="1">
        <f t="array" ref="Q1190">IF($BA1190="","",INDEX(tblServicios[Vehículo],$BA1190))</f>
        <v/>
      </c>
      <c r="T1190" t="str" cm="1">
        <f t="array" ref="T1190">IF($BA1190="","",INDEX(tblServicios[Tipo suplemento],$BA1190))</f>
        <v/>
      </c>
      <c r="V1190" t="str" cm="1">
        <f t="array" ref="V1190">IF($BA1190="","",IF(INDEX(tblServicios[Conductor],$BA1190)=$T$2,"Conductor",IF(INDEX(tblServicios[Personal adicional],$BA1190)=$T$2,"Personal adicional","")))</f>
        <v/>
      </c>
      <c r="BA1190" s="33" t="str" cm="1">
        <f t="array" ref="BA11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adicional]=$T$2))&gt;0)),ROW(A1192)),"")</f>
        <v/>
      </c>
    </row>
    <row r="1191" spans="16:53" x14ac:dyDescent="0.35">
      <c r="P1191" t="str" cm="1">
        <f t="array" ref="P1191">IF($BA1191="","",INDEX(tblServicios[Contrato],$BA1191))</f>
        <v/>
      </c>
      <c r="Q1191" t="str" cm="1">
        <f t="array" ref="Q1191">IF($BA1191="","",INDEX(tblServicios[Vehículo],$BA1191))</f>
        <v/>
      </c>
      <c r="T1191" t="str" cm="1">
        <f t="array" ref="T1191">IF($BA1191="","",INDEX(tblServicios[Tipo suplemento],$BA1191))</f>
        <v/>
      </c>
      <c r="V1191" t="str" cm="1">
        <f t="array" ref="V1191">IF($BA1191="","",IF(INDEX(tblServicios[Conductor],$BA1191)=$T$2,"Conductor",IF(INDEX(tblServicios[Personal adicional],$BA1191)=$T$2,"Personal adicional","")))</f>
        <v/>
      </c>
      <c r="BA1191" s="33" t="str" cm="1">
        <f t="array" ref="BA11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adicional]=$T$2))&gt;0)),ROW(A1193)),"")</f>
        <v/>
      </c>
    </row>
    <row r="1192" spans="16:53" x14ac:dyDescent="0.35">
      <c r="P1192" t="str" cm="1">
        <f t="array" ref="P1192">IF($BA1192="","",INDEX(tblServicios[Contrato],$BA1192))</f>
        <v/>
      </c>
      <c r="Q1192" t="str" cm="1">
        <f t="array" ref="Q1192">IF($BA1192="","",INDEX(tblServicios[Vehículo],$BA1192))</f>
        <v/>
      </c>
      <c r="T1192" t="str" cm="1">
        <f t="array" ref="T1192">IF($BA1192="","",INDEX(tblServicios[Tipo suplemento],$BA1192))</f>
        <v/>
      </c>
      <c r="V1192" t="str" cm="1">
        <f t="array" ref="V1192">IF($BA1192="","",IF(INDEX(tblServicios[Conductor],$BA1192)=$T$2,"Conductor",IF(INDEX(tblServicios[Personal adicional],$BA1192)=$T$2,"Personal adicional","")))</f>
        <v/>
      </c>
      <c r="BA1192" s="33" t="str" cm="1">
        <f t="array" ref="BA11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adicional]=$T$2))&gt;0)),ROW(A1194)),"")</f>
        <v/>
      </c>
    </row>
    <row r="1193" spans="16:53" x14ac:dyDescent="0.35">
      <c r="P1193" t="str" cm="1">
        <f t="array" ref="P1193">IF($BA1193="","",INDEX(tblServicios[Contrato],$BA1193))</f>
        <v/>
      </c>
      <c r="Q1193" t="str" cm="1">
        <f t="array" ref="Q1193">IF($BA1193="","",INDEX(tblServicios[Vehículo],$BA1193))</f>
        <v/>
      </c>
      <c r="T1193" t="str" cm="1">
        <f t="array" ref="T1193">IF($BA1193="","",INDEX(tblServicios[Tipo suplemento],$BA1193))</f>
        <v/>
      </c>
      <c r="V1193" t="str" cm="1">
        <f t="array" ref="V1193">IF($BA1193="","",IF(INDEX(tblServicios[Conductor],$BA1193)=$T$2,"Conductor",IF(INDEX(tblServicios[Personal adicional],$BA1193)=$T$2,"Personal adicional","")))</f>
        <v/>
      </c>
      <c r="BA1193" s="33" t="str" cm="1">
        <f t="array" ref="BA11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adicional]=$T$2))&gt;0)),ROW(A1195)),"")</f>
        <v/>
      </c>
    </row>
    <row r="1194" spans="16:53" x14ac:dyDescent="0.35">
      <c r="P1194" t="str" cm="1">
        <f t="array" ref="P1194">IF($BA1194="","",INDEX(tblServicios[Contrato],$BA1194))</f>
        <v/>
      </c>
      <c r="Q1194" t="str" cm="1">
        <f t="array" ref="Q1194">IF($BA1194="","",INDEX(tblServicios[Vehículo],$BA1194))</f>
        <v/>
      </c>
      <c r="T1194" t="str" cm="1">
        <f t="array" ref="T1194">IF($BA1194="","",INDEX(tblServicios[Tipo suplemento],$BA1194))</f>
        <v/>
      </c>
      <c r="V1194" t="str" cm="1">
        <f t="array" ref="V1194">IF($BA1194="","",IF(INDEX(tblServicios[Conductor],$BA1194)=$T$2,"Conductor",IF(INDEX(tblServicios[Personal adicional],$BA1194)=$T$2,"Personal adicional","")))</f>
        <v/>
      </c>
      <c r="BA1194" s="33" t="str" cm="1">
        <f t="array" ref="BA11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adicional]=$T$2))&gt;0)),ROW(A1196)),"")</f>
        <v/>
      </c>
    </row>
    <row r="1195" spans="16:53" x14ac:dyDescent="0.35">
      <c r="P1195" t="str" cm="1">
        <f t="array" ref="P1195">IF($BA1195="","",INDEX(tblServicios[Contrato],$BA1195))</f>
        <v/>
      </c>
      <c r="Q1195" t="str" cm="1">
        <f t="array" ref="Q1195">IF($BA1195="","",INDEX(tblServicios[Vehículo],$BA1195))</f>
        <v/>
      </c>
      <c r="T1195" t="str" cm="1">
        <f t="array" ref="T1195">IF($BA1195="","",INDEX(tblServicios[Tipo suplemento],$BA1195))</f>
        <v/>
      </c>
      <c r="V1195" t="str" cm="1">
        <f t="array" ref="V1195">IF($BA1195="","",IF(INDEX(tblServicios[Conductor],$BA1195)=$T$2,"Conductor",IF(INDEX(tblServicios[Personal adicional],$BA1195)=$T$2,"Personal adicional","")))</f>
        <v/>
      </c>
      <c r="BA1195" s="33" t="str" cm="1">
        <f t="array" ref="BA11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adicional]=$T$2))&gt;0)),ROW(A1197)),"")</f>
        <v/>
      </c>
    </row>
    <row r="1196" spans="16:53" x14ac:dyDescent="0.35">
      <c r="P1196" t="str" cm="1">
        <f t="array" ref="P1196">IF($BA1196="","",INDEX(tblServicios[Contrato],$BA1196))</f>
        <v/>
      </c>
      <c r="Q1196" t="str" cm="1">
        <f t="array" ref="Q1196">IF($BA1196="","",INDEX(tblServicios[Vehículo],$BA1196))</f>
        <v/>
      </c>
      <c r="T1196" t="str" cm="1">
        <f t="array" ref="T1196">IF($BA1196="","",INDEX(tblServicios[Tipo suplemento],$BA1196))</f>
        <v/>
      </c>
      <c r="V1196" t="str" cm="1">
        <f t="array" ref="V1196">IF($BA1196="","",IF(INDEX(tblServicios[Conductor],$BA1196)=$T$2,"Conductor",IF(INDEX(tblServicios[Personal adicional],$BA1196)=$T$2,"Personal adicional","")))</f>
        <v/>
      </c>
      <c r="BA1196" s="33" t="str" cm="1">
        <f t="array" ref="BA11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adicional]=$T$2))&gt;0)),ROW(A1198)),"")</f>
        <v/>
      </c>
    </row>
    <row r="1197" spans="16:53" x14ac:dyDescent="0.35">
      <c r="P1197" t="str" cm="1">
        <f t="array" ref="P1197">IF($BA1197="","",INDEX(tblServicios[Contrato],$BA1197))</f>
        <v/>
      </c>
      <c r="Q1197" t="str" cm="1">
        <f t="array" ref="Q1197">IF($BA1197="","",INDEX(tblServicios[Vehículo],$BA1197))</f>
        <v/>
      </c>
      <c r="T1197" t="str" cm="1">
        <f t="array" ref="T1197">IF($BA1197="","",INDEX(tblServicios[Tipo suplemento],$BA1197))</f>
        <v/>
      </c>
      <c r="V1197" t="str" cm="1">
        <f t="array" ref="V1197">IF($BA1197="","",IF(INDEX(tblServicios[Conductor],$BA1197)=$T$2,"Conductor",IF(INDEX(tblServicios[Personal adicional],$BA1197)=$T$2,"Personal adicional","")))</f>
        <v/>
      </c>
      <c r="BA1197" s="33" t="str" cm="1">
        <f t="array" ref="BA11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adicional]=$T$2))&gt;0)),ROW(A1199)),"")</f>
        <v/>
      </c>
    </row>
    <row r="1198" spans="16:53" x14ac:dyDescent="0.35">
      <c r="P1198" t="str" cm="1">
        <f t="array" ref="P1198">IF($BA1198="","",INDEX(tblServicios[Contrato],$BA1198))</f>
        <v/>
      </c>
      <c r="Q1198" t="str" cm="1">
        <f t="array" ref="Q1198">IF($BA1198="","",INDEX(tblServicios[Vehículo],$BA1198))</f>
        <v/>
      </c>
      <c r="T1198" t="str" cm="1">
        <f t="array" ref="T1198">IF($BA1198="","",INDEX(tblServicios[Tipo suplemento],$BA1198))</f>
        <v/>
      </c>
      <c r="V1198" t="str" cm="1">
        <f t="array" ref="V1198">IF($BA1198="","",IF(INDEX(tblServicios[Conductor],$BA1198)=$T$2,"Conductor",IF(INDEX(tblServicios[Personal adicional],$BA1198)=$T$2,"Personal adicional","")))</f>
        <v/>
      </c>
      <c r="BA1198" s="33" t="str" cm="1">
        <f t="array" ref="BA11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adicional]=$T$2))&gt;0)),ROW(A1200)),"")</f>
        <v/>
      </c>
    </row>
    <row r="1199" spans="16:53" x14ac:dyDescent="0.35">
      <c r="P1199" t="str" cm="1">
        <f t="array" ref="P1199">IF($BA1199="","",INDEX(tblServicios[Contrato],$BA1199))</f>
        <v/>
      </c>
      <c r="Q1199" t="str" cm="1">
        <f t="array" ref="Q1199">IF($BA1199="","",INDEX(tblServicios[Vehículo],$BA1199))</f>
        <v/>
      </c>
      <c r="T1199" t="str" cm="1">
        <f t="array" ref="T1199">IF($BA1199="","",INDEX(tblServicios[Tipo suplemento],$BA1199))</f>
        <v/>
      </c>
      <c r="V1199" t="str" cm="1">
        <f t="array" ref="V1199">IF($BA1199="","",IF(INDEX(tblServicios[Conductor],$BA1199)=$T$2,"Conductor",IF(INDEX(tblServicios[Personal adicional],$BA1199)=$T$2,"Personal adicional","")))</f>
        <v/>
      </c>
      <c r="BA1199" s="33" t="str" cm="1">
        <f t="array" ref="BA11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adicional]=$T$2))&gt;0)),ROW(A1201)),"")</f>
        <v/>
      </c>
    </row>
    <row r="1200" spans="16:53" x14ac:dyDescent="0.35">
      <c r="P1200" t="str" cm="1">
        <f t="array" ref="P1200">IF($BA1200="","",INDEX(tblServicios[Contrato],$BA1200))</f>
        <v/>
      </c>
      <c r="Q1200" t="str" cm="1">
        <f t="array" ref="Q1200">IF($BA1200="","",INDEX(tblServicios[Vehículo],$BA1200))</f>
        <v/>
      </c>
      <c r="T1200" t="str" cm="1">
        <f t="array" ref="T1200">IF($BA1200="","",INDEX(tblServicios[Tipo suplemento],$BA1200))</f>
        <v/>
      </c>
      <c r="V1200" t="str" cm="1">
        <f t="array" ref="V1200">IF($BA1200="","",IF(INDEX(tblServicios[Conductor],$BA1200)=$T$2,"Conductor",IF(INDEX(tblServicios[Personal adicional],$BA1200)=$T$2,"Personal adicional","")))</f>
        <v/>
      </c>
      <c r="BA1200" s="33" t="str" cm="1">
        <f t="array" ref="BA12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adicional]=$T$2))&gt;0)),ROW(A1202)),"")</f>
        <v/>
      </c>
    </row>
    <row r="1201" spans="16:53" x14ac:dyDescent="0.35">
      <c r="P1201" t="str" cm="1">
        <f t="array" ref="P1201">IF($BA1201="","",INDEX(tblServicios[Contrato],$BA1201))</f>
        <v/>
      </c>
      <c r="Q1201" t="str" cm="1">
        <f t="array" ref="Q1201">IF($BA1201="","",INDEX(tblServicios[Vehículo],$BA1201))</f>
        <v/>
      </c>
      <c r="T1201" t="str" cm="1">
        <f t="array" ref="T1201">IF($BA1201="","",INDEX(tblServicios[Tipo suplemento],$BA1201))</f>
        <v/>
      </c>
      <c r="V1201" t="str" cm="1">
        <f t="array" ref="V1201">IF($BA1201="","",IF(INDEX(tblServicios[Conductor],$BA1201)=$T$2,"Conductor",IF(INDEX(tblServicios[Personal adicional],$BA1201)=$T$2,"Personal adicional","")))</f>
        <v/>
      </c>
      <c r="BA1201" s="33" t="str" cm="1">
        <f t="array" ref="BA12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adicional]=$T$2))&gt;0)),ROW(A1203)),"")</f>
        <v/>
      </c>
    </row>
    <row r="1202" spans="16:53" x14ac:dyDescent="0.35">
      <c r="P1202" t="str" cm="1">
        <f t="array" ref="P1202">IF($BA1202="","",INDEX(tblServicios[Contrato],$BA1202))</f>
        <v/>
      </c>
      <c r="Q1202" t="str" cm="1">
        <f t="array" ref="Q1202">IF($BA1202="","",INDEX(tblServicios[Vehículo],$BA1202))</f>
        <v/>
      </c>
      <c r="T1202" t="str" cm="1">
        <f t="array" ref="T1202">IF($BA1202="","",INDEX(tblServicios[Tipo suplemento],$BA1202))</f>
        <v/>
      </c>
      <c r="V1202" t="str" cm="1">
        <f t="array" ref="V1202">IF($BA1202="","",IF(INDEX(tblServicios[Conductor],$BA1202)=$T$2,"Conductor",IF(INDEX(tblServicios[Personal adicional],$BA1202)=$T$2,"Personal adicional","")))</f>
        <v/>
      </c>
      <c r="BA1202" s="33" t="str" cm="1">
        <f t="array" ref="BA12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adicional]=$T$2))&gt;0)),ROW(A1204)),"")</f>
        <v/>
      </c>
    </row>
    <row r="1203" spans="16:53" x14ac:dyDescent="0.35">
      <c r="P1203" t="str" cm="1">
        <f t="array" ref="P1203">IF($BA1203="","",INDEX(tblServicios[Contrato],$BA1203))</f>
        <v/>
      </c>
      <c r="Q1203" t="str" cm="1">
        <f t="array" ref="Q1203">IF($BA1203="","",INDEX(tblServicios[Vehículo],$BA1203))</f>
        <v/>
      </c>
      <c r="T1203" t="str" cm="1">
        <f t="array" ref="T1203">IF($BA1203="","",INDEX(tblServicios[Tipo suplemento],$BA1203))</f>
        <v/>
      </c>
      <c r="V1203" t="str" cm="1">
        <f t="array" ref="V1203">IF($BA1203="","",IF(INDEX(tblServicios[Conductor],$BA1203)=$T$2,"Conductor",IF(INDEX(tblServicios[Personal adicional],$BA1203)=$T$2,"Personal adicional","")))</f>
        <v/>
      </c>
      <c r="BA1203" s="33" t="str" cm="1">
        <f t="array" ref="BA12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adicional]=$T$2))&gt;0)),ROW(A1205)),"")</f>
        <v/>
      </c>
    </row>
    <row r="1204" spans="16:53" x14ac:dyDescent="0.35">
      <c r="P1204" t="str" cm="1">
        <f t="array" ref="P1204">IF($BA1204="","",INDEX(tblServicios[Contrato],$BA1204))</f>
        <v/>
      </c>
      <c r="Q1204" t="str" cm="1">
        <f t="array" ref="Q1204">IF($BA1204="","",INDEX(tblServicios[Vehículo],$BA1204))</f>
        <v/>
      </c>
      <c r="T1204" t="str" cm="1">
        <f t="array" ref="T1204">IF($BA1204="","",INDEX(tblServicios[Tipo suplemento],$BA1204))</f>
        <v/>
      </c>
      <c r="V1204" t="str" cm="1">
        <f t="array" ref="V1204">IF($BA1204="","",IF(INDEX(tblServicios[Conductor],$BA1204)=$T$2,"Conductor",IF(INDEX(tblServicios[Personal adicional],$BA1204)=$T$2,"Personal adicional","")))</f>
        <v/>
      </c>
      <c r="BA1204" s="33" t="str" cm="1">
        <f t="array" ref="BA12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adicional]=$T$2))&gt;0)),ROW(A1206)),"")</f>
        <v/>
      </c>
    </row>
    <row r="1205" spans="16:53" x14ac:dyDescent="0.35">
      <c r="P1205" t="str" cm="1">
        <f t="array" ref="P1205">IF($BA1205="","",INDEX(tblServicios[Contrato],$BA1205))</f>
        <v/>
      </c>
      <c r="Q1205" t="str" cm="1">
        <f t="array" ref="Q1205">IF($BA1205="","",INDEX(tblServicios[Vehículo],$BA1205))</f>
        <v/>
      </c>
      <c r="T1205" t="str" cm="1">
        <f t="array" ref="T1205">IF($BA1205="","",INDEX(tblServicios[Tipo suplemento],$BA1205))</f>
        <v/>
      </c>
      <c r="V1205" t="str" cm="1">
        <f t="array" ref="V1205">IF($BA1205="","",IF(INDEX(tblServicios[Conductor],$BA1205)=$T$2,"Conductor",IF(INDEX(tblServicios[Personal adicional],$BA1205)=$T$2,"Personal adicional","")))</f>
        <v/>
      </c>
      <c r="BA1205" s="33" t="str" cm="1">
        <f t="array" ref="BA12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adicional]=$T$2))&gt;0)),ROW(A1207)),"")</f>
        <v/>
      </c>
    </row>
    <row r="1206" spans="16:53" x14ac:dyDescent="0.35">
      <c r="P1206" t="str" cm="1">
        <f t="array" ref="P1206">IF($BA1206="","",INDEX(tblServicios[Contrato],$BA1206))</f>
        <v/>
      </c>
      <c r="Q1206" t="str" cm="1">
        <f t="array" ref="Q1206">IF($BA1206="","",INDEX(tblServicios[Vehículo],$BA1206))</f>
        <v/>
      </c>
      <c r="T1206" t="str" cm="1">
        <f t="array" ref="T1206">IF($BA1206="","",INDEX(tblServicios[Tipo suplemento],$BA1206))</f>
        <v/>
      </c>
      <c r="V1206" t="str" cm="1">
        <f t="array" ref="V1206">IF($BA1206="","",IF(INDEX(tblServicios[Conductor],$BA1206)=$T$2,"Conductor",IF(INDEX(tblServicios[Personal adicional],$BA1206)=$T$2,"Personal adicional","")))</f>
        <v/>
      </c>
      <c r="BA1206" s="33" t="str" cm="1">
        <f t="array" ref="BA12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adicional]=$T$2))&gt;0)),ROW(A1208)),"")</f>
        <v/>
      </c>
    </row>
    <row r="1207" spans="16:53" x14ac:dyDescent="0.35">
      <c r="P1207" t="str" cm="1">
        <f t="array" ref="P1207">IF($BA1207="","",INDEX(tblServicios[Contrato],$BA1207))</f>
        <v/>
      </c>
      <c r="Q1207" t="str" cm="1">
        <f t="array" ref="Q1207">IF($BA1207="","",INDEX(tblServicios[Vehículo],$BA1207))</f>
        <v/>
      </c>
      <c r="T1207" t="str" cm="1">
        <f t="array" ref="T1207">IF($BA1207="","",INDEX(tblServicios[Tipo suplemento],$BA1207))</f>
        <v/>
      </c>
      <c r="V1207" t="str" cm="1">
        <f t="array" ref="V1207">IF($BA1207="","",IF(INDEX(tblServicios[Conductor],$BA1207)=$T$2,"Conductor",IF(INDEX(tblServicios[Personal adicional],$BA1207)=$T$2,"Personal adicional","")))</f>
        <v/>
      </c>
      <c r="BA1207" s="33" t="str" cm="1">
        <f t="array" ref="BA12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adicional]=$T$2))&gt;0)),ROW(A1209)),"")</f>
        <v/>
      </c>
    </row>
    <row r="1208" spans="16:53" x14ac:dyDescent="0.35">
      <c r="P1208" t="str" cm="1">
        <f t="array" ref="P1208">IF($BA1208="","",INDEX(tblServicios[Contrato],$BA1208))</f>
        <v/>
      </c>
      <c r="Q1208" t="str" cm="1">
        <f t="array" ref="Q1208">IF($BA1208="","",INDEX(tblServicios[Vehículo],$BA1208))</f>
        <v/>
      </c>
      <c r="T1208" t="str" cm="1">
        <f t="array" ref="T1208">IF($BA1208="","",INDEX(tblServicios[Tipo suplemento],$BA1208))</f>
        <v/>
      </c>
      <c r="V1208" t="str" cm="1">
        <f t="array" ref="V1208">IF($BA1208="","",IF(INDEX(tblServicios[Conductor],$BA1208)=$T$2,"Conductor",IF(INDEX(tblServicios[Personal adicional],$BA1208)=$T$2,"Personal adicional","")))</f>
        <v/>
      </c>
      <c r="BA1208" s="33" t="str" cm="1">
        <f t="array" ref="BA12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adicional]=$T$2))&gt;0)),ROW(A1210)),"")</f>
        <v/>
      </c>
    </row>
    <row r="1209" spans="16:53" x14ac:dyDescent="0.35">
      <c r="P1209" t="str" cm="1">
        <f t="array" ref="P1209">IF($BA1209="","",INDEX(tblServicios[Contrato],$BA1209))</f>
        <v/>
      </c>
      <c r="Q1209" t="str" cm="1">
        <f t="array" ref="Q1209">IF($BA1209="","",INDEX(tblServicios[Vehículo],$BA1209))</f>
        <v/>
      </c>
      <c r="T1209" t="str" cm="1">
        <f t="array" ref="T1209">IF($BA1209="","",INDEX(tblServicios[Tipo suplemento],$BA1209))</f>
        <v/>
      </c>
      <c r="V1209" t="str" cm="1">
        <f t="array" ref="V1209">IF($BA1209="","",IF(INDEX(tblServicios[Conductor],$BA1209)=$T$2,"Conductor",IF(INDEX(tblServicios[Personal adicional],$BA1209)=$T$2,"Personal adicional","")))</f>
        <v/>
      </c>
      <c r="BA1209" s="33" t="str" cm="1">
        <f t="array" ref="BA12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adicional]=$T$2))&gt;0)),ROW(A1211)),"")</f>
        <v/>
      </c>
    </row>
    <row r="1210" spans="16:53" x14ac:dyDescent="0.35">
      <c r="P1210" t="str" cm="1">
        <f t="array" ref="P1210">IF($BA1210="","",INDEX(tblServicios[Contrato],$BA1210))</f>
        <v/>
      </c>
      <c r="Q1210" t="str" cm="1">
        <f t="array" ref="Q1210">IF($BA1210="","",INDEX(tblServicios[Vehículo],$BA1210))</f>
        <v/>
      </c>
      <c r="V1210" t="str" cm="1">
        <f t="array" ref="V1210">IF($BA1210="","",IF(INDEX(tblServicios[Conductor],$BA1210)=$T$2,"Conductor",IF(INDEX(tblServicios[Personal adicional],$BA1210)=$T$2,"Personal adicional","")))</f>
        <v/>
      </c>
      <c r="BA1210" s="33" t="str" cm="1">
        <f t="array" ref="BA12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adicional]=$T$2))&gt;0)),ROW(A1212)),"")</f>
        <v/>
      </c>
    </row>
    <row r="1211" spans="16:53" x14ac:dyDescent="0.35">
      <c r="P1211" t="str" cm="1">
        <f t="array" ref="P1211">IF($BA1211="","",INDEX(tblServicios[Contrato],$BA1211))</f>
        <v/>
      </c>
      <c r="Q1211" t="str" cm="1">
        <f t="array" ref="Q1211">IF($BA1211="","",INDEX(tblServicios[Vehículo],$BA1211))</f>
        <v/>
      </c>
      <c r="V1211" t="str" cm="1">
        <f t="array" ref="V1211">IF($BA1211="","",IF(INDEX(tblServicios[Conductor],$BA1211)=$T$2,"Conductor",IF(INDEX(tblServicios[Personal adicional],$BA1211)=$T$2,"Personal adicional","")))</f>
        <v/>
      </c>
      <c r="BA1211" s="33" t="str" cm="1">
        <f t="array" ref="BA12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adicional]=$T$2))&gt;0)),ROW(A1213)),"")</f>
        <v/>
      </c>
    </row>
    <row r="1212" spans="16:53" x14ac:dyDescent="0.35">
      <c r="P1212" t="str" cm="1">
        <f t="array" ref="P1212">IF($BA1212="","",INDEX(tblServicios[Contrato],$BA1212))</f>
        <v/>
      </c>
      <c r="Q1212" t="str" cm="1">
        <f t="array" ref="Q1212">IF($BA1212="","",INDEX(tblServicios[Vehículo],$BA1212))</f>
        <v/>
      </c>
      <c r="V1212" t="str" cm="1">
        <f t="array" ref="V1212">IF($BA1212="","",IF(INDEX(tblServicios[Conductor],$BA1212)=$T$2,"Conductor",IF(INDEX(tblServicios[Personal adicional],$BA1212)=$T$2,"Personal adicional","")))</f>
        <v/>
      </c>
      <c r="BA1212" s="33" t="str" cm="1">
        <f t="array" ref="BA12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adicional]=$T$2))&gt;0)),ROW(A1214)),"")</f>
        <v/>
      </c>
    </row>
    <row r="1213" spans="16:53" x14ac:dyDescent="0.35">
      <c r="P1213" t="str" cm="1">
        <f t="array" ref="P1213">IF($BA1213="","",INDEX(tblServicios[Contrato],$BA1213))</f>
        <v/>
      </c>
      <c r="Q1213" t="str" cm="1">
        <f t="array" ref="Q1213">IF($BA1213="","",INDEX(tblServicios[Vehículo],$BA1213))</f>
        <v/>
      </c>
      <c r="V1213" t="str" cm="1">
        <f t="array" ref="V1213">IF($BA1213="","",IF(INDEX(tblServicios[Conductor],$BA1213)=$T$2,"Conductor",IF(INDEX(tblServicios[Personal adicional],$BA1213)=$T$2,"Personal adicional","")))</f>
        <v/>
      </c>
      <c r="BA1213" s="33" t="str" cm="1">
        <f t="array" ref="BA12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adicional]=$T$2))&gt;0)),ROW(A1215)),"")</f>
        <v/>
      </c>
    </row>
    <row r="1214" spans="16:53" x14ac:dyDescent="0.35">
      <c r="P1214" t="str" cm="1">
        <f t="array" ref="P1214">IF($BA1214="","",INDEX(tblServicios[Contrato],$BA1214))</f>
        <v/>
      </c>
      <c r="Q1214" t="str" cm="1">
        <f t="array" ref="Q1214">IF($BA1214="","",INDEX(tblServicios[Vehículo],$BA1214))</f>
        <v/>
      </c>
      <c r="V1214" t="str" cm="1">
        <f t="array" ref="V1214">IF($BA1214="","",IF(INDEX(tblServicios[Conductor],$BA1214)=$T$2,"Conductor",IF(INDEX(tblServicios[Personal adicional],$BA1214)=$T$2,"Personal adicional","")))</f>
        <v/>
      </c>
      <c r="BA1214" s="33" t="str" cm="1">
        <f t="array" ref="BA12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adicional]=$T$2))&gt;0)),ROW(A1216)),"")</f>
        <v/>
      </c>
    </row>
    <row r="1215" spans="16:53" x14ac:dyDescent="0.35">
      <c r="P1215" t="str" cm="1">
        <f t="array" ref="P1215">IF($BA1215="","",INDEX(tblServicios[Contrato],$BA1215))</f>
        <v/>
      </c>
      <c r="Q1215" t="str" cm="1">
        <f t="array" ref="Q1215">IF($BA1215="","",INDEX(tblServicios[Vehículo],$BA1215))</f>
        <v/>
      </c>
      <c r="V1215" t="str" cm="1">
        <f t="array" ref="V1215">IF($BA1215="","",IF(INDEX(tblServicios[Conductor],$BA1215)=$T$2,"Conductor",IF(INDEX(tblServicios[Personal adicional],$BA1215)=$T$2,"Personal adicional","")))</f>
        <v/>
      </c>
      <c r="BA1215" s="33" t="str" cm="1">
        <f t="array" ref="BA12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adicional]=$T$2))&gt;0)),ROW(A1217)),"")</f>
        <v/>
      </c>
    </row>
    <row r="1216" spans="16:53" x14ac:dyDescent="0.35">
      <c r="P1216" t="str" cm="1">
        <f t="array" ref="P1216">IF($BA1216="","",INDEX(tblServicios[Contrato],$BA1216))</f>
        <v/>
      </c>
      <c r="Q1216" t="str" cm="1">
        <f t="array" ref="Q1216">IF($BA1216="","",INDEX(tblServicios[Vehículo],$BA1216))</f>
        <v/>
      </c>
      <c r="V1216" t="str" cm="1">
        <f t="array" ref="V1216">IF($BA1216="","",IF(INDEX(tblServicios[Conductor],$BA1216)=$T$2,"Conductor",IF(INDEX(tblServicios[Personal adicional],$BA1216)=$T$2,"Personal adicional","")))</f>
        <v/>
      </c>
      <c r="BA1216" s="33" t="str" cm="1">
        <f t="array" ref="BA12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adicional]=$T$2))&gt;0)),ROW(A1218)),"")</f>
        <v/>
      </c>
    </row>
    <row r="1217" spans="16:53" x14ac:dyDescent="0.35">
      <c r="P1217" t="str" cm="1">
        <f t="array" ref="P1217">IF($BA1217="","",INDEX(tblServicios[Contrato],$BA1217))</f>
        <v/>
      </c>
      <c r="Q1217" t="str" cm="1">
        <f t="array" ref="Q1217">IF($BA1217="","",INDEX(tblServicios[Vehículo],$BA1217))</f>
        <v/>
      </c>
      <c r="V1217" t="str" cm="1">
        <f t="array" ref="V1217">IF($BA1217="","",IF(INDEX(tblServicios[Conductor],$BA1217)=$T$2,"Conductor",IF(INDEX(tblServicios[Personal adicional],$BA1217)=$T$2,"Personal adicional","")))</f>
        <v/>
      </c>
      <c r="BA1217" s="33" t="str" cm="1">
        <f t="array" ref="BA12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adicional]=$T$2))&gt;0)),ROW(A1219)),"")</f>
        <v/>
      </c>
    </row>
    <row r="1218" spans="16:53" x14ac:dyDescent="0.35">
      <c r="P1218" t="str" cm="1">
        <f t="array" ref="P1218">IF($BA1218="","",INDEX(tblServicios[Contrato],$BA1218))</f>
        <v/>
      </c>
      <c r="Q1218" t="str" cm="1">
        <f t="array" ref="Q1218">IF($BA1218="","",INDEX(tblServicios[Vehículo],$BA1218))</f>
        <v/>
      </c>
      <c r="V1218" t="str" cm="1">
        <f t="array" ref="V1218">IF($BA1218="","",IF(INDEX(tblServicios[Conductor],$BA1218)=$T$2,"Conductor",IF(INDEX(tblServicios[Personal adicional],$BA1218)=$T$2,"Personal adicional","")))</f>
        <v/>
      </c>
      <c r="BA1218" s="33" t="str" cm="1">
        <f t="array" ref="BA12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adicional]=$T$2))&gt;0)),ROW(A1220)),"")</f>
        <v/>
      </c>
    </row>
    <row r="1219" spans="16:53" x14ac:dyDescent="0.35">
      <c r="P1219" t="str" cm="1">
        <f t="array" ref="P1219">IF($BA1219="","",INDEX(tblServicios[Contrato],$BA1219))</f>
        <v/>
      </c>
      <c r="Q1219" t="str" cm="1">
        <f t="array" ref="Q1219">IF($BA1219="","",INDEX(tblServicios[Vehículo],$BA1219))</f>
        <v/>
      </c>
      <c r="V1219" t="str" cm="1">
        <f t="array" ref="V1219">IF($BA1219="","",IF(INDEX(tblServicios[Conductor],$BA1219)=$T$2,"Conductor",IF(INDEX(tblServicios[Personal adicional],$BA1219)=$T$2,"Personal adicional","")))</f>
        <v/>
      </c>
      <c r="BA1219" s="33" t="str" cm="1">
        <f t="array" ref="BA12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adicional]=$T$2))&gt;0)),ROW(A1221)),"")</f>
        <v/>
      </c>
    </row>
    <row r="1220" spans="16:53" x14ac:dyDescent="0.35">
      <c r="P1220" t="str" cm="1">
        <f t="array" ref="P1220">IF($BA1220="","",INDEX(tblServicios[Contrato],$BA1220))</f>
        <v/>
      </c>
      <c r="Q1220" t="str" cm="1">
        <f t="array" ref="Q1220">IF($BA1220="","",INDEX(tblServicios[Vehículo],$BA1220))</f>
        <v/>
      </c>
      <c r="V1220" t="str" cm="1">
        <f t="array" ref="V1220">IF($BA1220="","",IF(INDEX(tblServicios[Conductor],$BA1220)=$T$2,"Conductor",IF(INDEX(tblServicios[Personal adicional],$BA1220)=$T$2,"Personal adicional","")))</f>
        <v/>
      </c>
      <c r="BA1220" s="33" t="str" cm="1">
        <f t="array" ref="BA12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adicional]=$T$2))&gt;0)),ROW(A1222)),"")</f>
        <v/>
      </c>
    </row>
    <row r="1221" spans="16:53" x14ac:dyDescent="0.35">
      <c r="P1221" t="str" cm="1">
        <f t="array" ref="P1221">IF($BA1221="","",INDEX(tblServicios[Contrato],$BA1221))</f>
        <v/>
      </c>
      <c r="Q1221" t="str" cm="1">
        <f t="array" ref="Q1221">IF($BA1221="","",INDEX(tblServicios[Vehículo],$BA1221))</f>
        <v/>
      </c>
      <c r="V1221" t="str" cm="1">
        <f t="array" ref="V1221">IF($BA1221="","",IF(INDEX(tblServicios[Conductor],$BA1221)=$T$2,"Conductor",IF(INDEX(tblServicios[Personal adicional],$BA1221)=$T$2,"Personal adicional","")))</f>
        <v/>
      </c>
      <c r="BA1221" s="33" t="str" cm="1">
        <f t="array" ref="BA12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adicional]=$T$2))&gt;0)),ROW(A1223)),"")</f>
        <v/>
      </c>
    </row>
    <row r="1222" spans="16:53" x14ac:dyDescent="0.35">
      <c r="P1222" t="str" cm="1">
        <f t="array" ref="P1222">IF($BA1222="","",INDEX(tblServicios[Contrato],$BA1222))</f>
        <v/>
      </c>
      <c r="Q1222" t="str" cm="1">
        <f t="array" ref="Q1222">IF($BA1222="","",INDEX(tblServicios[Vehículo],$BA1222))</f>
        <v/>
      </c>
      <c r="V1222" t="str" cm="1">
        <f t="array" ref="V1222">IF($BA1222="","",IF(INDEX(tblServicios[Conductor],$BA1222)=$T$2,"Conductor",IF(INDEX(tblServicios[Personal adicional],$BA1222)=$T$2,"Personal adicional","")))</f>
        <v/>
      </c>
      <c r="BA1222" s="33" t="str" cm="1">
        <f t="array" ref="BA12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adicional]=$T$2))&gt;0)),ROW(A1224)),"")</f>
        <v/>
      </c>
    </row>
    <row r="1223" spans="16:53" x14ac:dyDescent="0.35">
      <c r="P1223" t="str" cm="1">
        <f t="array" ref="P1223">IF($BA1223="","",INDEX(tblServicios[Contrato],$BA1223))</f>
        <v/>
      </c>
      <c r="Q1223" t="str" cm="1">
        <f t="array" ref="Q1223">IF($BA1223="","",INDEX(tblServicios[Vehículo],$BA1223))</f>
        <v/>
      </c>
      <c r="V1223" t="str" cm="1">
        <f t="array" ref="V1223">IF($BA1223="","",IF(INDEX(tblServicios[Conductor],$BA1223)=$T$2,"Conductor",IF(INDEX(tblServicios[Personal adicional],$BA1223)=$T$2,"Personal adicional","")))</f>
        <v/>
      </c>
      <c r="BA1223" s="33" t="str" cm="1">
        <f t="array" ref="BA12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adicional]=$T$2))&gt;0)),ROW(A1225)),"")</f>
        <v/>
      </c>
    </row>
    <row r="1224" spans="16:53" x14ac:dyDescent="0.35">
      <c r="P1224" t="str" cm="1">
        <f t="array" ref="P1224">IF($BA1224="","",INDEX(tblServicios[Contrato],$BA1224))</f>
        <v/>
      </c>
      <c r="Q1224" t="str" cm="1">
        <f t="array" ref="Q1224">IF($BA1224="","",INDEX(tblServicios[Vehículo],$BA1224))</f>
        <v/>
      </c>
      <c r="V1224" t="str" cm="1">
        <f t="array" ref="V1224">IF($BA1224="","",IF(INDEX(tblServicios[Conductor],$BA1224)=$T$2,"Conductor",IF(INDEX(tblServicios[Personal adicional],$BA1224)=$T$2,"Personal adicional","")))</f>
        <v/>
      </c>
      <c r="BA1224" s="33" t="str" cm="1">
        <f t="array" ref="BA12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adicional]=$T$2))&gt;0)),ROW(A1226)),"")</f>
        <v/>
      </c>
    </row>
    <row r="1225" spans="16:53" x14ac:dyDescent="0.35">
      <c r="P1225" t="str" cm="1">
        <f t="array" ref="P1225">IF($BA1225="","",INDEX(tblServicios[Contrato],$BA1225))</f>
        <v/>
      </c>
      <c r="Q1225" t="str" cm="1">
        <f t="array" ref="Q1225">IF($BA1225="","",INDEX(tblServicios[Vehículo],$BA1225))</f>
        <v/>
      </c>
      <c r="V1225" t="str" cm="1">
        <f t="array" ref="V1225">IF($BA1225="","",IF(INDEX(tblServicios[Conductor],$BA1225)=$T$2,"Conductor",IF(INDEX(tblServicios[Personal adicional],$BA1225)=$T$2,"Personal adicional","")))</f>
        <v/>
      </c>
      <c r="BA1225" s="33" t="str" cm="1">
        <f t="array" ref="BA12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adicional]=$T$2))&gt;0)),ROW(A1227)),"")</f>
        <v/>
      </c>
    </row>
    <row r="1226" spans="16:53" x14ac:dyDescent="0.35">
      <c r="P1226" t="str" cm="1">
        <f t="array" ref="P1226">IF($BA1226="","",INDEX(tblServicios[Contrato],$BA1226))</f>
        <v/>
      </c>
      <c r="Q1226" t="str" cm="1">
        <f t="array" ref="Q1226">IF($BA1226="","",INDEX(tblServicios[Vehículo],$BA1226))</f>
        <v/>
      </c>
      <c r="V1226" t="str" cm="1">
        <f t="array" ref="V1226">IF($BA1226="","",IF(INDEX(tblServicios[Conductor],$BA1226)=$T$2,"Conductor",IF(INDEX(tblServicios[Personal adicional],$BA1226)=$T$2,"Personal adicional","")))</f>
        <v/>
      </c>
      <c r="BA1226" s="33" t="str" cm="1">
        <f t="array" ref="BA12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adicional]=$T$2))&gt;0)),ROW(A1228)),"")</f>
        <v/>
      </c>
    </row>
    <row r="1227" spans="16:53" x14ac:dyDescent="0.35">
      <c r="P1227" t="str" cm="1">
        <f t="array" ref="P1227">IF($BA1227="","",INDEX(tblServicios[Contrato],$BA1227))</f>
        <v/>
      </c>
      <c r="Q1227" t="str" cm="1">
        <f t="array" ref="Q1227">IF($BA1227="","",INDEX(tblServicios[Vehículo],$BA1227))</f>
        <v/>
      </c>
      <c r="V1227" t="str" cm="1">
        <f t="array" ref="V1227">IF($BA1227="","",IF(INDEX(tblServicios[Conductor],$BA1227)=$T$2,"Conductor",IF(INDEX(tblServicios[Personal adicional],$BA1227)=$T$2,"Personal adicional","")))</f>
        <v/>
      </c>
      <c r="BA1227" s="33" t="str" cm="1">
        <f t="array" ref="BA12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adicional]=$T$2))&gt;0)),ROW(A1229)),"")</f>
        <v/>
      </c>
    </row>
    <row r="1228" spans="16:53" x14ac:dyDescent="0.35">
      <c r="P1228" t="str" cm="1">
        <f t="array" ref="P1228">IF($BA1228="","",INDEX(tblServicios[Contrato],$BA1228))</f>
        <v/>
      </c>
      <c r="Q1228" t="str" cm="1">
        <f t="array" ref="Q1228">IF($BA1228="","",INDEX(tblServicios[Vehículo],$BA1228))</f>
        <v/>
      </c>
      <c r="V1228" t="str" cm="1">
        <f t="array" ref="V1228">IF($BA1228="","",IF(INDEX(tblServicios[Conductor],$BA1228)=$T$2,"Conductor",IF(INDEX(tblServicios[Personal adicional],$BA1228)=$T$2,"Personal adicional","")))</f>
        <v/>
      </c>
      <c r="BA1228" s="33" t="str" cm="1">
        <f t="array" ref="BA12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adicional]=$T$2))&gt;0)),ROW(A1230)),"")</f>
        <v/>
      </c>
    </row>
    <row r="1229" spans="16:53" x14ac:dyDescent="0.35">
      <c r="P1229" t="str" cm="1">
        <f t="array" ref="P1229">IF($BA1229="","",INDEX(tblServicios[Contrato],$BA1229))</f>
        <v/>
      </c>
      <c r="Q1229" t="str" cm="1">
        <f t="array" ref="Q1229">IF($BA1229="","",INDEX(tblServicios[Vehículo],$BA1229))</f>
        <v/>
      </c>
      <c r="V1229" t="str" cm="1">
        <f t="array" ref="V1229">IF($BA1229="","",IF(INDEX(tblServicios[Conductor],$BA1229)=$T$2,"Conductor",IF(INDEX(tblServicios[Personal adicional],$BA1229)=$T$2,"Personal adicional","")))</f>
        <v/>
      </c>
      <c r="BA1229" s="33" t="str" cm="1">
        <f t="array" ref="BA12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adicional]=$T$2))&gt;0)),ROW(A1231)),"")</f>
        <v/>
      </c>
    </row>
    <row r="1230" spans="16:53" x14ac:dyDescent="0.35">
      <c r="P1230" t="str" cm="1">
        <f t="array" ref="P1230">IF($BA1230="","",INDEX(tblServicios[Contrato],$BA1230))</f>
        <v/>
      </c>
      <c r="Q1230" t="str" cm="1">
        <f t="array" ref="Q1230">IF($BA1230="","",INDEX(tblServicios[Vehículo],$BA1230))</f>
        <v/>
      </c>
      <c r="V1230" t="str" cm="1">
        <f t="array" ref="V1230">IF($BA1230="","",IF(INDEX(tblServicios[Conductor],$BA1230)=$T$2,"Conductor",IF(INDEX(tblServicios[Personal adicional],$BA1230)=$T$2,"Personal adicional","")))</f>
        <v/>
      </c>
      <c r="BA1230" s="33" t="str" cm="1">
        <f t="array" ref="BA12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adicional]=$T$2))&gt;0)),ROW(A1232)),"")</f>
        <v/>
      </c>
    </row>
    <row r="1231" spans="16:53" x14ac:dyDescent="0.35">
      <c r="P1231" t="str" cm="1">
        <f t="array" ref="P1231">IF($BA1231="","",INDEX(tblServicios[Contrato],$BA1231))</f>
        <v/>
      </c>
      <c r="Q1231" t="str" cm="1">
        <f t="array" ref="Q1231">IF($BA1231="","",INDEX(tblServicios[Vehículo],$BA1231))</f>
        <v/>
      </c>
      <c r="V1231" t="str" cm="1">
        <f t="array" ref="V1231">IF($BA1231="","",IF(INDEX(tblServicios[Conductor],$BA1231)=$T$2,"Conductor",IF(INDEX(tblServicios[Personal adicional],$BA1231)=$T$2,"Personal adicional","")))</f>
        <v/>
      </c>
      <c r="BA1231" s="33" t="str" cm="1">
        <f t="array" ref="BA12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adicional]=$T$2))&gt;0)),ROW(A1233)),"")</f>
        <v/>
      </c>
    </row>
    <row r="1232" spans="16:53" x14ac:dyDescent="0.35">
      <c r="P1232" t="str" cm="1">
        <f t="array" ref="P1232">IF($BA1232="","",INDEX(tblServicios[Contrato],$BA1232))</f>
        <v/>
      </c>
      <c r="Q1232" t="str" cm="1">
        <f t="array" ref="Q1232">IF($BA1232="","",INDEX(tblServicios[Vehículo],$BA1232))</f>
        <v/>
      </c>
      <c r="V1232" t="str" cm="1">
        <f t="array" ref="V1232">IF($BA1232="","",IF(INDEX(tblServicios[Conductor],$BA1232)=$T$2,"Conductor",IF(INDEX(tblServicios[Personal adicional],$BA1232)=$T$2,"Personal adicional","")))</f>
        <v/>
      </c>
      <c r="BA1232" s="33" t="str" cm="1">
        <f t="array" ref="BA12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adicional]=$T$2))&gt;0)),ROW(A1234)),"")</f>
        <v/>
      </c>
    </row>
    <row r="1233" spans="16:53" x14ac:dyDescent="0.35">
      <c r="P1233" t="str" cm="1">
        <f t="array" ref="P1233">IF($BA1233="","",INDEX(tblServicios[Contrato],$BA1233))</f>
        <v/>
      </c>
      <c r="Q1233" t="str" cm="1">
        <f t="array" ref="Q1233">IF($BA1233="","",INDEX(tblServicios[Vehículo],$BA1233))</f>
        <v/>
      </c>
      <c r="V1233" t="str" cm="1">
        <f t="array" ref="V1233">IF($BA1233="","",IF(INDEX(tblServicios[Conductor],$BA1233)=$T$2,"Conductor",IF(INDEX(tblServicios[Personal adicional],$BA1233)=$T$2,"Personal adicional","")))</f>
        <v/>
      </c>
      <c r="BA1233" s="33" t="str" cm="1">
        <f t="array" ref="BA12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adicional]=$T$2))&gt;0)),ROW(A1235)),"")</f>
        <v/>
      </c>
    </row>
    <row r="1234" spans="16:53" x14ac:dyDescent="0.35">
      <c r="P1234" t="str" cm="1">
        <f t="array" ref="P1234">IF($BA1234="","",INDEX(tblServicios[Contrato],$BA1234))</f>
        <v/>
      </c>
      <c r="Q1234" t="str" cm="1">
        <f t="array" ref="Q1234">IF($BA1234="","",INDEX(tblServicios[Vehículo],$BA1234))</f>
        <v/>
      </c>
      <c r="V1234" t="str" cm="1">
        <f t="array" ref="V1234">IF($BA1234="","",IF(INDEX(tblServicios[Conductor],$BA1234)=$T$2,"Conductor",IF(INDEX(tblServicios[Personal adicional],$BA1234)=$T$2,"Personal adicional","")))</f>
        <v/>
      </c>
      <c r="BA1234" s="33" t="str" cm="1">
        <f t="array" ref="BA12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adicional]=$T$2))&gt;0)),ROW(A1236)),"")</f>
        <v/>
      </c>
    </row>
    <row r="1235" spans="16:53" x14ac:dyDescent="0.35">
      <c r="P1235" t="str" cm="1">
        <f t="array" ref="P1235">IF($BA1235="","",INDEX(tblServicios[Contrato],$BA1235))</f>
        <v/>
      </c>
    </row>
    <row r="1236" spans="16:53" x14ac:dyDescent="0.35">
      <c r="P1236" t="str" cm="1">
        <f t="array" ref="P1236">IF($BA1236="","",INDEX(tblServicios[Contrato],$BA1236))</f>
        <v/>
      </c>
    </row>
  </sheetData>
  <mergeCells count="6">
    <mergeCell ref="O1:V1"/>
    <mergeCell ref="X1:AB1"/>
    <mergeCell ref="X2:Y2"/>
    <mergeCell ref="AA2:AB2"/>
    <mergeCell ref="X8:Y8"/>
    <mergeCell ref="AA8:AB8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36A575A-83A7-406F-B521-F09569943979}">
          <x14:formula1>
            <xm:f>'99_Listas'!$Q$2:$Q$6</xm:f>
          </x14:formula1>
          <xm:sqref>P2 A2:A15</xm:sqref>
        </x14:dataValidation>
        <x14:dataValidation type="list" allowBlank="1" showInputMessage="1" showErrorMessage="1" xr:uid="{EC97D57D-83E6-45B2-B1FE-EC13DBFB46FB}">
          <x14:formula1>
            <xm:f>'99_Listas'!$D$2:$D$5</xm:f>
          </x14:formula1>
          <xm:sqref>T2 C2:C15</xm:sqref>
        </x14:dataValidation>
        <x14:dataValidation type="list" allowBlank="1" showInputMessage="1" showErrorMessage="1" xr:uid="{F9CEBA0C-0FC8-434D-8C37-A52438ED25B6}">
          <x14:formula1>
            <xm:f>'99_Listas'!$R$2:$R$14</xm:f>
          </x14:formula1>
          <xm:sqref>R2</xm:sqref>
        </x14:dataValidation>
        <x14:dataValidation type="list" allowBlank="1" showInputMessage="1" showErrorMessage="1" xr:uid="{E1E628EC-49C8-4DFE-AA66-F74B9A2E6046}">
          <x14:formula1>
            <xm:f>'99_Listas'!$S$2:$S$14</xm:f>
          </x14:formula1>
          <xm:sqref>B2:B15</xm:sqref>
        </x14:dataValidation>
        <x14:dataValidation type="list" allowBlank="1" showInputMessage="1" showErrorMessage="1" xr:uid="{F76DA74E-E5DA-4F1C-B4D5-E679CCDDD707}">
          <x14:formula1>
            <xm:f>'99_Listas'!$C$2:$C$6</xm:f>
          </x14:formula1>
          <xm:sqref>D2:D15</xm:sqref>
        </x14:dataValidation>
        <x14:dataValidation type="list" allowBlank="1" showInputMessage="1" showErrorMessage="1" xr:uid="{42C0F135-C6BB-47A5-A037-415A62131152}">
          <x14:formula1>
            <xm:f>'99_Listas'!$M$2:$M$3</xm:f>
          </x14:formula1>
          <xm:sqref>K2:K15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C0292-6666-43AD-A4DD-580E0D9740D6}">
  <sheetPr codeName="Hoja11"/>
  <dimension ref="A1:O4"/>
  <sheetViews>
    <sheetView zoomScale="83" workbookViewId="0">
      <selection activeCell="I8" sqref="I8"/>
    </sheetView>
  </sheetViews>
  <sheetFormatPr baseColWidth="10" defaultColWidth="11.453125" defaultRowHeight="14.5" x14ac:dyDescent="0.35"/>
  <cols>
    <col min="1" max="1" width="11.453125" customWidth="1"/>
    <col min="2" max="2" width="11.7265625" customWidth="1"/>
    <col min="3" max="3" width="14.81640625" bestFit="1" customWidth="1"/>
    <col min="4" max="4" width="15.81640625" bestFit="1" customWidth="1"/>
    <col min="5" max="5" width="18.26953125" customWidth="1"/>
    <col min="6" max="6" width="7.54296875" customWidth="1"/>
    <col min="7" max="7" width="9.26953125" bestFit="1" customWidth="1"/>
    <col min="8" max="8" width="11.54296875" style="27" bestFit="1" customWidth="1"/>
    <col min="9" max="9" width="17.54296875" bestFit="1" customWidth="1"/>
    <col min="10" max="10" width="12.81640625" customWidth="1"/>
    <col min="11" max="11" width="16" customWidth="1"/>
    <col min="12" max="12" width="6.453125" hidden="1" customWidth="1"/>
    <col min="13" max="13" width="6.54296875" hidden="1" customWidth="1"/>
    <col min="14" max="14" width="11.1796875" hidden="1" customWidth="1"/>
    <col min="15" max="16" width="15.26953125" bestFit="1" customWidth="1"/>
    <col min="17" max="17" width="10.81640625" customWidth="1"/>
  </cols>
  <sheetData>
    <row r="1" spans="1:15" x14ac:dyDescent="0.35">
      <c r="A1" t="s">
        <v>43</v>
      </c>
      <c r="B1" t="s">
        <v>671</v>
      </c>
      <c r="C1" t="s">
        <v>672</v>
      </c>
      <c r="D1" t="s">
        <v>33</v>
      </c>
      <c r="E1" t="s">
        <v>40</v>
      </c>
      <c r="F1" t="s">
        <v>313</v>
      </c>
      <c r="G1" t="s">
        <v>314</v>
      </c>
      <c r="H1" s="27" t="s">
        <v>384</v>
      </c>
      <c r="I1" t="s">
        <v>41</v>
      </c>
      <c r="J1" t="s">
        <v>673</v>
      </c>
      <c r="K1" t="s">
        <v>674</v>
      </c>
      <c r="L1" t="s">
        <v>8</v>
      </c>
      <c r="M1" t="s">
        <v>9</v>
      </c>
      <c r="N1" t="s">
        <v>42</v>
      </c>
      <c r="O1" t="s">
        <v>44</v>
      </c>
    </row>
    <row r="2" spans="1:15" x14ac:dyDescent="0.35">
      <c r="A2" t="s">
        <v>63</v>
      </c>
      <c r="B2" t="s">
        <v>675</v>
      </c>
      <c r="C2" s="1">
        <v>46266</v>
      </c>
      <c r="D2" t="s">
        <v>46</v>
      </c>
      <c r="E2" s="2">
        <f>SUMIFS(tblServicios[Base imponible (€)],tblServicios[ID Factura],tblFacturasEmitidas[[#This Row],[ID Factura]])</f>
        <v>7100</v>
      </c>
      <c r="F2" s="4">
        <v>0.21</v>
      </c>
      <c r="G2" s="2">
        <f>tblFacturasEmitidas[[#This Row],[Base imponible (€)]]*tblFacturasEmitidas[[#This Row],[% IVA]]</f>
        <v>1491</v>
      </c>
      <c r="H2" s="27">
        <f>tblFacturasEmitidas[[#This Row],[Base imponible (€)]]+tblFacturasEmitidas[[#This Row],[IVA (€)]]</f>
        <v>8591</v>
      </c>
      <c r="I2" t="s">
        <v>676</v>
      </c>
      <c r="L2">
        <f>YEAR(tblFacturasEmitidas[[#This Row],[Fecha emisión]])</f>
        <v>2026</v>
      </c>
      <c r="M2">
        <f>MONTH(tblFacturasEmitidas[[#This Row],[Fecha emisión]])</f>
        <v>9</v>
      </c>
      <c r="N2">
        <f>ROUNDUP(MONTH(tblFacturasEmitidas[[#This Row],[Fecha emisión]])/3,0)</f>
        <v>3</v>
      </c>
    </row>
    <row r="3" spans="1:15" x14ac:dyDescent="0.35">
      <c r="A3" t="s">
        <v>123</v>
      </c>
      <c r="B3" t="s">
        <v>677</v>
      </c>
      <c r="C3" s="1">
        <v>46235</v>
      </c>
      <c r="D3" t="s">
        <v>46</v>
      </c>
      <c r="E3" s="2">
        <f>SUMIFS(tblServicios[Base imponible (€)],tblServicios[ID Factura],tblFacturasEmitidas[[#This Row],[ID Factura]])</f>
        <v>9132.5</v>
      </c>
      <c r="F3" s="4">
        <v>0.21</v>
      </c>
      <c r="G3" s="2">
        <f>tblFacturasEmitidas[[#This Row],[Base imponible (€)]]*tblFacturasEmitidas[[#This Row],[% IVA]]</f>
        <v>1917.8249999999998</v>
      </c>
      <c r="H3" s="27">
        <f>tblFacturasEmitidas[[#This Row],[Base imponible (€)]]+tblFacturasEmitidas[[#This Row],[IVA (€)]]</f>
        <v>11050.325000000001</v>
      </c>
      <c r="I3" t="s">
        <v>676</v>
      </c>
      <c r="J3" s="1">
        <v>46269</v>
      </c>
      <c r="K3" t="s">
        <v>527</v>
      </c>
      <c r="L3">
        <f>YEAR(tblFacturasEmitidas[[#This Row],[Fecha emisión]])</f>
        <v>2026</v>
      </c>
      <c r="M3">
        <f>MONTH(tblFacturasEmitidas[[#This Row],[Fecha emisión]])</f>
        <v>8</v>
      </c>
      <c r="N3">
        <f>ROUNDUP(MONTH(tblFacturasEmitidas[[#This Row],[Fecha emisión]])/3,0)</f>
        <v>3</v>
      </c>
    </row>
    <row r="4" spans="1:15" x14ac:dyDescent="0.35">
      <c r="A4" t="s">
        <v>191</v>
      </c>
      <c r="B4" t="s">
        <v>678</v>
      </c>
      <c r="C4" s="1">
        <v>46206</v>
      </c>
      <c r="D4" t="s">
        <v>46</v>
      </c>
      <c r="E4" s="2">
        <v>3420</v>
      </c>
      <c r="F4" s="4">
        <v>0.21</v>
      </c>
      <c r="G4" s="2">
        <f>tblFacturasEmitidas[[#This Row],[Base imponible (€)]]*tblFacturasEmitidas[[#This Row],[% IVA]]</f>
        <v>718.19999999999993</v>
      </c>
      <c r="H4" s="27">
        <f>tblFacturasEmitidas[[#This Row],[Base imponible (€)]]+tblFacturasEmitidas[[#This Row],[IVA (€)]]</f>
        <v>4138.2</v>
      </c>
      <c r="I4" t="s">
        <v>679</v>
      </c>
      <c r="J4" s="1">
        <v>46245</v>
      </c>
      <c r="K4" t="s">
        <v>527</v>
      </c>
      <c r="L4">
        <f>YEAR(tblFacturasEmitidas[[#This Row],[Fecha emisión]])</f>
        <v>2026</v>
      </c>
      <c r="M4">
        <f>MONTH(tblFacturasEmitidas[[#This Row],[Fecha emisión]])</f>
        <v>7</v>
      </c>
      <c r="N4">
        <f>ROUNDUP(MONTH(tblFacturasEmitidas[[#This Row],[Fecha emisión]])/3,0)</f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NuevaFacturaEmitida.NuevaFacturaEmitida">
                <anchor moveWithCells="1" sizeWithCells="1">
                  <from>
                    <xdr:col>17</xdr:col>
                    <xdr:colOff>755650</xdr:colOff>
                    <xdr:row>1</xdr:row>
                    <xdr:rowOff>19050</xdr:rowOff>
                  </from>
                  <to>
                    <xdr:col>21</xdr:col>
                    <xdr:colOff>12700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C9C28D-A4F4-4033-971C-89EE68785551}">
          <x14:formula1>
            <xm:f>'99_Listas'!$E$2</xm:f>
          </x14:formula1>
          <xm:sqref>D2:D4</xm:sqref>
        </x14:dataValidation>
        <x14:dataValidation type="list" allowBlank="1" showInputMessage="1" showErrorMessage="1" xr:uid="{C14797FA-C515-40FE-A095-21FF897BFF8E}">
          <x14:formula1>
            <xm:f>'99_Listas'!$W$2:$W$4</xm:f>
          </x14:formula1>
          <xm:sqref>I2:I4</xm:sqref>
        </x14:dataValidation>
        <x14:dataValidation type="list" allowBlank="1" showInputMessage="1" showErrorMessage="1" xr:uid="{AA5F9A5F-5950-4815-AB95-0862670FD381}">
          <x14:formula1>
            <xm:f>'99_Listas'!$O$2:$O$5</xm:f>
          </x14:formula1>
          <xm:sqref>K2:K4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9122-A5D0-462E-9326-876C8BBC9514}">
  <sheetPr codeName="Hoja12"/>
  <dimension ref="A1:D7"/>
  <sheetViews>
    <sheetView workbookViewId="0">
      <selection activeCell="C5" sqref="C5"/>
    </sheetView>
  </sheetViews>
  <sheetFormatPr baseColWidth="10" defaultColWidth="11.453125" defaultRowHeight="14.5" x14ac:dyDescent="0.35"/>
  <cols>
    <col min="1" max="1" width="20.453125" bestFit="1" customWidth="1"/>
    <col min="2" max="2" width="9.453125" bestFit="1" customWidth="1"/>
  </cols>
  <sheetData>
    <row r="1" spans="1:4" x14ac:dyDescent="0.35">
      <c r="A1" s="23" t="s">
        <v>8</v>
      </c>
      <c r="B1">
        <v>2026</v>
      </c>
      <c r="D1" s="31" t="s">
        <v>680</v>
      </c>
    </row>
    <row r="2" spans="1:4" x14ac:dyDescent="0.35">
      <c r="A2" t="s">
        <v>42</v>
      </c>
      <c r="B2">
        <v>3</v>
      </c>
      <c r="D2" s="32" t="s">
        <v>681</v>
      </c>
    </row>
    <row r="5" spans="1:4" x14ac:dyDescent="0.35">
      <c r="A5" s="30" t="s">
        <v>682</v>
      </c>
      <c r="B5" s="2" cm="1">
        <f t="array" ref="B5">IF($B$2="Año completo",SUMPRODUCT((tblFacturasRecibidas[Año]=$B$1)*IFERROR(tblFacturasRecibidas[IVA (€)],0)),SUMPRODUCT((tblFacturasRecibidas[Año]=$B$1)*(tblFacturasRecibidas[Trimestre]=$B$2)*IFERROR(tblFacturasRecibidas[IVA (€)],0)))</f>
        <v>786.89263140495859</v>
      </c>
    </row>
    <row r="6" spans="1:4" x14ac:dyDescent="0.35">
      <c r="A6" s="29" t="s">
        <v>683</v>
      </c>
      <c r="B6" s="2">
        <f>IF($B$2="Año completo",SUMIFS(tblFacturasEmitidas[IVA (€)],tblFacturasEmitidas[Año],$B$1),SUMIFS(tblFacturasEmitidas[IVA (€)],tblFacturasEmitidas[Año],$B$1,tblFacturasEmitidas[Trimestre],$B$2))</f>
        <v>4127.0249999999996</v>
      </c>
    </row>
    <row r="7" spans="1:4" x14ac:dyDescent="0.35">
      <c r="A7" t="s">
        <v>684</v>
      </c>
      <c r="B7" s="2">
        <f>B6-B5</f>
        <v>3340.132368595041</v>
      </c>
    </row>
  </sheetData>
  <conditionalFormatting sqref="B7">
    <cfRule type="expression" dxfId="3" priority="1">
      <formula>B7&lt;0</formula>
    </cfRule>
    <cfRule type="expression" dxfId="2" priority="2">
      <formula>B7&gt;0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75211B-4191-4C3E-AC8C-29B5A792DC73}">
          <x14:formula1>
            <xm:f>'99_Listas'!$Q$2:$Q$6</xm:f>
          </x14:formula1>
          <xm:sqref>B1</xm:sqref>
        </x14:dataValidation>
        <x14:dataValidation type="list" allowBlank="1" showInputMessage="1" showErrorMessage="1" xr:uid="{EC2DA67C-CCA6-475E-8593-20F349235ADC}">
          <x14:formula1>
            <xm:f>'99_Listas'!$P$2:$P$6</xm:f>
          </x14:formula1>
          <xm:sqref>B2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E53B-EDCB-41DA-941F-86EAFD8CDC77}">
  <sheetPr codeName="Hoja13"/>
  <dimension ref="A1:M683"/>
  <sheetViews>
    <sheetView zoomScale="73" workbookViewId="0">
      <selection activeCell="C7" sqref="C7"/>
    </sheetView>
  </sheetViews>
  <sheetFormatPr baseColWidth="10" defaultColWidth="11.453125" defaultRowHeight="14.5" x14ac:dyDescent="0.35"/>
  <cols>
    <col min="1" max="1" width="10.54296875" style="1" bestFit="1" customWidth="1"/>
    <col min="2" max="2" width="45" bestFit="1" customWidth="1"/>
    <col min="3" max="3" width="34.453125" bestFit="1" customWidth="1"/>
    <col min="4" max="4" width="24.453125" bestFit="1" customWidth="1"/>
    <col min="5" max="5" width="10.54296875" style="2" bestFit="1" customWidth="1"/>
    <col min="6" max="6" width="7.54296875" style="2" bestFit="1" customWidth="1"/>
    <col min="7" max="7" width="18.54296875" style="2" bestFit="1" customWidth="1"/>
    <col min="8" max="8" width="0" hidden="1" customWidth="1"/>
    <col min="9" max="9" width="10.81640625" customWidth="1"/>
    <col min="11" max="11" width="27.453125" bestFit="1" customWidth="1"/>
  </cols>
  <sheetData>
    <row r="1" spans="1:13" x14ac:dyDescent="0.35">
      <c r="A1" s="28" t="s">
        <v>3</v>
      </c>
      <c r="B1" t="s">
        <v>334</v>
      </c>
      <c r="D1" t="s">
        <v>685</v>
      </c>
      <c r="E1" s="2" cm="1">
        <f t="array" ref="E1">SUMPRODUCT((tblFacturasRecibidas[Vehículo]=$B$1)*(_xlfn.XLOOKUP(tblFacturasRecibidas[Categoría],tblCategorias[CATEGORIAS GASTOS],tblCategorias[Tipo],"")="Inversión")*tblFacturasRecibidas[Base imponible (€)])</f>
        <v>10277.959999999999</v>
      </c>
      <c r="G1" s="2" t="s">
        <v>686</v>
      </c>
      <c r="I1" t="str">
        <f>IF(SUMIF(K5:K100000,"&lt;&gt;TOTAL BENEFICIO ACUMULADO",L5:L100000)&gt;=E1,"SI","NO")</f>
        <v>NO</v>
      </c>
    </row>
    <row r="2" spans="1:13" x14ac:dyDescent="0.35">
      <c r="D2" t="s">
        <v>687</v>
      </c>
      <c r="E2" s="2">
        <f>SUMIFS(tblFacturasRecibidas[Total (€)],tblFacturasRecibidas[Vehículo],$B$1,tblFacturasRecibidas[Tipo],"Inversión")</f>
        <v>10732.844700000001</v>
      </c>
      <c r="G2" s="2" t="s">
        <v>688</v>
      </c>
      <c r="I2" s="2">
        <f>SUMIF(K5:K1000,"&lt;&gt;TOTAL BENEFICIO ACUMULADO",L5:L1000)-E1</f>
        <v>-10277.959999999999</v>
      </c>
    </row>
    <row r="4" spans="1:13" x14ac:dyDescent="0.35">
      <c r="A4" s="62" t="s">
        <v>1</v>
      </c>
      <c r="B4" s="53" t="s">
        <v>380</v>
      </c>
      <c r="C4" s="53" t="s">
        <v>379</v>
      </c>
      <c r="D4" s="53" t="s">
        <v>381</v>
      </c>
      <c r="E4" s="63" t="s">
        <v>657</v>
      </c>
      <c r="F4" s="63" t="s">
        <v>689</v>
      </c>
      <c r="G4" s="64" t="s">
        <v>659</v>
      </c>
      <c r="H4" s="2" t="s">
        <v>690</v>
      </c>
      <c r="J4" s="65" t="s">
        <v>8</v>
      </c>
      <c r="K4" s="66" t="s">
        <v>9</v>
      </c>
      <c r="L4" s="67" t="s">
        <v>691</v>
      </c>
      <c r="M4" s="2"/>
    </row>
    <row r="5" spans="1:13" x14ac:dyDescent="0.35">
      <c r="A5" s="1" cm="1">
        <f t="array" ref="A5">IF($H5="","",INDEX(tblFacturasRecibidas[Fecha factura],$H5))</f>
        <v>46269</v>
      </c>
      <c r="B5" t="str" cm="1">
        <f t="array" ref="B5">IF($H5="","",INDEX(tblFacturasRecibidas[Concepto],$H5))</f>
        <v>Rueda de repuesto Blanquita</v>
      </c>
      <c r="C5" t="str" cm="1">
        <f t="array" ref="C5">IF($H5="","",INDEX(tblFacturasRecibidas[Proveedor],$H5))</f>
        <v>Desguaces Pedro</v>
      </c>
      <c r="D5" t="str" cm="1">
        <f t="array" ref="D5">IF($H5="","",INDEX(tblFacturasRecibidas[Categoría],$H5))</f>
        <v>Inversión en vehículos</v>
      </c>
      <c r="E5" s="2" cm="1">
        <f t="array" ref="E5">IF($H5="","",INDEX(tblFacturasRecibidas[Base imponible (€)],$H5))</f>
        <v>70</v>
      </c>
      <c r="F5" s="2" cm="1">
        <f t="array" ref="F5">IF($H5="","",IFERROR(INDEX(tblFacturasRecibidas[IVA (€)],$H5),0))</f>
        <v>0</v>
      </c>
      <c r="G5" s="15" cm="1">
        <f t="array" ref="G5">IF($H5="","",IFERROR(INDEX(tblFacturasRecibidas[Total (€)],$H5),INDEX(tblFacturasRecibidas[Base imponible (€)],$H5)))</f>
        <v>70</v>
      </c>
      <c r="H5" cm="1">
        <f t="array" ref="H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GASTOS],tblCategorias[Tipo],"")="Inversión")),ROWS($H$5:H5)),"")</f>
        <v>2</v>
      </c>
      <c r="J5" s="14" t="e" cm="1" vm="1">
        <f t="array" aca="1" ref="J5" ca="1">_xlfn.LET(_xlpm.f,_xlfn.VSTACK(_xlfn._xlws.FILTER(tblServicios[Fecha],tblServicios[Vehículo]=$B$1),DATE(_xlfn._xlws.FILTER(tblRepostajes[Año],tblRepostajes[Vehículo]=$B$1),_xlfn._xlws.FILTER(tblRepostajes[Mes],tblRepostajes[Vehículo]=$B$1),1),DATE(_xlfn._xlws.FILTER(tblPersonal[Año],tblPersonal[Vehículo]=$B$1),_xlfn._xlws.FILTER(tblPersonal[Mes],tblPersonal[Vehículo]=$B$1),1),DATE(_xlfn._xlws.FILTER(tblFacturasRecibidas[Año],tblFacturasRecibidas[Vehículo]=$B$1),_xlfn._xlws.FILTER(tblFacturasRecibidas[Mes],tblFacturasRecibidas[Vehículo]=$B$1),1)),_xlpm.u,_xlfn._xlws.SORT(_xlfn.UNIQUE(DATE(YEAR(_xlpm.f),MONTH(_xlpm.f),1))),_xlpm.b,_xlfn.MAP(_xlpm.u,_xlfn.LAMBDA(_xlpm.x,SUMPRODUCT((YEAR(tblServicios[Fecha])=YEAR(_xlpm.x))*(MONTH(tblServicios[Fecha])=MONTH(_xlpm.x))*(tblServicios[Vehículo]=$B$1)*tblServicios[Base imponible (€)])-SUMIFS(tblRepostajes[Base imponible (€)],tblRepostajes[Año],YEAR(_xlpm.x),tblRepostajes[Mes],MONTH(_xlpm.x),tblRepostajes[Vehículo],$B$1)-SUMIFS(tblPersonal[Coste total (€)],tblPersonal[Año],YEAR(_xlpm.x),tblPersonal[Mes],MONTH(_xlpm.x),tblPersonal[Vehículo],$B$1)-SUMPRODUCT((tblFacturasRecibidas[Año]=YEAR(_xlpm.x))*(tblFacturasRecibidas[Mes]=MONTH(_xlpm.x))*(tblFacturasRecibidas[Vehículo]=$B$1)*ISNUMBER(MATCH(tblFacturasRecibidas[Categoría],'00Dashboard'!$A$11:$A$25,0))*tblFacturasRecibidas[Base imponible (€)]))),_xlfn.VSTACK(_xlfn.HSTACK(YEAR(_xlpm.u),TEXT(_xlpm.u,"mmmm"),_xlpm.b),_xlfn.HSTACK("","TOTAL BENEFICIO ACUMULADO",SUM(_xlpm.b))))</f>
        <v>#NAME?</v>
      </c>
      <c r="L5" s="15"/>
    </row>
    <row r="6" spans="1:13" x14ac:dyDescent="0.35">
      <c r="A6" s="1" cm="1">
        <f t="array" ref="A6">IF($H6="","",INDEX(tblFacturasRecibidas[Fecha factura],$H6))</f>
        <v>46268</v>
      </c>
      <c r="B6" t="str" cm="1">
        <f t="array" ref="B6">IF($H6="","",INDEX(tblFacturasRecibidas[Concepto],$H6))</f>
        <v>Abono Caudalimetro</v>
      </c>
      <c r="C6" t="str" cm="1">
        <f t="array" ref="C6">IF($H6="","",INDEX(tblFacturasRecibidas[Proveedor],$H6))</f>
        <v>Reynasa S.A</v>
      </c>
      <c r="D6" t="str" cm="1">
        <f t="array" ref="D6">IF($H6="","",INDEX(tblFacturasRecibidas[Categoría],$H6))</f>
        <v>Inversión en vehículos</v>
      </c>
      <c r="E6" s="2" cm="1">
        <f t="array" ref="E6">IF($H6="","",INDEX(tblFacturasRecibidas[Base imponible (€)],$H6))</f>
        <v>-53.66</v>
      </c>
      <c r="F6" s="2" cm="1">
        <f t="array" ref="F6">IF($H6="","",IFERROR(INDEX(tblFacturasRecibidas[IVA (€)],$H6),0))</f>
        <v>-11.268599999999999</v>
      </c>
      <c r="G6" s="15">
        <f>SUMIFS(tblFacturasRecibidas[Total (€)],tblFacturasRecibidas[Vehículo],$B$1,tblFacturasRecibidas[Categoría],"Inversión en vehículos")</f>
        <v>10686.303400000001</v>
      </c>
      <c r="H6" cm="1">
        <f t="array" ref="H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GASTOS],tblCategorias[Tipo],"")="Inversión")),ROWS($H$5:H6)),"")</f>
        <v>4</v>
      </c>
      <c r="J6" s="14"/>
      <c r="L6" s="15"/>
    </row>
    <row r="7" spans="1:13" x14ac:dyDescent="0.35">
      <c r="A7" s="1" cm="1">
        <f t="array" ref="A7">IF($H7="","",INDEX(tblFacturasRecibidas[Fecha factura],$H7))</f>
        <v>46265</v>
      </c>
      <c r="B7" t="str" cm="1">
        <f t="array" ref="B7">IF($H7="","",INDEX(tblFacturasRecibidas[Concepto],$H7))</f>
        <v>Junta de tapa de balancines</v>
      </c>
      <c r="C7" t="str" cm="1">
        <f t="array" ref="C7">IF($H7="","",INDEX(tblFacturasRecibidas[Proveedor],$H7))</f>
        <v>Reynasa S.A</v>
      </c>
      <c r="D7" t="str" cm="1">
        <f t="array" ref="D7">IF($H7="","",INDEX(tblFacturasRecibidas[Categoría],$H7))</f>
        <v>Inversión en vehículos</v>
      </c>
      <c r="E7" s="2" cm="1">
        <f t="array" ref="E7">IF($H7="","",INDEX(tblFacturasRecibidas[Base imponible (€)],$H7))</f>
        <v>63.37</v>
      </c>
      <c r="F7" s="2" cm="1">
        <f t="array" ref="F7">IF($H7="","",IFERROR(INDEX(tblFacturasRecibidas[IVA (€)],$H7),0))</f>
        <v>13.307699999999999</v>
      </c>
      <c r="H7" cm="1">
        <f t="array" ref="H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GASTOS],tblCategorias[Tipo],"")="Inversión")),ROWS($H$5:H7)),"")</f>
        <v>7</v>
      </c>
      <c r="J7" s="14"/>
      <c r="L7" s="15"/>
    </row>
    <row r="8" spans="1:13" x14ac:dyDescent="0.35">
      <c r="A8" s="1" cm="1">
        <f t="array" ref="A8">IF($H8="","",INDEX(tblFacturasRecibidas[Fecha factura],$H8))</f>
        <v>46262</v>
      </c>
      <c r="B8" t="str" cm="1">
        <f t="array" ref="B8">IF($H8="","",INDEX(tblFacturasRecibidas[Concepto],$H8))</f>
        <v>Caudalimetro</v>
      </c>
      <c r="C8" t="str" cm="1">
        <f t="array" ref="C8">IF($H8="","",INDEX(tblFacturasRecibidas[Proveedor],$H8))</f>
        <v>Reynasa S.A</v>
      </c>
      <c r="D8" t="str" cm="1">
        <f t="array" ref="D8">IF($H8="","",INDEX(tblFacturasRecibidas[Categoría],$H8))</f>
        <v>Inversión en vehículos</v>
      </c>
      <c r="E8" s="2" cm="1">
        <f t="array" ref="E8">IF($H8="","",INDEX(tblFacturasRecibidas[Base imponible (€)],$H8))</f>
        <v>53.66</v>
      </c>
      <c r="F8" s="2" cm="1">
        <f t="array" ref="F8">IF($H8="","",IFERROR(INDEX(tblFacturasRecibidas[IVA (€)],$H8),0))</f>
        <v>11.268599999999999</v>
      </c>
      <c r="G8" s="2" cm="1">
        <f t="array" ref="G8">IF($H8="","",IFERROR(INDEX(tblFacturasRecibidas[Total (€)],$H8),INDEX(tblFacturasRecibidas[Base imponible (€)],$H8)))</f>
        <v>64.928599999999989</v>
      </c>
      <c r="H8" cm="1">
        <f t="array" ref="H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GASTOS],tblCategorias[Tipo],"")="Inversión")),ROWS($H$5:H8)),"")</f>
        <v>16</v>
      </c>
      <c r="J8" s="14"/>
      <c r="K8" s="38"/>
      <c r="L8" s="15"/>
    </row>
    <row r="9" spans="1:13" x14ac:dyDescent="0.35">
      <c r="A9" s="1" cm="1">
        <f t="array" ref="A9">IF($H9="","",INDEX(tblFacturasRecibidas[Fecha factura],$H9))</f>
        <v>46262</v>
      </c>
      <c r="B9" t="str" cm="1">
        <f t="array" ref="B9">IF($H9="","",INDEX(tblFacturasRecibidas[Concepto],$H9))</f>
        <v>Valvula control presion</v>
      </c>
      <c r="C9" t="str" cm="1">
        <f t="array" ref="C9">IF($H9="","",INDEX(tblFacturasRecibidas[Proveedor],$H9))</f>
        <v>Reynasa S.A</v>
      </c>
      <c r="D9" t="str" cm="1">
        <f t="array" ref="D9">IF($H9="","",INDEX(tblFacturasRecibidas[Categoría],$H9))</f>
        <v>Inversión en vehículos</v>
      </c>
      <c r="E9" s="2" cm="1">
        <f t="array" ref="E9">IF($H9="","",INDEX(tblFacturasRecibidas[Base imponible (€)],$H9))</f>
        <v>70.709999999999994</v>
      </c>
      <c r="F9" s="2" cm="1">
        <f t="array" ref="F9">IF($H9="","",IFERROR(INDEX(tblFacturasRecibidas[IVA (€)],$H9),0))</f>
        <v>14.849099999999998</v>
      </c>
      <c r="H9" cm="1">
        <f t="array" ref="H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GASTOS],tblCategorias[Tipo],"")="Inversión")),ROWS($H$5:H9)),"")</f>
        <v>17</v>
      </c>
      <c r="K9" s="29"/>
      <c r="L9" s="2"/>
    </row>
    <row r="10" spans="1:13" x14ac:dyDescent="0.35">
      <c r="A10" s="1" cm="1">
        <f t="array" ref="A10">IF($H10="","",INDEX(tblFacturasRecibidas[Fecha factura],$H10))</f>
        <v>46262</v>
      </c>
      <c r="B10" t="str" cm="1">
        <f t="array" ref="B10">IF($H10="","",INDEX(tblFacturasRecibidas[Concepto],$H10))</f>
        <v>Soporte de transmisión</v>
      </c>
      <c r="C10" t="str" cm="1">
        <f t="array" ref="C10">IF($H10="","",INDEX(tblFacturasRecibidas[Proveedor],$H10))</f>
        <v>Reynasa S.A</v>
      </c>
      <c r="D10" t="str" cm="1">
        <f t="array" ref="D10">IF($H10="","",INDEX(tblFacturasRecibidas[Categoría],$H10))</f>
        <v>Inversión en vehículos</v>
      </c>
      <c r="E10" s="2" cm="1">
        <f t="array" ref="E10">IF($H10="","",INDEX(tblFacturasRecibidas[Base imponible (€)],$H10))</f>
        <v>29.18</v>
      </c>
      <c r="F10" s="2" cm="1">
        <f t="array" ref="F10">IF($H10="","",IFERROR(INDEX(tblFacturasRecibidas[IVA (€)],$H10),0))</f>
        <v>6.1277999999999997</v>
      </c>
      <c r="G10" s="2" cm="1">
        <f t="array" ref="G10">IF($H10="","",IFERROR(INDEX(tblFacturasRecibidas[Total (€)],$H10),INDEX(tblFacturasRecibidas[Base imponible (€)],$H10)))</f>
        <v>35.3078</v>
      </c>
      <c r="H10" cm="1">
        <f t="array" ref="H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GASTOS],tblCategorias[Tipo],"")="Inversión")),ROWS($H$5:H10)),"")</f>
        <v>18</v>
      </c>
    </row>
    <row r="11" spans="1:13" x14ac:dyDescent="0.35">
      <c r="A11" s="1" cm="1">
        <f t="array" ref="A11">IF($H11="","",INDEX(tblFacturasRecibidas[Fecha factura],$H11))</f>
        <v>46258</v>
      </c>
      <c r="B11" t="str" cm="1">
        <f t="array" ref="B11">IF($H11="","",INDEX(tblFacturasRecibidas[Concepto],$H11))</f>
        <v>Seguro por dias 8 dias</v>
      </c>
      <c r="C11" t="str" cm="1">
        <f t="array" ref="C11">IF($H11="","",INDEX(tblFacturasRecibidas[Proveedor],$H11))</f>
        <v>Terranea 2000 Correduria de Seguros SL</v>
      </c>
      <c r="D11" t="str" cm="1">
        <f t="array" ref="D11">IF($H11="","",INDEX(tblFacturasRecibidas[Categoría],$H11))</f>
        <v>Inversión en vehículos</v>
      </c>
      <c r="E11" s="2" cm="1">
        <f t="array" ref="E11">IF($H11="","",INDEX(tblFacturasRecibidas[Base imponible (€)],$H11))</f>
        <v>49.54</v>
      </c>
      <c r="F11" s="2" cm="1">
        <f t="array" ref="F11">IF($H11="","",IFERROR(INDEX(tblFacturasRecibidas[IVA (€)],$H11),0))</f>
        <v>0</v>
      </c>
      <c r="G11" s="2" cm="1">
        <f t="array" ref="G11">IF($H11="","",IFERROR(INDEX(tblFacturasRecibidas[Total (€)],$H11),INDEX(tblFacturasRecibidas[Base imponible (€)],$H11)))</f>
        <v>49.54</v>
      </c>
      <c r="H11" cm="1">
        <f t="array" ref="H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GASTOS],tblCategorias[Tipo],"")="Inversión")),ROWS($H$5:H11)),"")</f>
        <v>22</v>
      </c>
    </row>
    <row r="12" spans="1:13" x14ac:dyDescent="0.35">
      <c r="A12" s="1" cm="1">
        <f t="array" ref="A12">IF($H12="","",INDEX(tblFacturasRecibidas[Fecha factura],$H12))</f>
        <v>46253</v>
      </c>
      <c r="B12" t="str" cm="1">
        <f t="array" ref="B12">IF($H12="","",INDEX(tblFacturasRecibidas[Concepto],$H12))</f>
        <v>Cristal espejo derecho</v>
      </c>
      <c r="C12" t="str" cm="1">
        <f t="array" ref="C12">IF($H12="","",INDEX(tblFacturasRecibidas[Proveedor],$H12))</f>
        <v>Reynasa S.A</v>
      </c>
      <c r="D12" t="str" cm="1">
        <f t="array" ref="D12">IF($H12="","",INDEX(tblFacturasRecibidas[Categoría],$H12))</f>
        <v>Inversión en vehículos</v>
      </c>
      <c r="E12" s="2" cm="1">
        <f t="array" ref="E12">IF($H12="","",INDEX(tblFacturasRecibidas[Base imponible (€)],$H12))</f>
        <v>20.48</v>
      </c>
      <c r="F12" s="2" cm="1">
        <f t="array" ref="F12">IF($H12="","",IFERROR(INDEX(tblFacturasRecibidas[IVA (€)],$H12),0))</f>
        <v>4.3007999999999997</v>
      </c>
      <c r="G12" s="2" cm="1">
        <f t="array" ref="G12">IF($H12="","",IFERROR(INDEX(tblFacturasRecibidas[Total (€)],$H12),INDEX(tblFacturasRecibidas[Base imponible (€)],$H12)))</f>
        <v>24.780799999999999</v>
      </c>
      <c r="H12" cm="1">
        <f t="array" ref="H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GASTOS],tblCategorias[Tipo],"")="Inversión")),ROWS($H$5:H12)),"")</f>
        <v>24</v>
      </c>
    </row>
    <row r="13" spans="1:13" x14ac:dyDescent="0.35">
      <c r="A13" s="1" cm="1">
        <f t="array" ref="A13">IF($H13="","",INDEX(tblFacturasRecibidas[Fecha factura],$H13))</f>
        <v>46255</v>
      </c>
      <c r="B13" t="str" cm="1">
        <f t="array" ref="B13">IF($H13="","",INDEX(tblFacturasRecibidas[Concepto],$H13))</f>
        <v>Deposito refrigerante</v>
      </c>
      <c r="C13" t="str" cm="1">
        <f t="array" ref="C13">IF($H13="","",INDEX(tblFacturasRecibidas[Proveedor],$H13))</f>
        <v>Reynasa S.A</v>
      </c>
      <c r="D13" t="str" cm="1">
        <f t="array" ref="D13">IF($H13="","",INDEX(tblFacturasRecibidas[Categoría],$H13))</f>
        <v>Inversión en vehículos</v>
      </c>
      <c r="E13" s="2" cm="1">
        <f t="array" ref="E13">IF($H13="","",INDEX(tblFacturasRecibidas[Base imponible (€)],$H13))</f>
        <v>15.53</v>
      </c>
      <c r="F13" s="2" cm="1">
        <f t="array" ref="F13">IF($H13="","",IFERROR(INDEX(tblFacturasRecibidas[IVA (€)],$H13),0))</f>
        <v>3.2612999999999999</v>
      </c>
      <c r="G13" s="2" cm="1">
        <f t="array" ref="G13">IF($H13="","",IFERROR(INDEX(tblFacturasRecibidas[Total (€)],$H13),INDEX(tblFacturasRecibidas[Base imponible (€)],$H13)))</f>
        <v>18.7913</v>
      </c>
      <c r="H13" cm="1">
        <f t="array" ref="H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GASTOS],tblCategorias[Tipo],"")="Inversión")),ROWS($H$5:H13)),"")</f>
        <v>25</v>
      </c>
    </row>
    <row r="14" spans="1:13" x14ac:dyDescent="0.35">
      <c r="A14" s="1" cm="1">
        <f t="array" ref="A14">IF($H14="","",INDEX(tblFacturasRecibidas[Fecha factura],$H14))</f>
        <v>46255</v>
      </c>
      <c r="B14" t="str" cm="1">
        <f t="array" ref="B14">IF($H14="","",INDEX(tblFacturasRecibidas[Concepto],$H14))</f>
        <v>Placa matricula</v>
      </c>
      <c r="C14" t="str" cm="1">
        <f t="array" ref="C14">IF($H14="","",INDEX(tblFacturasRecibidas[Proveedor],$H14))</f>
        <v>Reynasa S.A</v>
      </c>
      <c r="D14" t="str" cm="1">
        <f t="array" ref="D14">IF($H14="","",INDEX(tblFacturasRecibidas[Categoría],$H14))</f>
        <v>Inversión en vehículos</v>
      </c>
      <c r="E14" s="2" cm="1">
        <f t="array" ref="E14">IF($H14="","",INDEX(tblFacturasRecibidas[Base imponible (€)],$H14))</f>
        <v>6.53</v>
      </c>
      <c r="F14" s="2" cm="1">
        <f t="array" ref="F14">IF($H14="","",IFERROR(INDEX(tblFacturasRecibidas[IVA (€)],$H14),0))</f>
        <v>1.3713</v>
      </c>
      <c r="G14" s="2" cm="1">
        <f t="array" ref="G14">IF($H14="","",IFERROR(INDEX(tblFacturasRecibidas[Total (€)],$H14),INDEX(tblFacturasRecibidas[Base imponible (€)],$H14)))</f>
        <v>7.9013</v>
      </c>
      <c r="H14" cm="1">
        <f t="array" ref="H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GASTOS],tblCategorias[Tipo],"")="Inversión")),ROWS($H$5:H14)),"")</f>
        <v>26</v>
      </c>
    </row>
    <row r="15" spans="1:13" x14ac:dyDescent="0.35">
      <c r="A15" s="1" cm="1">
        <f t="array" ref="A15">IF($H15="","",INDEX(tblFacturasRecibidas[Fecha factura],$H15))</f>
        <v>46255</v>
      </c>
      <c r="B15" t="str" cm="1">
        <f t="array" ref="B15">IF($H15="","",INDEX(tblFacturasRecibidas[Concepto],$H15))</f>
        <v>Tapon deposito agua</v>
      </c>
      <c r="C15" t="str" cm="1">
        <f t="array" ref="C15">IF($H15="","",INDEX(tblFacturasRecibidas[Proveedor],$H15))</f>
        <v>Reynasa S.A</v>
      </c>
      <c r="D15" t="str" cm="1">
        <f t="array" ref="D15">IF($H15="","",INDEX(tblFacturasRecibidas[Categoría],$H15))</f>
        <v>Inversión en vehículos</v>
      </c>
      <c r="E15" s="2" cm="1">
        <f t="array" ref="E15">IF($H15="","",INDEX(tblFacturasRecibidas[Base imponible (€)],$H15))</f>
        <v>3.53</v>
      </c>
      <c r="F15" s="2" cm="1">
        <f t="array" ref="F15">IF($H15="","",IFERROR(INDEX(tblFacturasRecibidas[IVA (€)],$H15),0))</f>
        <v>0.74129999999999996</v>
      </c>
      <c r="G15" s="2" cm="1">
        <f t="array" ref="G15">IF($H15="","",IFERROR(INDEX(tblFacturasRecibidas[Total (€)],$H15),INDEX(tblFacturasRecibidas[Base imponible (€)],$H15)))</f>
        <v>4.2713000000000001</v>
      </c>
      <c r="H15" cm="1">
        <f t="array" ref="H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GASTOS],tblCategorias[Tipo],"")="Inversión")),ROWS($H$5:H15)),"")</f>
        <v>27</v>
      </c>
      <c r="L15" t="s">
        <v>692</v>
      </c>
    </row>
    <row r="16" spans="1:13" x14ac:dyDescent="0.35">
      <c r="A16" s="1" cm="1">
        <f t="array" ref="A16">IF($H16="","",INDEX(tblFacturasRecibidas[Fecha factura],$H16))</f>
        <v>46252</v>
      </c>
      <c r="B16" t="str" cm="1">
        <f t="array" ref="B16">IF($H16="","",INDEX(tblFacturasRecibidas[Concepto],$H16))</f>
        <v>Discos de freno traseros</v>
      </c>
      <c r="C16" t="str" cm="1">
        <f t="array" ref="C16">IF($H16="","",INDEX(tblFacturasRecibidas[Proveedor],$H16))</f>
        <v>Reynasa S.A</v>
      </c>
      <c r="D16" t="str" cm="1">
        <f t="array" ref="D16">IF($H16="","",INDEX(tblFacturasRecibidas[Categoría],$H16))</f>
        <v>Inversión en vehículos</v>
      </c>
      <c r="E16" s="2" cm="1">
        <f t="array" ref="E16">IF($H16="","",INDEX(tblFacturasRecibidas[Base imponible (€)],$H16))</f>
        <v>60.92</v>
      </c>
      <c r="F16" s="2" cm="1">
        <f t="array" ref="F16">IF($H16="","",IFERROR(INDEX(tblFacturasRecibidas[IVA (€)],$H16),0))</f>
        <v>12.793200000000001</v>
      </c>
      <c r="G16" s="2" cm="1">
        <f t="array" ref="G16">IF($H16="","",IFERROR(INDEX(tblFacturasRecibidas[Total (€)],$H16),INDEX(tblFacturasRecibidas[Base imponible (€)],$H16)))</f>
        <v>73.713200000000001</v>
      </c>
      <c r="H16" cm="1">
        <f t="array" ref="H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GASTOS],tblCategorias[Tipo],"")="Inversión")),ROWS($H$5:H16)),"")</f>
        <v>28</v>
      </c>
    </row>
    <row r="17" spans="1:8" x14ac:dyDescent="0.35">
      <c r="A17" s="1" cm="1">
        <f t="array" ref="A17">IF($H17="","",INDEX(tblFacturasRecibidas[Fecha factura],$H17))</f>
        <v>46252</v>
      </c>
      <c r="B17" t="str" cm="1">
        <f t="array" ref="B17">IF($H17="","",INDEX(tblFacturasRecibidas[Concepto],$H17))</f>
        <v>Enfriador EGR (bueno)</v>
      </c>
      <c r="C17" t="str" cm="1">
        <f t="array" ref="C17">IF($H17="","",INDEX(tblFacturasRecibidas[Proveedor],$H17))</f>
        <v>Reynasa S.A</v>
      </c>
      <c r="D17" t="str" cm="1">
        <f t="array" ref="D17">IF($H17="","",INDEX(tblFacturasRecibidas[Categoría],$H17))</f>
        <v>Inversión en vehículos</v>
      </c>
      <c r="E17" s="2" cm="1">
        <f t="array" ref="E17">IF($H17="","",INDEX(tblFacturasRecibidas[Base imponible (€)],$H17))</f>
        <v>143.02000000000001</v>
      </c>
      <c r="F17" s="2" cm="1">
        <f t="array" ref="F17">IF($H17="","",IFERROR(INDEX(tblFacturasRecibidas[IVA (€)],$H17),0))</f>
        <v>30.034200000000002</v>
      </c>
      <c r="G17" s="2" cm="1">
        <f t="array" ref="G17">IF($H17="","",IFERROR(INDEX(tblFacturasRecibidas[Total (€)],$H17),INDEX(tblFacturasRecibidas[Base imponible (€)],$H17)))</f>
        <v>173.05420000000001</v>
      </c>
      <c r="H17" cm="1">
        <f t="array" ref="H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GASTOS],tblCategorias[Tipo],"")="Inversión")),ROWS($H$5:H17)),"")</f>
        <v>29</v>
      </c>
    </row>
    <row r="18" spans="1:8" x14ac:dyDescent="0.35">
      <c r="A18" s="1" cm="1">
        <f t="array" ref="A18">IF($H18="","",INDEX(tblFacturasRecibidas[Fecha factura],$H18))</f>
        <v>46251</v>
      </c>
      <c r="B18" t="str" cm="1">
        <f t="array" ref="B18">IF($H18="","",INDEX(tblFacturasRecibidas[Concepto],$H18))</f>
        <v>Abono Enfriador EGR</v>
      </c>
      <c r="C18" t="str" cm="1">
        <f t="array" ref="C18">IF($H18="","",INDEX(tblFacturasRecibidas[Proveedor],$H18))</f>
        <v>Reynasa S.A</v>
      </c>
      <c r="D18" t="str" cm="1">
        <f t="array" ref="D18">IF($H18="","",INDEX(tblFacturasRecibidas[Categoría],$H18))</f>
        <v>Inversión en vehículos</v>
      </c>
      <c r="E18" s="2" cm="1">
        <f t="array" ref="E18">IF($H18="","",INDEX(tblFacturasRecibidas[Base imponible (€)],$H18))</f>
        <v>-164.7</v>
      </c>
      <c r="F18" s="2" cm="1">
        <f t="array" ref="F18">IF($H18="","",IFERROR(INDEX(tblFacturasRecibidas[IVA (€)],$H18),0))</f>
        <v>-34.586999999999996</v>
      </c>
      <c r="G18" s="2" cm="1">
        <f t="array" ref="G18">IF($H18="","",IFERROR(INDEX(tblFacturasRecibidas[Total (€)],$H18),INDEX(tblFacturasRecibidas[Base imponible (€)],$H18)))</f>
        <v>-199.28699999999998</v>
      </c>
      <c r="H18" cm="1">
        <f t="array" ref="H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GASTOS],tblCategorias[Tipo],"")="Inversión")),ROWS($H$5:H18)),"")</f>
        <v>30</v>
      </c>
    </row>
    <row r="19" spans="1:8" x14ac:dyDescent="0.35">
      <c r="A19" s="1" cm="1">
        <f t="array" ref="A19">IF($H19="","",INDEX(tblFacturasRecibidas[Fecha factura],$H19))</f>
        <v>46252</v>
      </c>
      <c r="B19" t="str" cm="1">
        <f t="array" ref="B19">IF($H19="","",INDEX(tblFacturasRecibidas[Concepto],$H19))</f>
        <v>Colector de escape</v>
      </c>
      <c r="C19" t="str" cm="1">
        <f t="array" ref="C19">IF($H19="","",INDEX(tblFacturasRecibidas[Proveedor],$H19))</f>
        <v>Reynasa S.A</v>
      </c>
      <c r="D19" t="str" cm="1">
        <f t="array" ref="D19">IF($H19="","",INDEX(tblFacturasRecibidas[Categoría],$H19))</f>
        <v>Inversión en vehículos</v>
      </c>
      <c r="E19" s="2" cm="1">
        <f t="array" ref="E19">IF($H19="","",INDEX(tblFacturasRecibidas[Base imponible (€)],$H19))</f>
        <v>216.34</v>
      </c>
      <c r="F19" s="2" cm="1">
        <f t="array" ref="F19">IF($H19="","",IFERROR(INDEX(tblFacturasRecibidas[IVA (€)],$H19),0))</f>
        <v>45.431399999999996</v>
      </c>
      <c r="G19" s="2" cm="1">
        <f t="array" ref="G19">IF($H19="","",IFERROR(INDEX(tblFacturasRecibidas[Total (€)],$H19),INDEX(tblFacturasRecibidas[Base imponible (€)],$H19)))</f>
        <v>261.77139999999997</v>
      </c>
      <c r="H19" cm="1">
        <f t="array" ref="H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GASTOS],tblCategorias[Tipo],"")="Inversión")),ROWS($H$5:H19)),"")</f>
        <v>31</v>
      </c>
    </row>
    <row r="20" spans="1:8" x14ac:dyDescent="0.35">
      <c r="A20" s="1" cm="1">
        <f t="array" ref="A20">IF($H20="","",INDEX(tblFacturasRecibidas[Fecha factura],$H20))</f>
        <v>46251</v>
      </c>
      <c r="B20" t="str" cm="1">
        <f t="array" ref="B20">IF($H20="","",INDEX(tblFacturasRecibidas[Concepto],$H20))</f>
        <v>Aceite de caja de cambios 80W-90</v>
      </c>
      <c r="C20" t="str" cm="1">
        <f t="array" ref="C20">IF($H20="","",INDEX(tblFacturasRecibidas[Proveedor],$H20))</f>
        <v>Repuestos Miguel S.L</v>
      </c>
      <c r="D20" t="str" cm="1">
        <f t="array" ref="D20">IF($H20="","",INDEX(tblFacturasRecibidas[Categoría],$H20))</f>
        <v>Inversión en vehículos</v>
      </c>
      <c r="E20" s="2" cm="1">
        <f t="array" ref="E20">IF($H20="","",INDEX(tblFacturasRecibidas[Base imponible (€)],$H20))</f>
        <v>45.7</v>
      </c>
      <c r="F20" s="2" cm="1">
        <f t="array" ref="F20">IF($H20="","",IFERROR(INDEX(tblFacturasRecibidas[IVA (€)],$H20),0))</f>
        <v>9.5969999999999995</v>
      </c>
      <c r="G20" s="2" cm="1">
        <f t="array" ref="G20">IF($H20="","",IFERROR(INDEX(tblFacturasRecibidas[Total (€)],$H20),INDEX(tblFacturasRecibidas[Base imponible (€)],$H20)))</f>
        <v>55.297000000000004</v>
      </c>
      <c r="H20" cm="1">
        <f t="array" ref="H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GASTOS],tblCategorias[Tipo],"")="Inversión")),ROWS($H$5:H20)),"")</f>
        <v>32</v>
      </c>
    </row>
    <row r="21" spans="1:8" x14ac:dyDescent="0.35">
      <c r="A21" s="1" cm="1">
        <f t="array" ref="A21">IF($H21="","",INDEX(tblFacturasRecibidas[Fecha factura],$H21))</f>
        <v>46251</v>
      </c>
      <c r="B21" t="str" cm="1">
        <f t="array" ref="B21">IF($H21="","",INDEX(tblFacturasRecibidas[Concepto],$H21))</f>
        <v>Ruedas Triangle 18575R16 104102T x2</v>
      </c>
      <c r="C21" t="str" cm="1">
        <f t="array" ref="C21">IF($H21="","",INDEX(tblFacturasRecibidas[Proveedor],$H21))</f>
        <v>Reynasa S.A</v>
      </c>
      <c r="D21" t="str" cm="1">
        <f t="array" ref="D21">IF($H21="","",INDEX(tblFacturasRecibidas[Categoría],$H21))</f>
        <v>Inversión en vehículos</v>
      </c>
      <c r="E21" s="2" cm="1">
        <f t="array" ref="E21">IF($H21="","",INDEX(tblFacturasRecibidas[Base imponible (€)],$H21))</f>
        <v>108.06</v>
      </c>
      <c r="F21" s="2" cm="1">
        <f t="array" ref="F21">IF($H21="","",IFERROR(INDEX(tblFacturasRecibidas[IVA (€)],$H21),0))</f>
        <v>22.692599999999999</v>
      </c>
      <c r="G21" s="2" cm="1">
        <f t="array" ref="G21">IF($H21="","",IFERROR(INDEX(tblFacturasRecibidas[Total (€)],$H21),INDEX(tblFacturasRecibidas[Base imponible (€)],$H21)))</f>
        <v>130.7526</v>
      </c>
      <c r="H21" cm="1">
        <f t="array" ref="H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GASTOS],tblCategorias[Tipo],"")="Inversión")),ROWS($H$5:H21)),"")</f>
        <v>33</v>
      </c>
    </row>
    <row r="22" spans="1:8" x14ac:dyDescent="0.35">
      <c r="A22" s="1" cm="1">
        <f t="array" ref="A22">IF($H22="","",INDEX(tblFacturasRecibidas[Fecha factura],$H22))</f>
        <v>46251</v>
      </c>
      <c r="B22" t="str" cm="1">
        <f t="array" ref="B22">IF($H22="","",INDEX(tblFacturasRecibidas[Concepto],$H22))</f>
        <v>Pastillas de freno traseras</v>
      </c>
      <c r="C22" t="str" cm="1">
        <f t="array" ref="C22">IF($H22="","",INDEX(tblFacturasRecibidas[Proveedor],$H22))</f>
        <v>Reynasa S.A</v>
      </c>
      <c r="D22" t="str" cm="1">
        <f t="array" ref="D22">IF($H22="","",INDEX(tblFacturasRecibidas[Categoría],$H22))</f>
        <v>Inversión en vehículos</v>
      </c>
      <c r="E22" s="2" cm="1">
        <f t="array" ref="E22">IF($H22="","",INDEX(tblFacturasRecibidas[Base imponible (€)],$H22))</f>
        <v>23.52</v>
      </c>
      <c r="F22" s="2" cm="1">
        <f t="array" ref="F22">IF($H22="","",IFERROR(INDEX(tblFacturasRecibidas[IVA (€)],$H22),0))</f>
        <v>4.9391999999999996</v>
      </c>
      <c r="G22" s="2" cm="1">
        <f t="array" ref="G22">IF($H22="","",IFERROR(INDEX(tblFacturasRecibidas[Total (€)],$H22),INDEX(tblFacturasRecibidas[Base imponible (€)],$H22)))</f>
        <v>28.459199999999999</v>
      </c>
      <c r="H22" cm="1">
        <f t="array" ref="H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GASTOS],tblCategorias[Tipo],"")="Inversión")),ROWS($H$5:H22)),"")</f>
        <v>34</v>
      </c>
    </row>
    <row r="23" spans="1:8" x14ac:dyDescent="0.35">
      <c r="A23" s="1" cm="1">
        <f t="array" ref="A23">IF($H23="","",INDEX(tblFacturasRecibidas[Fecha factura],$H23))</f>
        <v>46251</v>
      </c>
      <c r="B23" t="str" cm="1">
        <f t="array" ref="B23">IF($H23="","",INDEX(tblFacturasRecibidas[Concepto],$H23))</f>
        <v>Kit de fuelle de dirección (x2)</v>
      </c>
      <c r="C23" t="str" cm="1">
        <f t="array" ref="C23">IF($H23="","",INDEX(tblFacturasRecibidas[Proveedor],$H23))</f>
        <v>Reynasa S.A</v>
      </c>
      <c r="D23" t="str" cm="1">
        <f t="array" ref="D23">IF($H23="","",INDEX(tblFacturasRecibidas[Categoría],$H23))</f>
        <v>Inversión en vehículos</v>
      </c>
      <c r="E23" s="2" cm="1">
        <f t="array" ref="E23">IF($H23="","",INDEX(tblFacturasRecibidas[Base imponible (€)],$H23))</f>
        <v>15.5</v>
      </c>
      <c r="F23" s="2" cm="1">
        <f t="array" ref="F23">IF($H23="","",IFERROR(INDEX(tblFacturasRecibidas[IVA (€)],$H23),0))</f>
        <v>3.2549999999999999</v>
      </c>
      <c r="G23" s="2" cm="1">
        <f t="array" ref="G23">IF($H23="","",IFERROR(INDEX(tblFacturasRecibidas[Total (€)],$H23),INDEX(tblFacturasRecibidas[Base imponible (€)],$H23)))</f>
        <v>18.754999999999999</v>
      </c>
      <c r="H23" cm="1">
        <f t="array" ref="H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GASTOS],tblCategorias[Tipo],"")="Inversión")),ROWS($H$5:H23)),"")</f>
        <v>35</v>
      </c>
    </row>
    <row r="24" spans="1:8" x14ac:dyDescent="0.35">
      <c r="A24" s="1" cm="1">
        <f t="array" ref="A24">IF($H24="","",INDEX(tblFacturasRecibidas[Fecha factura],$H24))</f>
        <v>46251</v>
      </c>
      <c r="B24" t="str" cm="1">
        <f t="array" ref="B24">IF($H24="","",INDEX(tblFacturasRecibidas[Concepto],$H24))</f>
        <v>Soporte engranaje, rodamiento, soporte transmision</v>
      </c>
      <c r="C24" t="str" cm="1">
        <f t="array" ref="C24">IF($H24="","",INDEX(tblFacturasRecibidas[Proveedor],$H24))</f>
        <v>Reynasa S.A</v>
      </c>
      <c r="D24" t="str" cm="1">
        <f t="array" ref="D24">IF($H24="","",INDEX(tblFacturasRecibidas[Categoría],$H24))</f>
        <v>Inversión en vehículos</v>
      </c>
      <c r="E24" s="2" cm="1">
        <f t="array" ref="E24">IF($H24="","",INDEX(tblFacturasRecibidas[Base imponible (€)],$H24))</f>
        <v>79.260000000000005</v>
      </c>
      <c r="F24" s="2" cm="1">
        <f t="array" ref="F24">IF($H24="","",IFERROR(INDEX(tblFacturasRecibidas[IVA (€)],$H24),0))</f>
        <v>16.644600000000001</v>
      </c>
      <c r="G24" s="2" cm="1">
        <f t="array" ref="G24">IF($H24="","",IFERROR(INDEX(tblFacturasRecibidas[Total (€)],$H24),INDEX(tblFacturasRecibidas[Base imponible (€)],$H24)))</f>
        <v>95.904600000000002</v>
      </c>
      <c r="H24" cm="1">
        <f t="array" ref="H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GASTOS],tblCategorias[Tipo],"")="Inversión")),ROWS($H$5:H24)),"")</f>
        <v>36</v>
      </c>
    </row>
    <row r="25" spans="1:8" x14ac:dyDescent="0.35">
      <c r="A25" s="1" cm="1">
        <f t="array" ref="A25">IF($H25="","",INDEX(tblFacturasRecibidas[Fecha factura],$H25))</f>
        <v>46248</v>
      </c>
      <c r="B25" t="str" cm="1">
        <f t="array" ref="B25">IF($H25="","",INDEX(tblFacturasRecibidas[Concepto],$H25))</f>
        <v>Inyectores</v>
      </c>
      <c r="C25" t="str" cm="1">
        <f t="array" ref="C25">IF($H25="","",INDEX(tblFacturasRecibidas[Proveedor],$H25))</f>
        <v>Talleres Esbema S.L</v>
      </c>
      <c r="D25" t="str" cm="1">
        <f t="array" ref="D25">IF($H25="","",INDEX(tblFacturasRecibidas[Categoría],$H25))</f>
        <v>Inversión en vehículos</v>
      </c>
      <c r="E25" s="2" cm="1">
        <f t="array" ref="E25">IF($H25="","",INDEX(tblFacturasRecibidas[Base imponible (€)],$H25))</f>
        <v>500</v>
      </c>
      <c r="F25" s="2" cm="1">
        <f t="array" ref="F25">IF($H25="","",IFERROR(INDEX(tblFacturasRecibidas[IVA (€)],$H25),0))</f>
        <v>0</v>
      </c>
      <c r="G25" s="2" cm="1">
        <f t="array" ref="G25">IF($H25="","",IFERROR(INDEX(tblFacturasRecibidas[Total (€)],$H25),INDEX(tblFacturasRecibidas[Base imponible (€)],$H25)))</f>
        <v>500</v>
      </c>
      <c r="H25" cm="1">
        <f t="array" ref="H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GASTOS],tblCategorias[Tipo],"")="Inversión")),ROWS($H$5:H25)),"")</f>
        <v>38</v>
      </c>
    </row>
    <row r="26" spans="1:8" x14ac:dyDescent="0.35">
      <c r="A26" s="1" cm="1">
        <f t="array" ref="A26">IF($H26="","",INDEX(tblFacturasRecibidas[Fecha factura],$H26))</f>
        <v>46248</v>
      </c>
      <c r="B26" t="str" cm="1">
        <f t="array" ref="B26">IF($H26="","",INDEX(tblFacturasRecibidas[Concepto],$H26))</f>
        <v>Pintura negra para llantas</v>
      </c>
      <c r="C26" t="str" cm="1">
        <f t="array" ref="C26">IF($H26="","",INDEX(tblFacturasRecibidas[Proveedor],$H26))</f>
        <v>Mr Casa Sanse S.L</v>
      </c>
      <c r="D26" t="str" cm="1">
        <f t="array" ref="D26">IF($H26="","",INDEX(tblFacturasRecibidas[Categoría],$H26))</f>
        <v>Acondicionamiento vehículo</v>
      </c>
      <c r="E26" s="2" cm="1">
        <f t="array" ref="E26">IF($H26="","",INDEX(tblFacturasRecibidas[Base imponible (€)],$H26))</f>
        <v>6.53</v>
      </c>
      <c r="F26" s="2" cm="1">
        <f t="array" ref="F26">IF($H26="","",IFERROR(INDEX(tblFacturasRecibidas[IVA (€)],$H26),0))</f>
        <v>1.3713</v>
      </c>
      <c r="G26" s="2" cm="1">
        <f t="array" ref="G26">IF($H26="","",IFERROR(INDEX(tblFacturasRecibidas[Total (€)],$H26),INDEX(tblFacturasRecibidas[Base imponible (€)],$H26)))</f>
        <v>7.9013</v>
      </c>
      <c r="H26" cm="1">
        <f t="array" ref="H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GASTOS],tblCategorias[Tipo],"")="Inversión")),ROWS($H$5:H26)),"")</f>
        <v>39</v>
      </c>
    </row>
    <row r="27" spans="1:8" x14ac:dyDescent="0.35">
      <c r="A27" s="1" cm="1">
        <f t="array" ref="A27">IF($H27="","",INDEX(tblFacturasRecibidas[Fecha factura],$H27))</f>
        <v>46248</v>
      </c>
      <c r="B27" t="str" cm="1">
        <f t="array" ref="B27">IF($H27="","",INDEX(tblFacturasRecibidas[Concepto],$H27))</f>
        <v>Ruedas Triangle 18575R16 104102T x4</v>
      </c>
      <c r="C27" t="str" cm="1">
        <f t="array" ref="C27">IF($H27="","",INDEX(tblFacturasRecibidas[Proveedor],$H27))</f>
        <v>Reynasa S.A</v>
      </c>
      <c r="D27" t="str" cm="1">
        <f t="array" ref="D27">IF($H27="","",INDEX(tblFacturasRecibidas[Categoría],$H27))</f>
        <v>Inversión en vehículos</v>
      </c>
      <c r="E27" s="2" cm="1">
        <f t="array" ref="E27">IF($H27="","",INDEX(tblFacturasRecibidas[Base imponible (€)],$H27))</f>
        <v>216.13</v>
      </c>
      <c r="F27" s="2" cm="1">
        <f t="array" ref="F27">IF($H27="","",IFERROR(INDEX(tblFacturasRecibidas[IVA (€)],$H27),0))</f>
        <v>45.387299999999996</v>
      </c>
      <c r="G27" s="2" cm="1">
        <f t="array" ref="G27">IF($H27="","",IFERROR(INDEX(tblFacturasRecibidas[Total (€)],$H27),INDEX(tblFacturasRecibidas[Base imponible (€)],$H27)))</f>
        <v>261.51729999999998</v>
      </c>
      <c r="H27" cm="1">
        <f t="array" ref="H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GASTOS],tblCategorias[Tipo],"")="Inversión")),ROWS($H$5:H27)),"")</f>
        <v>41</v>
      </c>
    </row>
    <row r="28" spans="1:8" x14ac:dyDescent="0.35">
      <c r="A28" s="1" cm="1">
        <f t="array" ref="A28">IF($H28="","",INDEX(tblFacturasRecibidas[Fecha factura],$H28))</f>
        <v>46247</v>
      </c>
      <c r="B28" t="str" cm="1">
        <f t="array" ref="B28">IF($H28="","",INDEX(tblFacturasRecibidas[Concepto],$H28))</f>
        <v xml:space="preserve">Perno, conjunto tubos, </v>
      </c>
      <c r="C28" t="str" cm="1">
        <f t="array" ref="C28">IF($H28="","",INDEX(tblFacturasRecibidas[Proveedor],$H28))</f>
        <v>Romadrid Car S.L.U</v>
      </c>
      <c r="D28" t="str" cm="1">
        <f t="array" ref="D28">IF($H28="","",INDEX(tblFacturasRecibidas[Categoría],$H28))</f>
        <v>Inversión en vehículos</v>
      </c>
      <c r="E28" s="2" cm="1">
        <f t="array" ref="E28">IF($H28="","",INDEX(tblFacturasRecibidas[Base imponible (€)],$H28))</f>
        <v>215.44</v>
      </c>
      <c r="F28" s="2" cm="1">
        <f t="array" ref="F28">IF($H28="","",IFERROR(INDEX(tblFacturasRecibidas[IVA (€)],$H28),0))</f>
        <v>45.242399999999996</v>
      </c>
      <c r="G28" s="2" cm="1">
        <f t="array" ref="G28">IF($H28="","",IFERROR(INDEX(tblFacturasRecibidas[Total (€)],$H28),INDEX(tblFacturasRecibidas[Base imponible (€)],$H28)))</f>
        <v>260.68239999999997</v>
      </c>
      <c r="H28" cm="1">
        <f t="array" ref="H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GASTOS],tblCategorias[Tipo],"")="Inversión")),ROWS($H$5:H28)),"")</f>
        <v>44</v>
      </c>
    </row>
    <row r="29" spans="1:8" x14ac:dyDescent="0.35">
      <c r="A29" s="1" cm="1">
        <f t="array" ref="A29">IF($H29="","",INDEX(tblFacturasRecibidas[Fecha factura],$H29))</f>
        <v>46247</v>
      </c>
      <c r="B29" t="str" cm="1">
        <f t="array" ref="B29">IF($H29="","",INDEX(tblFacturasRecibidas[Concepto],$H29))</f>
        <v>Manguera calefactor, tubos,  manguito deposito</v>
      </c>
      <c r="C29" t="str" cm="1">
        <f t="array" ref="C29">IF($H29="","",INDEX(tblFacturasRecibidas[Proveedor],$H29))</f>
        <v>Romadrid Car S.L.U</v>
      </c>
      <c r="D29" t="str" cm="1">
        <f t="array" ref="D29">IF($H29="","",INDEX(tblFacturasRecibidas[Categoría],$H29))</f>
        <v>Inversión en vehículos</v>
      </c>
      <c r="E29" s="2" cm="1">
        <f t="array" ref="E29">IF($H29="","",INDEX(tblFacturasRecibidas[Base imponible (€)],$H29))</f>
        <v>112.13</v>
      </c>
      <c r="F29" s="2" cm="1">
        <f t="array" ref="F29">IF($H29="","",IFERROR(INDEX(tblFacturasRecibidas[IVA (€)],$H29),0))</f>
        <v>23.5473</v>
      </c>
      <c r="G29" s="2" cm="1">
        <f t="array" ref="G29">IF($H29="","",IFERROR(INDEX(tblFacturasRecibidas[Total (€)],$H29),INDEX(tblFacturasRecibidas[Base imponible (€)],$H29)))</f>
        <v>135.6773</v>
      </c>
      <c r="H29" cm="1">
        <f t="array" ref="H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GASTOS],tblCategorias[Tipo],"")="Inversión")),ROWS($H$5:H29)),"")</f>
        <v>45</v>
      </c>
    </row>
    <row r="30" spans="1:8" x14ac:dyDescent="0.35">
      <c r="A30" s="1" cm="1">
        <f t="array" ref="A30">IF($H30="","",INDEX(tblFacturasRecibidas[Fecha factura],$H30))</f>
        <v>46241</v>
      </c>
      <c r="B30" t="str" cm="1">
        <f t="array" ref="B30">IF($H30="","",INDEX(tblFacturasRecibidas[Concepto],$H30))</f>
        <v>Brocas, laminas , discos…</v>
      </c>
      <c r="C30" t="str" cm="1">
        <f t="array" ref="C30">IF($H30="","",INDEX(tblFacturasRecibidas[Proveedor],$H30))</f>
        <v>Proveedor 01</v>
      </c>
      <c r="D30" t="str" cm="1">
        <f t="array" ref="D30">IF($H30="","",INDEX(tblFacturasRecibidas[Categoría],$H30))</f>
        <v>Inversión en vehículos</v>
      </c>
      <c r="E30" s="2" cm="1">
        <f t="array" ref="E30">IF($H30="","",INDEX(tblFacturasRecibidas[Base imponible (€)],$H30))</f>
        <v>56.19</v>
      </c>
      <c r="F30" s="2" cm="1">
        <f t="array" ref="F30">IF($H30="","",IFERROR(INDEX(tblFacturasRecibidas[IVA (€)],$H30),0))</f>
        <v>11.799899999999999</v>
      </c>
      <c r="G30" s="2" cm="1">
        <f t="array" ref="G30">IF($H30="","",IFERROR(INDEX(tblFacturasRecibidas[Total (€)],$H30),INDEX(tblFacturasRecibidas[Base imponible (€)],$H30)))</f>
        <v>67.989899999999992</v>
      </c>
      <c r="H30" cm="1">
        <f t="array" ref="H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GASTOS],tblCategorias[Tipo],"")="Inversión")),ROWS($H$5:H30)),"")</f>
        <v>46</v>
      </c>
    </row>
    <row r="31" spans="1:8" x14ac:dyDescent="0.35">
      <c r="A31" s="1" cm="1">
        <f t="array" ref="A31">IF($H31="","",INDEX(tblFacturasRecibidas[Fecha factura],$H31))</f>
        <v>46241</v>
      </c>
      <c r="B31" t="str" cm="1">
        <f t="array" ref="B31">IF($H31="","",INDEX(tblFacturasRecibidas[Concepto],$H31))</f>
        <v>Tubo y 3 puntas atornillar</v>
      </c>
      <c r="C31" t="str" cm="1">
        <f t="array" ref="C31">IF($H31="","",INDEX(tblFacturasRecibidas[Proveedor],$H31))</f>
        <v>Proveedor 01</v>
      </c>
      <c r="D31" t="str" cm="1">
        <f t="array" ref="D31">IF($H31="","",INDEX(tblFacturasRecibidas[Categoría],$H31))</f>
        <v>Inversión en vehículos</v>
      </c>
      <c r="E31" s="2" cm="1">
        <f t="array" ref="E31">IF($H31="","",INDEX(tblFacturasRecibidas[Base imponible (€)],$H31))</f>
        <v>11.31</v>
      </c>
      <c r="F31" s="2" cm="1">
        <f t="array" ref="F31">IF($H31="","",IFERROR(INDEX(tblFacturasRecibidas[IVA (€)],$H31),0))</f>
        <v>2.3751000000000002</v>
      </c>
      <c r="G31" s="2" cm="1">
        <f t="array" ref="G31">IF($H31="","",IFERROR(INDEX(tblFacturasRecibidas[Total (€)],$H31),INDEX(tblFacturasRecibidas[Base imponible (€)],$H31)))</f>
        <v>13.6851</v>
      </c>
      <c r="H31" cm="1">
        <f t="array" ref="H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GASTOS],tblCategorias[Tipo],"")="Inversión")),ROWS($H$5:H31)),"")</f>
        <v>47</v>
      </c>
    </row>
    <row r="32" spans="1:8" x14ac:dyDescent="0.35">
      <c r="A32" s="1" cm="1">
        <f t="array" ref="A32">IF($H32="","",INDEX(tblFacturasRecibidas[Fecha factura],$H32))</f>
        <v>46241</v>
      </c>
      <c r="B32" t="str" cm="1">
        <f t="array" ref="B32">IF($H32="","",INDEX(tblFacturasRecibidas[Concepto],$H32))</f>
        <v>Tornillos</v>
      </c>
      <c r="C32" t="str" cm="1">
        <f t="array" ref="C32">IF($H32="","",INDEX(tblFacturasRecibidas[Proveedor],$H32))</f>
        <v>Proveedor 01</v>
      </c>
      <c r="D32" t="str" cm="1">
        <f t="array" ref="D32">IF($H32="","",INDEX(tblFacturasRecibidas[Categoría],$H32))</f>
        <v>Inversión en vehículos</v>
      </c>
      <c r="E32" s="2" cm="1">
        <f t="array" ref="E32">IF($H32="","",INDEX(tblFacturasRecibidas[Base imponible (€)],$H32))</f>
        <v>5.7</v>
      </c>
      <c r="F32" s="2" cm="1">
        <f t="array" ref="F32">IF($H32="","",IFERROR(INDEX(tblFacturasRecibidas[IVA (€)],$H32),0))</f>
        <v>1.1970000000000001</v>
      </c>
      <c r="G32" s="2" cm="1">
        <f t="array" ref="G32">IF($H32="","",IFERROR(INDEX(tblFacturasRecibidas[Total (€)],$H32),INDEX(tblFacturasRecibidas[Base imponible (€)],$H32)))</f>
        <v>6.8970000000000002</v>
      </c>
      <c r="H32" cm="1">
        <f t="array" ref="H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GASTOS],tblCategorias[Tipo],"")="Inversión")),ROWS($H$5:H32)),"")</f>
        <v>48</v>
      </c>
    </row>
    <row r="33" spans="1:8" x14ac:dyDescent="0.35">
      <c r="A33" s="1" cm="1">
        <f t="array" ref="A33">IF($H33="","",INDEX(tblFacturasRecibidas[Fecha factura],$H33))</f>
        <v>46241</v>
      </c>
      <c r="B33" t="str" cm="1">
        <f t="array" ref="B33">IF($H33="","",INDEX(tblFacturasRecibidas[Concepto],$H33))</f>
        <v>Abono de 1 tablero contrachapado</v>
      </c>
      <c r="C33" t="str" cm="1">
        <f t="array" ref="C33">IF($H33="","",INDEX(tblFacturasRecibidas[Proveedor],$H33))</f>
        <v>Proveedor 01</v>
      </c>
      <c r="D33" t="str" cm="1">
        <f t="array" ref="D33">IF($H33="","",INDEX(tblFacturasRecibidas[Categoría],$H33))</f>
        <v>Inversión en vehículos</v>
      </c>
      <c r="E33" s="2" cm="1">
        <f t="array" ref="E33">IF($H33="","",INDEX(tblFacturasRecibidas[Base imponible (€)],$H33))</f>
        <v>-48.76</v>
      </c>
      <c r="F33" s="2" cm="1">
        <f t="array" ref="F33">IF($H33="","",IFERROR(INDEX(tblFacturasRecibidas[IVA (€)],$H33),0))</f>
        <v>-10.239599999999999</v>
      </c>
      <c r="G33" s="2" cm="1">
        <f t="array" ref="G33">IF($H33="","",IFERROR(INDEX(tblFacturasRecibidas[Total (€)],$H33),INDEX(tblFacturasRecibidas[Base imponible (€)],$H33)))</f>
        <v>-58.999600000000001</v>
      </c>
      <c r="H33" cm="1">
        <f t="array" ref="H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GASTOS],tblCategorias[Tipo],"")="Inversión")),ROWS($H$5:H33)),"")</f>
        <v>49</v>
      </c>
    </row>
    <row r="34" spans="1:8" x14ac:dyDescent="0.35">
      <c r="A34" s="1" cm="1">
        <f t="array" ref="A34">IF($H34="","",INDEX(tblFacturasRecibidas[Fecha factura],$H34))</f>
        <v>46240</v>
      </c>
      <c r="B34" t="str" cm="1">
        <f t="array" ref="B34">IF($H34="","",INDEX(tblFacturasRecibidas[Concepto],$H34))</f>
        <v>Rail para atar cinchas</v>
      </c>
      <c r="C34" t="str" cm="1">
        <f t="array" ref="C34">IF($H34="","",INDEX(tblFacturasRecibidas[Proveedor],$H34))</f>
        <v>Recambios España S.L</v>
      </c>
      <c r="D34" t="str" cm="1">
        <f t="array" ref="D34">IF($H34="","",INDEX(tblFacturasRecibidas[Categoría],$H34))</f>
        <v>Inversión en vehículos</v>
      </c>
      <c r="E34" s="2" cm="1">
        <f t="array" ref="E34">IF($H34="","",INDEX(tblFacturasRecibidas[Base imponible (€)],$H34))</f>
        <v>70.59</v>
      </c>
      <c r="F34" s="2" cm="1">
        <f t="array" ref="F34">IF($H34="","",IFERROR(INDEX(tblFacturasRecibidas[IVA (€)],$H34),0))</f>
        <v>14.8239</v>
      </c>
      <c r="G34" s="2" cm="1">
        <f t="array" ref="G34">IF($H34="","",IFERROR(INDEX(tblFacturasRecibidas[Total (€)],$H34),INDEX(tblFacturasRecibidas[Base imponible (€)],$H34)))</f>
        <v>85.413899999999998</v>
      </c>
      <c r="H34" cm="1">
        <f t="array" ref="H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GASTOS],tblCategorias[Tipo],"")="Inversión")),ROWS($H$5:H34)),"")</f>
        <v>50</v>
      </c>
    </row>
    <row r="35" spans="1:8" x14ac:dyDescent="0.35">
      <c r="A35" s="1" cm="1">
        <f t="array" ref="A35">IF($H35="","",INDEX(tblFacturasRecibidas[Fecha factura],$H35))</f>
        <v>46238</v>
      </c>
      <c r="B35" t="str" cm="1">
        <f t="array" ref="B35">IF($H35="","",INDEX(tblFacturasRecibidas[Concepto],$H35))</f>
        <v>Contrachapado, bridas, cinta aislante…</v>
      </c>
      <c r="C35" t="str" cm="1">
        <f t="array" ref="C35">IF($H35="","",INDEX(tblFacturasRecibidas[Proveedor],$H35))</f>
        <v>Proveedor 01</v>
      </c>
      <c r="D35" t="str" cm="1">
        <f t="array" ref="D35">IF($H35="","",INDEX(tblFacturasRecibidas[Categoría],$H35))</f>
        <v>Inversión en vehículos</v>
      </c>
      <c r="E35" s="2" cm="1">
        <f t="array" ref="E35">IF($H35="","",INDEX(tblFacturasRecibidas[Base imponible (€)],$H35))</f>
        <v>207.63</v>
      </c>
      <c r="F35" s="2" cm="1">
        <f t="array" ref="F35">IF($H35="","",IFERROR(INDEX(tblFacturasRecibidas[IVA (€)],$H35),0))</f>
        <v>43.6023</v>
      </c>
      <c r="G35" s="2" cm="1">
        <f t="array" ref="G35">IF($H35="","",IFERROR(INDEX(tblFacturasRecibidas[Total (€)],$H35),INDEX(tblFacturasRecibidas[Base imponible (€)],$H35)))</f>
        <v>251.23230000000001</v>
      </c>
      <c r="H35" cm="1">
        <f t="array" ref="H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GASTOS],tblCategorias[Tipo],"")="Inversión")),ROWS($H$5:H35)),"")</f>
        <v>59</v>
      </c>
    </row>
    <row r="36" spans="1:8" x14ac:dyDescent="0.35">
      <c r="A36" s="1" cm="1">
        <f t="array" ref="A36">IF($H36="","",INDEX(tblFacturasRecibidas[Fecha factura],$H36))</f>
        <v>46238</v>
      </c>
      <c r="B36" t="str" cm="1">
        <f t="array" ref="B36">IF($H36="","",INDEX(tblFacturasRecibidas[Concepto],$H36))</f>
        <v>Tornillos y pegamento</v>
      </c>
      <c r="C36" t="str" cm="1">
        <f t="array" ref="C36">IF($H36="","",INDEX(tblFacturasRecibidas[Proveedor],$H36))</f>
        <v>Proveedor 01</v>
      </c>
      <c r="D36" t="str" cm="1">
        <f t="array" ref="D36">IF($H36="","",INDEX(tblFacturasRecibidas[Categoría],$H36))</f>
        <v>Inversión en vehículos</v>
      </c>
      <c r="E36" s="2" cm="1">
        <f t="array" ref="E36">IF($H36="","",INDEX(tblFacturasRecibidas[Base imponible (€)],$H36))</f>
        <v>45.37</v>
      </c>
      <c r="F36" s="2" cm="1">
        <f t="array" ref="F36">IF($H36="","",IFERROR(INDEX(tblFacturasRecibidas[IVA (€)],$H36),0))</f>
        <v>9.5276999999999994</v>
      </c>
      <c r="G36" s="2" cm="1">
        <f t="array" ref="G36">IF($H36="","",IFERROR(INDEX(tblFacturasRecibidas[Total (€)],$H36),INDEX(tblFacturasRecibidas[Base imponible (€)],$H36)))</f>
        <v>54.8977</v>
      </c>
      <c r="H36" cm="1">
        <f t="array" ref="H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GASTOS],tblCategorias[Tipo],"")="Inversión")),ROWS($H$5:H36)),"")</f>
        <v>60</v>
      </c>
    </row>
    <row r="37" spans="1:8" x14ac:dyDescent="0.35">
      <c r="A37" s="1" cm="1">
        <f t="array" ref="A37">IF($H37="","",INDEX(tblFacturasRecibidas[Fecha factura],$H37))</f>
        <v>46233</v>
      </c>
      <c r="B37" t="str" cm="1">
        <f t="array" ref="B37">IF($H37="","",INDEX(tblFacturasRecibidas[Concepto],$H37))</f>
        <v>Pago chapa y pintura</v>
      </c>
      <c r="C37" t="str" cm="1">
        <f t="array" ref="C37">IF($H37="","",INDEX(tblFacturasRecibidas[Proveedor],$H37))</f>
        <v>Taller Veracar S.L</v>
      </c>
      <c r="D37" t="str" cm="1">
        <f t="array" ref="D37">IF($H37="","",INDEX(tblFacturasRecibidas[Categoría],$H37))</f>
        <v>Inversión en vehículos</v>
      </c>
      <c r="E37" s="2" cm="1">
        <f t="array" ref="E37">IF($H37="","",INDEX(tblFacturasRecibidas[Base imponible (€)],$H37))</f>
        <v>3000</v>
      </c>
      <c r="F37" s="2" cm="1">
        <f t="array" ref="F37">IF($H37="","",IFERROR(INDEX(tblFacturasRecibidas[IVA (€)],$H37),0))</f>
        <v>0</v>
      </c>
      <c r="G37" s="2" cm="1">
        <f t="array" ref="G37">IF($H37="","",IFERROR(INDEX(tblFacturasRecibidas[Total (€)],$H37),INDEX(tblFacturasRecibidas[Base imponible (€)],$H37)))</f>
        <v>3000</v>
      </c>
      <c r="H37" cm="1">
        <f t="array" ref="H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GASTOS],tblCategorias[Tipo],"")="Inversión")),ROWS($H$5:H37)),"")</f>
        <v>62</v>
      </c>
    </row>
    <row r="38" spans="1:8" x14ac:dyDescent="0.35">
      <c r="A38" s="1" cm="1">
        <f t="array" ref="A38">IF($H38="","",INDEX(tblFacturasRecibidas[Fecha factura],$H38))</f>
        <v>46233</v>
      </c>
      <c r="B38" t="str" cm="1">
        <f t="array" ref="B38">IF($H38="","",INDEX(tblFacturasRecibidas[Concepto],$H38))</f>
        <v>Pago tasa autorización MDLE para 8324-HGZ</v>
      </c>
      <c r="C38" t="str" cm="1">
        <f t="array" ref="C38">IF($H38="","",INDEX(tblFacturasRecibidas[Proveedor],$H38))</f>
        <v>Ministerio de Transportes y Movilidad</v>
      </c>
      <c r="D38" t="str" cm="1">
        <f t="array" ref="D38">IF($H38="","",INDEX(tblFacturasRecibidas[Categoría],$H38))</f>
        <v>Tasas (puesta en marcha)</v>
      </c>
      <c r="E38" s="2" cm="1">
        <f t="array" ref="E38">IF($H38="","",INDEX(tblFacturasRecibidas[Base imponible (€)],$H38))</f>
        <v>38.64</v>
      </c>
      <c r="F38" s="2" cm="1">
        <f t="array" ref="F38">IF($H38="","",IFERROR(INDEX(tblFacturasRecibidas[IVA (€)],$H38),0))</f>
        <v>0</v>
      </c>
      <c r="G38" s="2" cm="1">
        <f t="array" ref="G38">IF($H38="","",IFERROR(INDEX(tblFacturasRecibidas[Total (€)],$H38),INDEX(tblFacturasRecibidas[Base imponible (€)],$H38)))</f>
        <v>38.64</v>
      </c>
      <c r="H38" cm="1">
        <f t="array" ref="H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GASTOS],tblCategorias[Tipo],"")="Inversión")),ROWS($H$5:H38)),"")</f>
        <v>63</v>
      </c>
    </row>
    <row r="39" spans="1:8" x14ac:dyDescent="0.35">
      <c r="A39" s="1" cm="1">
        <f t="array" ref="A39">IF($H39="","",INDEX(tblFacturasRecibidas[Fecha factura],$H39))</f>
        <v>46231</v>
      </c>
      <c r="B39" t="str" cm="1">
        <f t="array" ref="B39">IF($H39="","",INDEX(tblFacturasRecibidas[Concepto],$H39))</f>
        <v>Enfriador EGR</v>
      </c>
      <c r="C39" t="str" cm="1">
        <f t="array" ref="C39">IF($H39="","",INDEX(tblFacturasRecibidas[Proveedor],$H39))</f>
        <v>Reynasa S.A</v>
      </c>
      <c r="D39" t="str" cm="1">
        <f t="array" ref="D39">IF($H39="","",INDEX(tblFacturasRecibidas[Categoría],$H39))</f>
        <v>Inversión en vehículos</v>
      </c>
      <c r="E39" s="2" cm="1">
        <f t="array" ref="E39">IF($H39="","",INDEX(tblFacturasRecibidas[Base imponible (€)],$H39))</f>
        <v>164.7</v>
      </c>
      <c r="F39" s="2" cm="1">
        <f t="array" ref="F39">IF($H39="","",IFERROR(INDEX(tblFacturasRecibidas[IVA (€)],$H39),0))</f>
        <v>34.586999999999996</v>
      </c>
      <c r="G39" s="2" cm="1">
        <f t="array" ref="G39">IF($H39="","",IFERROR(INDEX(tblFacturasRecibidas[Total (€)],$H39),INDEX(tblFacturasRecibidas[Base imponible (€)],$H39)))</f>
        <v>199.28699999999998</v>
      </c>
      <c r="H39" cm="1">
        <f t="array" ref="H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GASTOS],tblCategorias[Tipo],"")="Inversión")),ROWS($H$5:H39)),"")</f>
        <v>64</v>
      </c>
    </row>
    <row r="40" spans="1:8" x14ac:dyDescent="0.35">
      <c r="A40" s="1" cm="1">
        <f t="array" ref="A40">IF($H40="","",INDEX(tblFacturasRecibidas[Fecha factura],$H40))</f>
        <v>46224</v>
      </c>
      <c r="B40" t="str" cm="1">
        <f t="array" ref="B40">IF($H40="","",INDEX(tblFacturasRecibidas[Concepto],$H40))</f>
        <v>Seguro por dias 8 dias</v>
      </c>
      <c r="C40" t="str" cm="1">
        <f t="array" ref="C40">IF($H40="","",INDEX(tblFacturasRecibidas[Proveedor],$H40))</f>
        <v>Terranea 2000 Correduria de Seguros SL</v>
      </c>
      <c r="D40" t="str" cm="1">
        <f t="array" ref="D40">IF($H40="","",INDEX(tblFacturasRecibidas[Categoría],$H40))</f>
        <v>Inversión en vehículos</v>
      </c>
      <c r="E40" s="2" cm="1">
        <f t="array" ref="E40">IF($H40="","",INDEX(tblFacturasRecibidas[Base imponible (€)],$H40))</f>
        <v>49.54</v>
      </c>
      <c r="F40" s="2" cm="1">
        <f t="array" ref="F40">IF($H40="","",IFERROR(INDEX(tblFacturasRecibidas[IVA (€)],$H40),0))</f>
        <v>0</v>
      </c>
      <c r="G40" s="2" cm="1">
        <f t="array" ref="G40">IF($H40="","",IFERROR(INDEX(tblFacturasRecibidas[Total (€)],$H40),INDEX(tblFacturasRecibidas[Base imponible (€)],$H40)))</f>
        <v>49.54</v>
      </c>
      <c r="H40" cm="1">
        <f t="array" ref="H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GASTOS],tblCategorias[Tipo],"")="Inversión")),ROWS($H$5:H40)),"")</f>
        <v>69</v>
      </c>
    </row>
    <row r="41" spans="1:8" x14ac:dyDescent="0.35">
      <c r="A41" s="1" cm="1">
        <f t="array" ref="A41">IF($H41="","",INDEX(tblFacturasRecibidas[Fecha factura],$H41))</f>
        <v>46230</v>
      </c>
      <c r="B41" t="str" cm="1">
        <f t="array" ref="B41">IF($H41="","",INDEX(tblFacturasRecibidas[Concepto],$H41))</f>
        <v>Manguito enfriador EGR</v>
      </c>
      <c r="C41" t="str" cm="1">
        <f t="array" ref="C41">IF($H41="","",INDEX(tblFacturasRecibidas[Proveedor],$H41))</f>
        <v>Reynasa S.A</v>
      </c>
      <c r="D41" t="str" cm="1">
        <f t="array" ref="D41">IF($H41="","",INDEX(tblFacturasRecibidas[Categoría],$H41))</f>
        <v>Inversión en vehículos</v>
      </c>
      <c r="E41" s="2" cm="1">
        <f t="array" ref="E41">IF($H41="","",INDEX(tblFacturasRecibidas[Base imponible (€)],$H41))</f>
        <v>9</v>
      </c>
      <c r="F41" s="2" cm="1">
        <f t="array" ref="F41">IF($H41="","",IFERROR(INDEX(tblFacturasRecibidas[IVA (€)],$H41),0))</f>
        <v>1.89</v>
      </c>
      <c r="G41" s="2" cm="1">
        <f t="array" ref="G41">IF($H41="","",IFERROR(INDEX(tblFacturasRecibidas[Total (€)],$H41),INDEX(tblFacturasRecibidas[Base imponible (€)],$H41)))</f>
        <v>10.89</v>
      </c>
      <c r="H41" cm="1">
        <f t="array" ref="H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GASTOS],tblCategorias[Tipo],"")="Inversión")),ROWS($H$5:H41)),"")</f>
        <v>72</v>
      </c>
    </row>
    <row r="42" spans="1:8" x14ac:dyDescent="0.35">
      <c r="A42" s="1" cm="1">
        <f t="array" ref="A42">IF($H42="","",INDEX(tblFacturasRecibidas[Fecha factura],$H42))</f>
        <v>46227</v>
      </c>
      <c r="B42" t="str" cm="1">
        <f t="array" ref="B42">IF($H42="","",INDEX(tblFacturasRecibidas[Concepto],$H42))</f>
        <v>Frenada delantera</v>
      </c>
      <c r="C42" t="str" cm="1">
        <f t="array" ref="C42">IF($H42="","",INDEX(tblFacturasRecibidas[Proveedor],$H42))</f>
        <v>Reynasa S.A</v>
      </c>
      <c r="D42" t="str" cm="1">
        <f t="array" ref="D42">IF($H42="","",INDEX(tblFacturasRecibidas[Categoría],$H42))</f>
        <v>Inversión en vehículos</v>
      </c>
      <c r="E42" s="2" cm="1">
        <f t="array" ref="E42">IF($H42="","",INDEX(tblFacturasRecibidas[Base imponible (€)],$H42))</f>
        <v>122.79</v>
      </c>
      <c r="F42" s="2" cm="1">
        <f t="array" ref="F42">IF($H42="","",IFERROR(INDEX(tblFacturasRecibidas[IVA (€)],$H42),0))</f>
        <v>25.785900000000002</v>
      </c>
      <c r="G42" s="2" cm="1">
        <f t="array" ref="G42">IF($H42="","",IFERROR(INDEX(tblFacturasRecibidas[Total (€)],$H42),INDEX(tblFacturasRecibidas[Base imponible (€)],$H42)))</f>
        <v>148.57590000000002</v>
      </c>
      <c r="H42" cm="1">
        <f t="array" ref="H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GASTOS],tblCategorias[Tipo],"")="Inversión")),ROWS($H$5:H42)),"")</f>
        <v>73</v>
      </c>
    </row>
    <row r="43" spans="1:8" x14ac:dyDescent="0.35">
      <c r="A43" s="1" cm="1">
        <f t="array" ref="A43">IF($H43="","",INDEX(tblFacturasRecibidas[Fecha factura],$H43))</f>
        <v>46226</v>
      </c>
      <c r="B43" t="str" cm="1">
        <f t="array" ref="B43">IF($H43="","",INDEX(tblFacturasRecibidas[Concepto],$H43))</f>
        <v>Manguito sup/inf radiador</v>
      </c>
      <c r="C43" t="str" cm="1">
        <f t="array" ref="C43">IF($H43="","",INDEX(tblFacturasRecibidas[Proveedor],$H43))</f>
        <v>Reynasa S.A</v>
      </c>
      <c r="D43" t="str" cm="1">
        <f t="array" ref="D43">IF($H43="","",INDEX(tblFacturasRecibidas[Categoría],$H43))</f>
        <v>Inversión en vehículos</v>
      </c>
      <c r="E43" s="2" cm="1">
        <f t="array" ref="E43">IF($H43="","",INDEX(tblFacturasRecibidas[Base imponible (€)],$H43))</f>
        <v>37.01</v>
      </c>
      <c r="F43" s="2" cm="1">
        <f t="array" ref="F43">IF($H43="","",IFERROR(INDEX(tblFacturasRecibidas[IVA (€)],$H43),0))</f>
        <v>7.7720999999999991</v>
      </c>
      <c r="G43" s="2" cm="1">
        <f t="array" ref="G43">IF($H43="","",IFERROR(INDEX(tblFacturasRecibidas[Total (€)],$H43),INDEX(tblFacturasRecibidas[Base imponible (€)],$H43)))</f>
        <v>44.7821</v>
      </c>
      <c r="H43" cm="1">
        <f t="array" ref="H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GASTOS],tblCategorias[Tipo],"")="Inversión")),ROWS($H$5:H43)),"")</f>
        <v>74</v>
      </c>
    </row>
    <row r="44" spans="1:8" x14ac:dyDescent="0.35">
      <c r="A44" s="1" cm="1">
        <f t="array" ref="A44">IF($H44="","",INDEX(tblFacturasRecibidas[Fecha factura],$H44))</f>
        <v>46224</v>
      </c>
      <c r="B44" t="str" cm="1">
        <f t="array" ref="B44">IF($H44="","",INDEX(tblFacturasRecibidas[Concepto],$H44))</f>
        <v>Cambio motor arranque</v>
      </c>
      <c r="C44" t="str" cm="1">
        <f t="array" ref="C44">IF($H44="","",INDEX(tblFacturasRecibidas[Proveedor],$H44))</f>
        <v>Especialidades Eléctricas Lausan SAU</v>
      </c>
      <c r="D44" t="str" cm="1">
        <f t="array" ref="D44">IF($H44="","",INDEX(tblFacturasRecibidas[Categoría],$H44))</f>
        <v>Inversión en vehículos</v>
      </c>
      <c r="E44" s="2" cm="1">
        <f t="array" ref="E44">IF($H44="","",INDEX(tblFacturasRecibidas[Base imponible (€)],$H44))</f>
        <v>155.36000000000001</v>
      </c>
      <c r="F44" s="2" cm="1">
        <f t="array" ref="F44">IF($H44="","",IFERROR(INDEX(tblFacturasRecibidas[IVA (€)],$H44),0))</f>
        <v>32.625599999999999</v>
      </c>
      <c r="G44" s="2" cm="1">
        <f t="array" ref="G44">IF($H44="","",IFERROR(INDEX(tblFacturasRecibidas[Total (€)],$H44),INDEX(tblFacturasRecibidas[Base imponible (€)],$H44)))</f>
        <v>187.98560000000001</v>
      </c>
      <c r="H44" cm="1">
        <f t="array" ref="H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GASTOS],tblCategorias[Tipo],"")="Inversión")),ROWS($H$5:H44)),"")</f>
        <v>77</v>
      </c>
    </row>
    <row r="45" spans="1:8" x14ac:dyDescent="0.35">
      <c r="A45" s="1" cm="1">
        <f t="array" ref="A45">IF($H45="","",INDEX(tblFacturasRecibidas[Fecha factura],$H45))</f>
        <v>46224</v>
      </c>
      <c r="B45" t="str" cm="1">
        <f t="array" ref="B45">IF($H45="","",INDEX(tblFacturasRecibidas[Concepto],$H45))</f>
        <v>Cambio nombre</v>
      </c>
      <c r="C45" t="str" cm="1">
        <f t="array" ref="C45">IF($H45="","",INDEX(tblFacturasRecibidas[Proveedor],$H45))</f>
        <v>Neruda Gestoria Administrativa SLP</v>
      </c>
      <c r="D45" t="str" cm="1">
        <f t="array" ref="D45">IF($H45="","",INDEX(tblFacturasRecibidas[Categoría],$H45))</f>
        <v>Inversión en vehículos</v>
      </c>
      <c r="E45" s="2" cm="1">
        <f t="array" ref="E45">IF($H45="","",INDEX(tblFacturasRecibidas[Base imponible (€)],$H45))</f>
        <v>96.17</v>
      </c>
      <c r="F45" s="2" cm="1">
        <f t="array" ref="F45">IF($H45="","",IFERROR(INDEX(tblFacturasRecibidas[IVA (€)],$H45),0))</f>
        <v>20.195699999999999</v>
      </c>
      <c r="G45" s="2" cm="1">
        <f t="array" ref="G45">IF($H45="","",IFERROR(INDEX(tblFacturasRecibidas[Total (€)],$H45),INDEX(tblFacturasRecibidas[Base imponible (€)],$H45)))</f>
        <v>105</v>
      </c>
      <c r="H45" cm="1">
        <f t="array" ref="H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GASTOS],tblCategorias[Tipo],"")="Inversión")),ROWS($H$5:H45)),"")</f>
        <v>78</v>
      </c>
    </row>
    <row r="46" spans="1:8" x14ac:dyDescent="0.35">
      <c r="A46" s="1" cm="1">
        <f t="array" ref="A46">IF($H46="","",INDEX(tblFacturasRecibidas[Fecha factura],$H46))</f>
        <v>46224</v>
      </c>
      <c r="B46" t="str" cm="1">
        <f t="array" ref="B46">IF($H46="","",INDEX(tblFacturasRecibidas[Concepto],$H46))</f>
        <v>Transporte Astrain - Madrid</v>
      </c>
      <c r="C46" t="str" cm="1">
        <f t="array" ref="C46">IF($H46="","",INDEX(tblFacturasRecibidas[Proveedor],$H46))</f>
        <v>Gruas Oscar</v>
      </c>
      <c r="D46" t="str" cm="1">
        <f t="array" ref="D46">IF($H46="","",INDEX(tblFacturasRecibidas[Categoría],$H46))</f>
        <v>Inversión en vehículos</v>
      </c>
      <c r="E46" s="2" cm="1">
        <f t="array" ref="E46">IF($H46="","",INDEX(tblFacturasRecibidas[Base imponible (€)],$H46))</f>
        <v>850</v>
      </c>
      <c r="F46" s="2" cm="1">
        <f t="array" ref="F46">IF($H46="","",IFERROR(INDEX(tblFacturasRecibidas[IVA (€)],$H46),0))</f>
        <v>0</v>
      </c>
      <c r="G46" s="2" cm="1">
        <f t="array" ref="G46">IF($H46="","",IFERROR(INDEX(tblFacturasRecibidas[Total (€)],$H46),INDEX(tblFacturasRecibidas[Base imponible (€)],$H46)))</f>
        <v>850</v>
      </c>
      <c r="H46" cm="1">
        <f t="array" ref="H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GASTOS],tblCategorias[Tipo],"")="Inversión")),ROWS($H$5:H46)),"")</f>
        <v>79</v>
      </c>
    </row>
    <row r="47" spans="1:8" x14ac:dyDescent="0.35">
      <c r="A47" s="1" cm="1">
        <f t="array" ref="A47">IF($H47="","",INDEX(tblFacturasRecibidas[Fecha factura],$H47))</f>
        <v>46224</v>
      </c>
      <c r="B47" t="str" cm="1">
        <f t="array" ref="B47">IF($H47="","",INDEX(tblFacturasRecibidas[Concepto],$H47))</f>
        <v>Compra furgoneta</v>
      </c>
      <c r="C47" t="str" cm="1">
        <f t="array" ref="C47">IF($H47="","",INDEX(tblFacturasRecibidas[Proveedor],$H47))</f>
        <v>Jonatan Samuel Ferreruela Jimenez</v>
      </c>
      <c r="D47" t="str" cm="1">
        <f t="array" ref="D47">IF($H47="","",INDEX(tblFacturasRecibidas[Categoría],$H47))</f>
        <v>Inversión en vehículos</v>
      </c>
      <c r="E47" s="2" cm="1">
        <f t="array" ref="E47">IF($H47="","",INDEX(tblFacturasRecibidas[Base imponible (€)],$H47))</f>
        <v>3500</v>
      </c>
      <c r="F47" s="2" cm="1">
        <f t="array" ref="F47">IF($H47="","",IFERROR(INDEX(tblFacturasRecibidas[IVA (€)],$H47),0))</f>
        <v>0</v>
      </c>
      <c r="G47" s="2" cm="1">
        <f t="array" ref="G47">IF($H47="","",IFERROR(INDEX(tblFacturasRecibidas[Total (€)],$H47),INDEX(tblFacturasRecibidas[Base imponible (€)],$H47)))</f>
        <v>3500</v>
      </c>
      <c r="H47" cm="1">
        <f t="array" ref="H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GASTOS],tblCategorias[Tipo],"")="Inversión")),ROWS($H$5:H47)),"")</f>
        <v>80</v>
      </c>
    </row>
    <row r="48" spans="1:8" x14ac:dyDescent="0.35">
      <c r="A48" s="1" t="str" cm="1">
        <f t="array" ref="A48">IF($H48="","",INDEX(tblFacturasRecibidas[Fecha factura],$H48))</f>
        <v/>
      </c>
      <c r="B48" t="str" cm="1">
        <f t="array" ref="B48">IF($H48="","",INDEX(tblFacturasRecibidas[Concepto],$H48))</f>
        <v/>
      </c>
      <c r="C48" t="str" cm="1">
        <f t="array" ref="C48">IF($H48="","",INDEX(tblFacturasRecibidas[Proveedor],$H48))</f>
        <v/>
      </c>
      <c r="D48" t="str" cm="1">
        <f t="array" ref="D48">IF($H48="","",INDEX(tblFacturasRecibidas[Categoría],$H48))</f>
        <v/>
      </c>
      <c r="E48" s="2" t="str" cm="1">
        <f t="array" ref="E48">IF($H48="","",INDEX(tblFacturasRecibidas[Base imponible (€)],$H48))</f>
        <v/>
      </c>
      <c r="F48" s="2" t="str" cm="1">
        <f t="array" ref="F48">IF($H48="","",IFERROR(INDEX(tblFacturasRecibidas[IVA (€)],$H48),0))</f>
        <v/>
      </c>
      <c r="G48" s="2" t="str" cm="1">
        <f t="array" ref="G48">IF($H48="","",IFERROR(INDEX(tblFacturasRecibidas[Total (€)],$H48),INDEX(tblFacturasRecibidas[Base imponible (€)],$H48)))</f>
        <v/>
      </c>
      <c r="H48" t="str" cm="1">
        <f t="array" ref="H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GASTOS],tblCategorias[Tipo],"")="Inversión")),ROWS($H$5:H48)),"")</f>
        <v/>
      </c>
    </row>
    <row r="49" spans="1:8" x14ac:dyDescent="0.35">
      <c r="A49" s="1" t="str" cm="1">
        <f t="array" ref="A49">IF($H49="","",INDEX(tblFacturasRecibidas[Fecha factura],$H49))</f>
        <v/>
      </c>
      <c r="B49" t="str" cm="1">
        <f t="array" ref="B49">IF($H49="","",INDEX(tblFacturasRecibidas[Concepto],$H49))</f>
        <v/>
      </c>
      <c r="C49" t="str" cm="1">
        <f t="array" ref="C49">IF($H49="","",INDEX(tblFacturasRecibidas[Proveedor],$H49))</f>
        <v/>
      </c>
      <c r="D49" t="str" cm="1">
        <f t="array" ref="D49">IF($H49="","",INDEX(tblFacturasRecibidas[Categoría],$H49))</f>
        <v/>
      </c>
      <c r="E49" s="2" t="str" cm="1">
        <f t="array" ref="E49">IF($H49="","",INDEX(tblFacturasRecibidas[Base imponible (€)],$H49))</f>
        <v/>
      </c>
      <c r="F49" s="2" t="str" cm="1">
        <f t="array" ref="F49">IF($H49="","",IFERROR(INDEX(tblFacturasRecibidas[IVA (€)],$H49),0))</f>
        <v/>
      </c>
      <c r="G49" s="2" t="str" cm="1">
        <f t="array" ref="G49">IF($H49="","",IFERROR(INDEX(tblFacturasRecibidas[Total (€)],$H49),INDEX(tblFacturasRecibidas[Base imponible (€)],$H49)))</f>
        <v/>
      </c>
      <c r="H49" t="str" cm="1">
        <f t="array" ref="H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GASTOS],tblCategorias[Tipo],"")="Inversión")),ROWS($H$5:H49)),"")</f>
        <v/>
      </c>
    </row>
    <row r="50" spans="1:8" x14ac:dyDescent="0.35">
      <c r="A50" s="1" t="str" cm="1">
        <f t="array" ref="A50">IF($H50="","",INDEX(tblFacturasRecibidas[Fecha factura],$H50))</f>
        <v/>
      </c>
      <c r="B50" t="str" cm="1">
        <f t="array" ref="B50">IF($H50="","",INDEX(tblFacturasRecibidas[Concepto],$H50))</f>
        <v/>
      </c>
      <c r="C50" t="str" cm="1">
        <f t="array" ref="C50">IF($H50="","",INDEX(tblFacturasRecibidas[Proveedor],$H50))</f>
        <v/>
      </c>
      <c r="D50" t="str" cm="1">
        <f t="array" ref="D50">IF($H50="","",INDEX(tblFacturasRecibidas[Categoría],$H50))</f>
        <v/>
      </c>
      <c r="E50" s="2" t="str" cm="1">
        <f t="array" ref="E50">IF($H50="","",INDEX(tblFacturasRecibidas[Base imponible (€)],$H50))</f>
        <v/>
      </c>
      <c r="F50" s="2" t="str" cm="1">
        <f t="array" ref="F50">IF($H50="","",IFERROR(INDEX(tblFacturasRecibidas[IVA (€)],$H50),0))</f>
        <v/>
      </c>
      <c r="G50" s="2" t="str" cm="1">
        <f t="array" ref="G50">IF($H50="","",IFERROR(INDEX(tblFacturasRecibidas[Total (€)],$H50),INDEX(tblFacturasRecibidas[Base imponible (€)],$H50)))</f>
        <v/>
      </c>
      <c r="H50" t="str" cm="1">
        <f t="array" ref="H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GASTOS],tblCategorias[Tipo],"")="Inversión")),ROWS($H$5:H50)),"")</f>
        <v/>
      </c>
    </row>
    <row r="51" spans="1:8" x14ac:dyDescent="0.35">
      <c r="A51" s="1" t="str" cm="1">
        <f t="array" ref="A51">IF($H51="","",INDEX(tblFacturasRecibidas[Fecha factura],$H51))</f>
        <v/>
      </c>
      <c r="B51" t="str" cm="1">
        <f t="array" ref="B51">IF($H51="","",INDEX(tblFacturasRecibidas[Concepto],$H51))</f>
        <v/>
      </c>
      <c r="C51" t="str" cm="1">
        <f t="array" ref="C51">IF($H51="","",INDEX(tblFacturasRecibidas[Proveedor],$H51))</f>
        <v/>
      </c>
      <c r="D51" t="str" cm="1">
        <f t="array" ref="D51">IF($H51="","",INDEX(tblFacturasRecibidas[Categoría],$H51))</f>
        <v/>
      </c>
      <c r="E51" s="2" t="str" cm="1">
        <f t="array" ref="E51">IF($H51="","",INDEX(tblFacturasRecibidas[Base imponible (€)],$H51))</f>
        <v/>
      </c>
      <c r="F51" s="2" t="str" cm="1">
        <f t="array" ref="F51">IF($H51="","",IFERROR(INDEX(tblFacturasRecibidas[IVA (€)],$H51),0))</f>
        <v/>
      </c>
      <c r="G51" s="2" t="str" cm="1">
        <f t="array" ref="G51">IF($H51="","",IFERROR(INDEX(tblFacturasRecibidas[Total (€)],$H51),INDEX(tblFacturasRecibidas[Base imponible (€)],$H51)))</f>
        <v/>
      </c>
      <c r="H51" t="str" cm="1">
        <f t="array" ref="H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GASTOS],tblCategorias[Tipo],"")="Inversión")),ROWS($H$5:H51)),"")</f>
        <v/>
      </c>
    </row>
    <row r="52" spans="1:8" x14ac:dyDescent="0.35">
      <c r="A52" s="1" t="str" cm="1">
        <f t="array" ref="A52">IF($H52="","",INDEX(tblFacturasRecibidas[Fecha factura],$H52))</f>
        <v/>
      </c>
      <c r="B52" t="str" cm="1">
        <f t="array" ref="B52">IF($H52="","",INDEX(tblFacturasRecibidas[Concepto],$H52))</f>
        <v/>
      </c>
      <c r="C52" t="str" cm="1">
        <f t="array" ref="C52">IF($H52="","",INDEX(tblFacturasRecibidas[Proveedor],$H52))</f>
        <v/>
      </c>
      <c r="D52" t="str" cm="1">
        <f t="array" ref="D52">IF($H52="","",INDEX(tblFacturasRecibidas[Categoría],$H52))</f>
        <v/>
      </c>
      <c r="E52" s="2" t="str" cm="1">
        <f t="array" ref="E52">IF($H52="","",INDEX(tblFacturasRecibidas[Base imponible (€)],$H52))</f>
        <v/>
      </c>
      <c r="F52" s="2" t="str" cm="1">
        <f t="array" ref="F52">IF($H52="","",IFERROR(INDEX(tblFacturasRecibidas[IVA (€)],$H52),0))</f>
        <v/>
      </c>
      <c r="G52" s="2" t="str" cm="1">
        <f t="array" ref="G52">IF($H52="","",IFERROR(INDEX(tblFacturasRecibidas[Total (€)],$H52),INDEX(tblFacturasRecibidas[Base imponible (€)],$H52)))</f>
        <v/>
      </c>
      <c r="H52" t="str" cm="1">
        <f t="array" ref="H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GASTOS],tblCategorias[Tipo],"")="Inversión")),ROWS($H$5:H52)),"")</f>
        <v/>
      </c>
    </row>
    <row r="53" spans="1:8" x14ac:dyDescent="0.35">
      <c r="A53" s="1" t="str" cm="1">
        <f t="array" ref="A53">IF($H53="","",INDEX(tblFacturasRecibidas[Fecha factura],$H53))</f>
        <v/>
      </c>
      <c r="B53" t="str" cm="1">
        <f t="array" ref="B53">IF($H53="","",INDEX(tblFacturasRecibidas[Concepto],$H53))</f>
        <v/>
      </c>
      <c r="C53" t="str" cm="1">
        <f t="array" ref="C53">IF($H53="","",INDEX(tblFacturasRecibidas[Proveedor],$H53))</f>
        <v/>
      </c>
      <c r="D53" t="str" cm="1">
        <f t="array" ref="D53">IF($H53="","",INDEX(tblFacturasRecibidas[Categoría],$H53))</f>
        <v/>
      </c>
      <c r="E53" s="2" t="str" cm="1">
        <f t="array" ref="E53">IF($H53="","",INDEX(tblFacturasRecibidas[Base imponible (€)],$H53))</f>
        <v/>
      </c>
      <c r="F53" s="2" t="str" cm="1">
        <f t="array" ref="F53">IF($H53="","",IFERROR(INDEX(tblFacturasRecibidas[IVA (€)],$H53),0))</f>
        <v/>
      </c>
      <c r="G53" s="2" t="str" cm="1">
        <f t="array" ref="G53">IF($H53="","",IFERROR(INDEX(tblFacturasRecibidas[Total (€)],$H53),INDEX(tblFacturasRecibidas[Base imponible (€)],$H53)))</f>
        <v/>
      </c>
      <c r="H53" t="str" cm="1">
        <f t="array" ref="H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GASTOS],tblCategorias[Tipo],"")="Inversión")),ROWS($H$5:H53)),"")</f>
        <v/>
      </c>
    </row>
    <row r="54" spans="1:8" x14ac:dyDescent="0.35">
      <c r="A54" s="1" t="str" cm="1">
        <f t="array" ref="A54">IF($H54="","",INDEX(tblFacturasRecibidas[Fecha factura],$H54))</f>
        <v/>
      </c>
      <c r="B54" t="str" cm="1">
        <f t="array" ref="B54">IF($H54="","",INDEX(tblFacturasRecibidas[Concepto],$H54))</f>
        <v/>
      </c>
      <c r="C54" t="str" cm="1">
        <f t="array" ref="C54">IF($H54="","",INDEX(tblFacturasRecibidas[Proveedor],$H54))</f>
        <v/>
      </c>
      <c r="D54" t="str" cm="1">
        <f t="array" ref="D54">IF($H54="","",INDEX(tblFacturasRecibidas[Categoría],$H54))</f>
        <v/>
      </c>
      <c r="E54" s="2" t="str" cm="1">
        <f t="array" ref="E54">IF($H54="","",INDEX(tblFacturasRecibidas[Base imponible (€)],$H54))</f>
        <v/>
      </c>
      <c r="F54" s="2" t="str" cm="1">
        <f t="array" ref="F54">IF($H54="","",IFERROR(INDEX(tblFacturasRecibidas[IVA (€)],$H54),0))</f>
        <v/>
      </c>
      <c r="G54" s="2" t="str" cm="1">
        <f t="array" ref="G54">IF($H54="","",IFERROR(INDEX(tblFacturasRecibidas[Total (€)],$H54),INDEX(tblFacturasRecibidas[Base imponible (€)],$H54)))</f>
        <v/>
      </c>
      <c r="H54" t="str" cm="1">
        <f t="array" ref="H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GASTOS],tblCategorias[Tipo],"")="Inversión")),ROWS($H$5:H54)),"")</f>
        <v/>
      </c>
    </row>
    <row r="55" spans="1:8" x14ac:dyDescent="0.35">
      <c r="A55" s="1" t="str" cm="1">
        <f t="array" ref="A55">IF($H55="","",INDEX(tblFacturasRecibidas[Fecha factura],$H55))</f>
        <v/>
      </c>
      <c r="B55" t="str" cm="1">
        <f t="array" ref="B55">IF($H55="","",INDEX(tblFacturasRecibidas[Concepto],$H55))</f>
        <v/>
      </c>
      <c r="C55" t="str" cm="1">
        <f t="array" ref="C55">IF($H55="","",INDEX(tblFacturasRecibidas[Proveedor],$H55))</f>
        <v/>
      </c>
      <c r="D55" t="str" cm="1">
        <f t="array" ref="D55">IF($H55="","",INDEX(tblFacturasRecibidas[Categoría],$H55))</f>
        <v/>
      </c>
      <c r="E55" s="2" t="str" cm="1">
        <f t="array" ref="E55">IF($H55="","",INDEX(tblFacturasRecibidas[Base imponible (€)],$H55))</f>
        <v/>
      </c>
      <c r="F55" s="2" t="str" cm="1">
        <f t="array" ref="F55">IF($H55="","",IFERROR(INDEX(tblFacturasRecibidas[IVA (€)],$H55),0))</f>
        <v/>
      </c>
      <c r="G55" s="2" t="str" cm="1">
        <f t="array" ref="G55">IF($H55="","",IFERROR(INDEX(tblFacturasRecibidas[Total (€)],$H55),INDEX(tblFacturasRecibidas[Base imponible (€)],$H55)))</f>
        <v/>
      </c>
      <c r="H55" t="str" cm="1">
        <f t="array" ref="H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GASTOS],tblCategorias[Tipo],"")="Inversión")),ROWS($H$5:H55)),"")</f>
        <v/>
      </c>
    </row>
    <row r="56" spans="1:8" x14ac:dyDescent="0.35">
      <c r="A56" s="1" t="str" cm="1">
        <f t="array" ref="A56">IF($H56="","",INDEX(tblFacturasRecibidas[Fecha factura],$H56))</f>
        <v/>
      </c>
      <c r="B56" t="str" cm="1">
        <f t="array" ref="B56">IF($H56="","",INDEX(tblFacturasRecibidas[Concepto],$H56))</f>
        <v/>
      </c>
      <c r="C56" t="str" cm="1">
        <f t="array" ref="C56">IF($H56="","",INDEX(tblFacturasRecibidas[Proveedor],$H56))</f>
        <v/>
      </c>
      <c r="D56" t="str" cm="1">
        <f t="array" ref="D56">IF($H56="","",INDEX(tblFacturasRecibidas[Categoría],$H56))</f>
        <v/>
      </c>
      <c r="E56" s="2" t="str" cm="1">
        <f t="array" ref="E56">IF($H56="","",INDEX(tblFacturasRecibidas[Base imponible (€)],$H56))</f>
        <v/>
      </c>
      <c r="F56" s="2" t="str" cm="1">
        <f t="array" ref="F56">IF($H56="","",IFERROR(INDEX(tblFacturasRecibidas[IVA (€)],$H56),0))</f>
        <v/>
      </c>
      <c r="G56" s="2" t="str" cm="1">
        <f t="array" ref="G56">IF($H56="","",IFERROR(INDEX(tblFacturasRecibidas[Total (€)],$H56),INDEX(tblFacturasRecibidas[Base imponible (€)],$H56)))</f>
        <v/>
      </c>
      <c r="H56" t="str" cm="1">
        <f t="array" ref="H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GASTOS],tblCategorias[Tipo],"")="Inversión")),ROWS($H$5:H56)),"")</f>
        <v/>
      </c>
    </row>
    <row r="57" spans="1:8" x14ac:dyDescent="0.35">
      <c r="A57" s="1" t="str" cm="1">
        <f t="array" ref="A57">IF($H57="","",INDEX(tblFacturasRecibidas[Fecha factura],$H57))</f>
        <v/>
      </c>
      <c r="B57" t="str" cm="1">
        <f t="array" ref="B57">IF($H57="","",INDEX(tblFacturasRecibidas[Concepto],$H57))</f>
        <v/>
      </c>
      <c r="C57" t="str" cm="1">
        <f t="array" ref="C57">IF($H57="","",INDEX(tblFacturasRecibidas[Proveedor],$H57))</f>
        <v/>
      </c>
      <c r="D57" t="str" cm="1">
        <f t="array" ref="D57">IF($H57="","",INDEX(tblFacturasRecibidas[Categoría],$H57))</f>
        <v/>
      </c>
      <c r="E57" s="2" t="str" cm="1">
        <f t="array" ref="E57">IF($H57="","",INDEX(tblFacturasRecibidas[Base imponible (€)],$H57))</f>
        <v/>
      </c>
      <c r="F57" s="2" t="str" cm="1">
        <f t="array" ref="F57">IF($H57="","",IFERROR(INDEX(tblFacturasRecibidas[IVA (€)],$H57),0))</f>
        <v/>
      </c>
      <c r="G57" s="2" t="str" cm="1">
        <f t="array" ref="G57">IF($H57="","",IFERROR(INDEX(tblFacturasRecibidas[Total (€)],$H57),INDEX(tblFacturasRecibidas[Base imponible (€)],$H57)))</f>
        <v/>
      </c>
      <c r="H57" t="str" cm="1">
        <f t="array" ref="H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GASTOS],tblCategorias[Tipo],"")="Inversión")),ROWS($H$5:H57)),"")</f>
        <v/>
      </c>
    </row>
    <row r="58" spans="1:8" x14ac:dyDescent="0.35">
      <c r="A58" s="1" t="str" cm="1">
        <f t="array" ref="A58">IF($H58="","",INDEX(tblFacturasRecibidas[Fecha factura],$H58))</f>
        <v/>
      </c>
      <c r="B58" t="str" cm="1">
        <f t="array" ref="B58">IF($H58="","",INDEX(tblFacturasRecibidas[Concepto],$H58))</f>
        <v/>
      </c>
      <c r="C58" t="str" cm="1">
        <f t="array" ref="C58">IF($H58="","",INDEX(tblFacturasRecibidas[Proveedor],$H58))</f>
        <v/>
      </c>
      <c r="D58" t="str" cm="1">
        <f t="array" ref="D58">IF($H58="","",INDEX(tblFacturasRecibidas[Categoría],$H58))</f>
        <v/>
      </c>
      <c r="E58" s="2" t="str" cm="1">
        <f t="array" ref="E58">IF($H58="","",INDEX(tblFacturasRecibidas[Base imponible (€)],$H58))</f>
        <v/>
      </c>
      <c r="F58" s="2" t="str" cm="1">
        <f t="array" ref="F58">IF($H58="","",IFERROR(INDEX(tblFacturasRecibidas[IVA (€)],$H58),0))</f>
        <v/>
      </c>
      <c r="G58" s="2" t="str" cm="1">
        <f t="array" ref="G58">IF($H58="","",IFERROR(INDEX(tblFacturasRecibidas[Total (€)],$H58),INDEX(tblFacturasRecibidas[Base imponible (€)],$H58)))</f>
        <v/>
      </c>
      <c r="H58" t="str" cm="1">
        <f t="array" ref="H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GASTOS],tblCategorias[Tipo],"")="Inversión")),ROWS($H$5:H58)),"")</f>
        <v/>
      </c>
    </row>
    <row r="59" spans="1:8" x14ac:dyDescent="0.35">
      <c r="A59" s="1" t="str" cm="1">
        <f t="array" ref="A59">IF($H59="","",INDEX(tblFacturasRecibidas[Fecha factura],$H59))</f>
        <v/>
      </c>
      <c r="B59" t="str" cm="1">
        <f t="array" ref="B59">IF($H59="","",INDEX(tblFacturasRecibidas[Concepto],$H59))</f>
        <v/>
      </c>
      <c r="C59" t="str" cm="1">
        <f t="array" ref="C59">IF($H59="","",INDEX(tblFacturasRecibidas[Proveedor],$H59))</f>
        <v/>
      </c>
      <c r="D59" t="str" cm="1">
        <f t="array" ref="D59">IF($H59="","",INDEX(tblFacturasRecibidas[Categoría],$H59))</f>
        <v/>
      </c>
      <c r="E59" s="2" t="str" cm="1">
        <f t="array" ref="E59">IF($H59="","",INDEX(tblFacturasRecibidas[Base imponible (€)],$H59))</f>
        <v/>
      </c>
      <c r="F59" s="2" t="str" cm="1">
        <f t="array" ref="F59">IF($H59="","",IFERROR(INDEX(tblFacturasRecibidas[IVA (€)],$H59),0))</f>
        <v/>
      </c>
      <c r="G59" s="2" t="str" cm="1">
        <f t="array" ref="G59">IF($H59="","",IFERROR(INDEX(tblFacturasRecibidas[Total (€)],$H59),INDEX(tblFacturasRecibidas[Base imponible (€)],$H59)))</f>
        <v/>
      </c>
      <c r="H59" t="str" cm="1">
        <f t="array" ref="H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GASTOS],tblCategorias[Tipo],"")="Inversión")),ROWS($H$5:H59)),"")</f>
        <v/>
      </c>
    </row>
    <row r="60" spans="1:8" x14ac:dyDescent="0.35">
      <c r="A60" s="1" t="str" cm="1">
        <f t="array" ref="A60">IF($H60="","",INDEX(tblFacturasRecibidas[Fecha factura],$H60))</f>
        <v/>
      </c>
      <c r="B60" t="str" cm="1">
        <f t="array" ref="B60">IF($H60="","",INDEX(tblFacturasRecibidas[Concepto],$H60))</f>
        <v/>
      </c>
      <c r="C60" t="str" cm="1">
        <f t="array" ref="C60">IF($H60="","",INDEX(tblFacturasRecibidas[Proveedor],$H60))</f>
        <v/>
      </c>
      <c r="D60" t="str" cm="1">
        <f t="array" ref="D60">IF($H60="","",INDEX(tblFacturasRecibidas[Categoría],$H60))</f>
        <v/>
      </c>
      <c r="E60" s="2" t="str" cm="1">
        <f t="array" ref="E60">IF($H60="","",INDEX(tblFacturasRecibidas[Base imponible (€)],$H60))</f>
        <v/>
      </c>
      <c r="F60" s="2" t="str" cm="1">
        <f t="array" ref="F60">IF($H60="","",IFERROR(INDEX(tblFacturasRecibidas[IVA (€)],$H60),0))</f>
        <v/>
      </c>
      <c r="G60" s="2" t="str" cm="1">
        <f t="array" ref="G60">IF($H60="","",IFERROR(INDEX(tblFacturasRecibidas[Total (€)],$H60),INDEX(tblFacturasRecibidas[Base imponible (€)],$H60)))</f>
        <v/>
      </c>
      <c r="H60" t="str" cm="1">
        <f t="array" ref="H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GASTOS],tblCategorias[Tipo],"")="Inversión")),ROWS($H$5:H60)),"")</f>
        <v/>
      </c>
    </row>
    <row r="61" spans="1:8" x14ac:dyDescent="0.35">
      <c r="A61" s="1" t="str" cm="1">
        <f t="array" ref="A61">IF($H61="","",INDEX(tblFacturasRecibidas[Fecha factura],$H61))</f>
        <v/>
      </c>
      <c r="B61" t="str" cm="1">
        <f t="array" ref="B61">IF($H61="","",INDEX(tblFacturasRecibidas[Concepto],$H61))</f>
        <v/>
      </c>
      <c r="C61" t="str" cm="1">
        <f t="array" ref="C61">IF($H61="","",INDEX(tblFacturasRecibidas[Proveedor],$H61))</f>
        <v/>
      </c>
      <c r="D61" t="str" cm="1">
        <f t="array" ref="D61">IF($H61="","",INDEX(tblFacturasRecibidas[Categoría],$H61))</f>
        <v/>
      </c>
      <c r="E61" s="2" t="str" cm="1">
        <f t="array" ref="E61">IF($H61="","",INDEX(tblFacturasRecibidas[Base imponible (€)],$H61))</f>
        <v/>
      </c>
      <c r="F61" s="2" t="str" cm="1">
        <f t="array" ref="F61">IF($H61="","",IFERROR(INDEX(tblFacturasRecibidas[IVA (€)],$H61),0))</f>
        <v/>
      </c>
      <c r="G61" s="2" t="str" cm="1">
        <f t="array" ref="G61">IF($H61="","",IFERROR(INDEX(tblFacturasRecibidas[Total (€)],$H61),INDEX(tblFacturasRecibidas[Base imponible (€)],$H61)))</f>
        <v/>
      </c>
      <c r="H61" t="str" cm="1">
        <f t="array" ref="H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GASTOS],tblCategorias[Tipo],"")="Inversión")),ROWS($H$5:H61)),"")</f>
        <v/>
      </c>
    </row>
    <row r="62" spans="1:8" x14ac:dyDescent="0.35">
      <c r="A62" s="1" t="str" cm="1">
        <f t="array" ref="A62">IF($H62="","",INDEX(tblFacturasRecibidas[Fecha factura],$H62))</f>
        <v/>
      </c>
      <c r="B62" t="str" cm="1">
        <f t="array" ref="B62">IF($H62="","",INDEX(tblFacturasRecibidas[Concepto],$H62))</f>
        <v/>
      </c>
      <c r="C62" t="str" cm="1">
        <f t="array" ref="C62">IF($H62="","",INDEX(tblFacturasRecibidas[Proveedor],$H62))</f>
        <v/>
      </c>
      <c r="D62" t="str" cm="1">
        <f t="array" ref="D62">IF($H62="","",INDEX(tblFacturasRecibidas[Categoría],$H62))</f>
        <v/>
      </c>
      <c r="E62" s="2" t="str" cm="1">
        <f t="array" ref="E62">IF($H62="","",INDEX(tblFacturasRecibidas[Base imponible (€)],$H62))</f>
        <v/>
      </c>
      <c r="F62" s="2" t="str" cm="1">
        <f t="array" ref="F62">IF($H62="","",IFERROR(INDEX(tblFacturasRecibidas[IVA (€)],$H62),0))</f>
        <v/>
      </c>
      <c r="G62" s="2" t="str" cm="1">
        <f t="array" ref="G62">IF($H62="","",IFERROR(INDEX(tblFacturasRecibidas[Total (€)],$H62),INDEX(tblFacturasRecibidas[Base imponible (€)],$H62)))</f>
        <v/>
      </c>
      <c r="H62" t="str" cm="1">
        <f t="array" ref="H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GASTOS],tblCategorias[Tipo],"")="Inversión")),ROWS($H$5:H62)),"")</f>
        <v/>
      </c>
    </row>
    <row r="63" spans="1:8" x14ac:dyDescent="0.35">
      <c r="A63" s="1" t="str" cm="1">
        <f t="array" ref="A63">IF($H63="","",INDEX(tblFacturasRecibidas[Fecha factura],$H63))</f>
        <v/>
      </c>
      <c r="B63" t="str" cm="1">
        <f t="array" ref="B63">IF($H63="","",INDEX(tblFacturasRecibidas[Concepto],$H63))</f>
        <v/>
      </c>
      <c r="C63" t="str" cm="1">
        <f t="array" ref="C63">IF($H63="","",INDEX(tblFacturasRecibidas[Proveedor],$H63))</f>
        <v/>
      </c>
      <c r="D63" t="str" cm="1">
        <f t="array" ref="D63">IF($H63="","",INDEX(tblFacturasRecibidas[Categoría],$H63))</f>
        <v/>
      </c>
      <c r="E63" s="2" t="str" cm="1">
        <f t="array" ref="E63">IF($H63="","",INDEX(tblFacturasRecibidas[Base imponible (€)],$H63))</f>
        <v/>
      </c>
      <c r="F63" s="2" t="str" cm="1">
        <f t="array" ref="F63">IF($H63="","",IFERROR(INDEX(tblFacturasRecibidas[IVA (€)],$H63),0))</f>
        <v/>
      </c>
      <c r="G63" s="2" t="str" cm="1">
        <f t="array" ref="G63">IF($H63="","",IFERROR(INDEX(tblFacturasRecibidas[Total (€)],$H63),INDEX(tblFacturasRecibidas[Base imponible (€)],$H63)))</f>
        <v/>
      </c>
      <c r="H63" t="str" cm="1">
        <f t="array" ref="H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GASTOS],tblCategorias[Tipo],"")="Inversión")),ROWS($H$5:H63)),"")</f>
        <v/>
      </c>
    </row>
    <row r="64" spans="1:8" x14ac:dyDescent="0.35">
      <c r="A64" s="1" t="str" cm="1">
        <f t="array" ref="A64">IF($H64="","",INDEX(tblFacturasRecibidas[Fecha factura],$H64))</f>
        <v/>
      </c>
      <c r="B64" t="str" cm="1">
        <f t="array" ref="B64">IF($H64="","",INDEX(tblFacturasRecibidas[Concepto],$H64))</f>
        <v/>
      </c>
      <c r="C64" t="str" cm="1">
        <f t="array" ref="C64">IF($H64="","",INDEX(tblFacturasRecibidas[Proveedor],$H64))</f>
        <v/>
      </c>
      <c r="D64" t="str" cm="1">
        <f t="array" ref="D64">IF($H64="","",INDEX(tblFacturasRecibidas[Categoría],$H64))</f>
        <v/>
      </c>
      <c r="E64" s="2" t="str" cm="1">
        <f t="array" ref="E64">IF($H64="","",INDEX(tblFacturasRecibidas[Base imponible (€)],$H64))</f>
        <v/>
      </c>
      <c r="F64" s="2" t="str" cm="1">
        <f t="array" ref="F64">IF($H64="","",IFERROR(INDEX(tblFacturasRecibidas[IVA (€)],$H64),0))</f>
        <v/>
      </c>
      <c r="G64" s="2" t="str" cm="1">
        <f t="array" ref="G64">IF($H64="","",IFERROR(INDEX(tblFacturasRecibidas[Total (€)],$H64),INDEX(tblFacturasRecibidas[Base imponible (€)],$H64)))</f>
        <v/>
      </c>
      <c r="H64" t="str" cm="1">
        <f t="array" ref="H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GASTOS],tblCategorias[Tipo],"")="Inversión")),ROWS($H$5:H64)),"")</f>
        <v/>
      </c>
    </row>
    <row r="65" spans="1:8" x14ac:dyDescent="0.35">
      <c r="A65" s="1" t="str" cm="1">
        <f t="array" ref="A65">IF($H65="","",INDEX(tblFacturasRecibidas[Fecha factura],$H65))</f>
        <v/>
      </c>
      <c r="B65" t="str" cm="1">
        <f t="array" ref="B65">IF($H65="","",INDEX(tblFacturasRecibidas[Concepto],$H65))</f>
        <v/>
      </c>
      <c r="C65" t="str" cm="1">
        <f t="array" ref="C65">IF($H65="","",INDEX(tblFacturasRecibidas[Proveedor],$H65))</f>
        <v/>
      </c>
      <c r="D65" t="str" cm="1">
        <f t="array" ref="D65">IF($H65="","",INDEX(tblFacturasRecibidas[Categoría],$H65))</f>
        <v/>
      </c>
      <c r="E65" s="2" t="str" cm="1">
        <f t="array" ref="E65">IF($H65="","",INDEX(tblFacturasRecibidas[Base imponible (€)],$H65))</f>
        <v/>
      </c>
      <c r="F65" s="2" t="str" cm="1">
        <f t="array" ref="F65">IF($H65="","",IFERROR(INDEX(tblFacturasRecibidas[IVA (€)],$H65),0))</f>
        <v/>
      </c>
      <c r="G65" s="2" t="str" cm="1">
        <f t="array" ref="G65">IF($H65="","",IFERROR(INDEX(tblFacturasRecibidas[Total (€)],$H65),INDEX(tblFacturasRecibidas[Base imponible (€)],$H65)))</f>
        <v/>
      </c>
      <c r="H65" t="str" cm="1">
        <f t="array" ref="H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GASTOS],tblCategorias[Tipo],"")="Inversión")),ROWS($H$5:H65)),"")</f>
        <v/>
      </c>
    </row>
    <row r="66" spans="1:8" x14ac:dyDescent="0.35">
      <c r="A66" s="1" t="str" cm="1">
        <f t="array" ref="A66">IF($H66="","",INDEX(tblFacturasRecibidas[Fecha factura],$H66))</f>
        <v/>
      </c>
      <c r="B66" t="str" cm="1">
        <f t="array" ref="B66">IF($H66="","",INDEX(tblFacturasRecibidas[Concepto],$H66))</f>
        <v/>
      </c>
      <c r="C66" t="str" cm="1">
        <f t="array" ref="C66">IF($H66="","",INDEX(tblFacturasRecibidas[Proveedor],$H66))</f>
        <v/>
      </c>
      <c r="D66" t="str" cm="1">
        <f t="array" ref="D66">IF($H66="","",INDEX(tblFacturasRecibidas[Categoría],$H66))</f>
        <v/>
      </c>
      <c r="E66" s="2" t="str" cm="1">
        <f t="array" ref="E66">IF($H66="","",INDEX(tblFacturasRecibidas[Base imponible (€)],$H66))</f>
        <v/>
      </c>
      <c r="F66" s="2" t="str" cm="1">
        <f t="array" ref="F66">IF($H66="","",IFERROR(INDEX(tblFacturasRecibidas[IVA (€)],$H66),0))</f>
        <v/>
      </c>
      <c r="G66" s="2" t="str" cm="1">
        <f t="array" ref="G66">IF($H66="","",IFERROR(INDEX(tblFacturasRecibidas[Total (€)],$H66),INDEX(tblFacturasRecibidas[Base imponible (€)],$H66)))</f>
        <v/>
      </c>
      <c r="H66" t="str" cm="1">
        <f t="array" ref="H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GASTOS],tblCategorias[Tipo],"")="Inversión")),ROWS($H$5:H66)),"")</f>
        <v/>
      </c>
    </row>
    <row r="67" spans="1:8" x14ac:dyDescent="0.35">
      <c r="A67" s="1" t="str" cm="1">
        <f t="array" ref="A67">IF($H67="","",INDEX(tblFacturasRecibidas[Fecha factura],$H67))</f>
        <v/>
      </c>
      <c r="B67" t="str" cm="1">
        <f t="array" ref="B67">IF($H67="","",INDEX(tblFacturasRecibidas[Concepto],$H67))</f>
        <v/>
      </c>
      <c r="C67" t="str" cm="1">
        <f t="array" ref="C67">IF($H67="","",INDEX(tblFacturasRecibidas[Proveedor],$H67))</f>
        <v/>
      </c>
      <c r="D67" t="str" cm="1">
        <f t="array" ref="D67">IF($H67="","",INDEX(tblFacturasRecibidas[Categoría],$H67))</f>
        <v/>
      </c>
      <c r="E67" s="2" t="str" cm="1">
        <f t="array" ref="E67">IF($H67="","",INDEX(tblFacturasRecibidas[Base imponible (€)],$H67))</f>
        <v/>
      </c>
      <c r="F67" s="2" t="str" cm="1">
        <f t="array" ref="F67">IF($H67="","",IFERROR(INDEX(tblFacturasRecibidas[IVA (€)],$H67),0))</f>
        <v/>
      </c>
      <c r="G67" s="2" t="str" cm="1">
        <f t="array" ref="G67">IF($H67="","",IFERROR(INDEX(tblFacturasRecibidas[Total (€)],$H67),INDEX(tblFacturasRecibidas[Base imponible (€)],$H67)))</f>
        <v/>
      </c>
      <c r="H67" t="str" cm="1">
        <f t="array" ref="H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GASTOS],tblCategorias[Tipo],"")="Inversión")),ROWS($H$5:H67)),"")</f>
        <v/>
      </c>
    </row>
    <row r="68" spans="1:8" x14ac:dyDescent="0.35">
      <c r="A68" s="1" t="str" cm="1">
        <f t="array" ref="A68">IF($H68="","",INDEX(tblFacturasRecibidas[Fecha factura],$H68))</f>
        <v/>
      </c>
      <c r="B68" t="str" cm="1">
        <f t="array" ref="B68">IF($H68="","",INDEX(tblFacturasRecibidas[Concepto],$H68))</f>
        <v/>
      </c>
      <c r="C68" t="str" cm="1">
        <f t="array" ref="C68">IF($H68="","",INDEX(tblFacturasRecibidas[Proveedor],$H68))</f>
        <v/>
      </c>
      <c r="D68" t="str" cm="1">
        <f t="array" ref="D68">IF($H68="","",INDEX(tblFacturasRecibidas[Categoría],$H68))</f>
        <v/>
      </c>
      <c r="E68" s="2" t="str" cm="1">
        <f t="array" ref="E68">IF($H68="","",INDEX(tblFacturasRecibidas[Base imponible (€)],$H68))</f>
        <v/>
      </c>
      <c r="F68" s="2" t="str" cm="1">
        <f t="array" ref="F68">IF($H68="","",IFERROR(INDEX(tblFacturasRecibidas[IVA (€)],$H68),0))</f>
        <v/>
      </c>
      <c r="G68" s="2" t="str" cm="1">
        <f t="array" ref="G68">IF($H68="","",IFERROR(INDEX(tblFacturasRecibidas[Total (€)],$H68),INDEX(tblFacturasRecibidas[Base imponible (€)],$H68)))</f>
        <v/>
      </c>
      <c r="H68" t="str" cm="1">
        <f t="array" ref="H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GASTOS],tblCategorias[Tipo],"")="Inversión")),ROWS($H$5:H68)),"")</f>
        <v/>
      </c>
    </row>
    <row r="69" spans="1:8" x14ac:dyDescent="0.35">
      <c r="A69" s="1" t="str" cm="1">
        <f t="array" ref="A69">IF($H69="","",INDEX(tblFacturasRecibidas[Fecha factura],$H69))</f>
        <v/>
      </c>
      <c r="B69" t="str" cm="1">
        <f t="array" ref="B69">IF($H69="","",INDEX(tblFacturasRecibidas[Concepto],$H69))</f>
        <v/>
      </c>
      <c r="C69" t="str" cm="1">
        <f t="array" ref="C69">IF($H69="","",INDEX(tblFacturasRecibidas[Proveedor],$H69))</f>
        <v/>
      </c>
      <c r="D69" t="str" cm="1">
        <f t="array" ref="D69">IF($H69="","",INDEX(tblFacturasRecibidas[Categoría],$H69))</f>
        <v/>
      </c>
      <c r="E69" s="2" t="str" cm="1">
        <f t="array" ref="E69">IF($H69="","",INDEX(tblFacturasRecibidas[Base imponible (€)],$H69))</f>
        <v/>
      </c>
      <c r="F69" s="2" t="str" cm="1">
        <f t="array" ref="F69">IF($H69="","",IFERROR(INDEX(tblFacturasRecibidas[IVA (€)],$H69),0))</f>
        <v/>
      </c>
      <c r="G69" s="2" t="str" cm="1">
        <f t="array" ref="G69">IF($H69="","",IFERROR(INDEX(tblFacturasRecibidas[Total (€)],$H69),INDEX(tblFacturasRecibidas[Base imponible (€)],$H69)))</f>
        <v/>
      </c>
      <c r="H69" t="str" cm="1">
        <f t="array" ref="H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GASTOS],tblCategorias[Tipo],"")="Inversión")),ROWS($H$5:H69)),"")</f>
        <v/>
      </c>
    </row>
    <row r="70" spans="1:8" x14ac:dyDescent="0.35">
      <c r="A70" s="1" t="str" cm="1">
        <f t="array" ref="A70">IF($H70="","",INDEX(tblFacturasRecibidas[Fecha factura],$H70))</f>
        <v/>
      </c>
      <c r="B70" t="str" cm="1">
        <f t="array" ref="B70">IF($H70="","",INDEX(tblFacturasRecibidas[Concepto],$H70))</f>
        <v/>
      </c>
      <c r="C70" t="str" cm="1">
        <f t="array" ref="C70">IF($H70="","",INDEX(tblFacturasRecibidas[Proveedor],$H70))</f>
        <v/>
      </c>
      <c r="D70" t="str" cm="1">
        <f t="array" ref="D70">IF($H70="","",INDEX(tblFacturasRecibidas[Categoría],$H70))</f>
        <v/>
      </c>
      <c r="E70" s="2" t="str" cm="1">
        <f t="array" ref="E70">IF($H70="","",INDEX(tblFacturasRecibidas[Base imponible (€)],$H70))</f>
        <v/>
      </c>
      <c r="F70" s="2" t="str" cm="1">
        <f t="array" ref="F70">IF($H70="","",IFERROR(INDEX(tblFacturasRecibidas[IVA (€)],$H70),0))</f>
        <v/>
      </c>
      <c r="G70" s="2" t="str" cm="1">
        <f t="array" ref="G70">IF($H70="","",IFERROR(INDEX(tblFacturasRecibidas[Total (€)],$H70),INDEX(tblFacturasRecibidas[Base imponible (€)],$H70)))</f>
        <v/>
      </c>
      <c r="H70" t="str" cm="1">
        <f t="array" ref="H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GASTOS],tblCategorias[Tipo],"")="Inversión")),ROWS($H$5:H70)),"")</f>
        <v/>
      </c>
    </row>
    <row r="71" spans="1:8" x14ac:dyDescent="0.35">
      <c r="A71" s="1" t="str" cm="1">
        <f t="array" ref="A71">IF($H71="","",INDEX(tblFacturasRecibidas[Fecha factura],$H71))</f>
        <v/>
      </c>
      <c r="B71" t="str" cm="1">
        <f t="array" ref="B71">IF($H71="","",INDEX(tblFacturasRecibidas[Concepto],$H71))</f>
        <v/>
      </c>
      <c r="C71" t="str" cm="1">
        <f t="array" ref="C71">IF($H71="","",INDEX(tblFacturasRecibidas[Proveedor],$H71))</f>
        <v/>
      </c>
      <c r="D71" t="str" cm="1">
        <f t="array" ref="D71">IF($H71="","",INDEX(tblFacturasRecibidas[Categoría],$H71))</f>
        <v/>
      </c>
      <c r="E71" s="2" t="str" cm="1">
        <f t="array" ref="E71">IF($H71="","",INDEX(tblFacturasRecibidas[Base imponible (€)],$H71))</f>
        <v/>
      </c>
      <c r="F71" s="2" t="str" cm="1">
        <f t="array" ref="F71">IF($H71="","",IFERROR(INDEX(tblFacturasRecibidas[IVA (€)],$H71),0))</f>
        <v/>
      </c>
      <c r="G71" s="2" t="str" cm="1">
        <f t="array" ref="G71">IF($H71="","",IFERROR(INDEX(tblFacturasRecibidas[Total (€)],$H71),INDEX(tblFacturasRecibidas[Base imponible (€)],$H71)))</f>
        <v/>
      </c>
      <c r="H71" t="str" cm="1">
        <f t="array" ref="H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GASTOS],tblCategorias[Tipo],"")="Inversión")),ROWS($H$5:H71)),"")</f>
        <v/>
      </c>
    </row>
    <row r="72" spans="1:8" x14ac:dyDescent="0.35">
      <c r="A72" s="1" t="str" cm="1">
        <f t="array" ref="A72">IF($H72="","",INDEX(tblFacturasRecibidas[Fecha factura],$H72))</f>
        <v/>
      </c>
      <c r="B72" t="str" cm="1">
        <f t="array" ref="B72">IF($H72="","",INDEX(tblFacturasRecibidas[Concepto],$H72))</f>
        <v/>
      </c>
      <c r="C72" t="str" cm="1">
        <f t="array" ref="C72">IF($H72="","",INDEX(tblFacturasRecibidas[Proveedor],$H72))</f>
        <v/>
      </c>
      <c r="D72" t="str" cm="1">
        <f t="array" ref="D72">IF($H72="","",INDEX(tblFacturasRecibidas[Categoría],$H72))</f>
        <v/>
      </c>
      <c r="E72" s="2" t="str" cm="1">
        <f t="array" ref="E72">IF($H72="","",INDEX(tblFacturasRecibidas[Base imponible (€)],$H72))</f>
        <v/>
      </c>
      <c r="F72" s="2" t="str" cm="1">
        <f t="array" ref="F72">IF($H72="","",IFERROR(INDEX(tblFacturasRecibidas[IVA (€)],$H72),0))</f>
        <v/>
      </c>
      <c r="G72" s="2" t="str" cm="1">
        <f t="array" ref="G72">IF($H72="","",IFERROR(INDEX(tblFacturasRecibidas[Total (€)],$H72),INDEX(tblFacturasRecibidas[Base imponible (€)],$H72)))</f>
        <v/>
      </c>
      <c r="H72" t="str" cm="1">
        <f t="array" ref="H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GASTOS],tblCategorias[Tipo],"")="Inversión")),ROWS($H$5:H72)),"")</f>
        <v/>
      </c>
    </row>
    <row r="73" spans="1:8" x14ac:dyDescent="0.35">
      <c r="A73" s="1" t="str" cm="1">
        <f t="array" ref="A73">IF($H73="","",INDEX(tblFacturasRecibidas[Fecha factura],$H73))</f>
        <v/>
      </c>
      <c r="B73" t="str" cm="1">
        <f t="array" ref="B73">IF($H73="","",INDEX(tblFacturasRecibidas[Concepto],$H73))</f>
        <v/>
      </c>
      <c r="C73" t="str" cm="1">
        <f t="array" ref="C73">IF($H73="","",INDEX(tblFacturasRecibidas[Proveedor],$H73))</f>
        <v/>
      </c>
      <c r="D73" t="str" cm="1">
        <f t="array" ref="D73">IF($H73="","",INDEX(tblFacturasRecibidas[Categoría],$H73))</f>
        <v/>
      </c>
      <c r="E73" s="2" t="str" cm="1">
        <f t="array" ref="E73">IF($H73="","",INDEX(tblFacturasRecibidas[Base imponible (€)],$H73))</f>
        <v/>
      </c>
      <c r="F73" s="2" t="str" cm="1">
        <f t="array" ref="F73">IF($H73="","",IFERROR(INDEX(tblFacturasRecibidas[IVA (€)],$H73),0))</f>
        <v/>
      </c>
      <c r="G73" s="2" t="str" cm="1">
        <f t="array" ref="G73">IF($H73="","",IFERROR(INDEX(tblFacturasRecibidas[Total (€)],$H73),INDEX(tblFacturasRecibidas[Base imponible (€)],$H73)))</f>
        <v/>
      </c>
      <c r="H73" t="str" cm="1">
        <f t="array" ref="H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GASTOS],tblCategorias[Tipo],"")="Inversión")),ROWS($H$5:H73)),"")</f>
        <v/>
      </c>
    </row>
    <row r="74" spans="1:8" x14ac:dyDescent="0.35">
      <c r="A74" s="1" t="str" cm="1">
        <f t="array" ref="A74">IF($H74="","",INDEX(tblFacturasRecibidas[Fecha factura],$H74))</f>
        <v/>
      </c>
      <c r="B74" t="str" cm="1">
        <f t="array" ref="B74">IF($H74="","",INDEX(tblFacturasRecibidas[Concepto],$H74))</f>
        <v/>
      </c>
      <c r="C74" t="str" cm="1">
        <f t="array" ref="C74">IF($H74="","",INDEX(tblFacturasRecibidas[Proveedor],$H74))</f>
        <v/>
      </c>
      <c r="D74" t="str" cm="1">
        <f t="array" ref="D74">IF($H74="","",INDEX(tblFacturasRecibidas[Categoría],$H74))</f>
        <v/>
      </c>
      <c r="E74" s="2" t="str" cm="1">
        <f t="array" ref="E74">IF($H74="","",INDEX(tblFacturasRecibidas[Base imponible (€)],$H74))</f>
        <v/>
      </c>
      <c r="F74" s="2" t="str" cm="1">
        <f t="array" ref="F74">IF($H74="","",IFERROR(INDEX(tblFacturasRecibidas[IVA (€)],$H74),0))</f>
        <v/>
      </c>
      <c r="G74" s="2" t="str" cm="1">
        <f t="array" ref="G74">IF($H74="","",IFERROR(INDEX(tblFacturasRecibidas[Total (€)],$H74),INDEX(tblFacturasRecibidas[Base imponible (€)],$H74)))</f>
        <v/>
      </c>
      <c r="H74" t="str" cm="1">
        <f t="array" ref="H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GASTOS],tblCategorias[Tipo],"")="Inversión")),ROWS($H$5:H74)),"")</f>
        <v/>
      </c>
    </row>
    <row r="75" spans="1:8" x14ac:dyDescent="0.35">
      <c r="A75" s="1" t="str" cm="1">
        <f t="array" ref="A75">IF($H75="","",INDEX(tblFacturasRecibidas[Fecha factura],$H75))</f>
        <v/>
      </c>
      <c r="B75" t="str" cm="1">
        <f t="array" ref="B75">IF($H75="","",INDEX(tblFacturasRecibidas[Concepto],$H75))</f>
        <v/>
      </c>
      <c r="C75" t="str" cm="1">
        <f t="array" ref="C75">IF($H75="","",INDEX(tblFacturasRecibidas[Proveedor],$H75))</f>
        <v/>
      </c>
      <c r="D75" t="str" cm="1">
        <f t="array" ref="D75">IF($H75="","",INDEX(tblFacturasRecibidas[Categoría],$H75))</f>
        <v/>
      </c>
      <c r="E75" s="2" t="str" cm="1">
        <f t="array" ref="E75">IF($H75="","",INDEX(tblFacturasRecibidas[Base imponible (€)],$H75))</f>
        <v/>
      </c>
      <c r="F75" s="2" t="str" cm="1">
        <f t="array" ref="F75">IF($H75="","",IFERROR(INDEX(tblFacturasRecibidas[IVA (€)],$H75),0))</f>
        <v/>
      </c>
      <c r="G75" s="2" t="str" cm="1">
        <f t="array" ref="G75">IF($H75="","",IFERROR(INDEX(tblFacturasRecibidas[Total (€)],$H75),INDEX(tblFacturasRecibidas[Base imponible (€)],$H75)))</f>
        <v/>
      </c>
      <c r="H75" t="str" cm="1">
        <f t="array" ref="H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GASTOS],tblCategorias[Tipo],"")="Inversión")),ROWS($H$5:H75)),"")</f>
        <v/>
      </c>
    </row>
    <row r="76" spans="1:8" x14ac:dyDescent="0.35">
      <c r="A76" s="1" t="str" cm="1">
        <f t="array" ref="A76">IF($H76="","",INDEX(tblFacturasRecibidas[Fecha factura],$H76))</f>
        <v/>
      </c>
      <c r="B76" t="str" cm="1">
        <f t="array" ref="B76">IF($H76="","",INDEX(tblFacturasRecibidas[Concepto],$H76))</f>
        <v/>
      </c>
      <c r="C76" t="str" cm="1">
        <f t="array" ref="C76">IF($H76="","",INDEX(tblFacturasRecibidas[Proveedor],$H76))</f>
        <v/>
      </c>
      <c r="D76" t="str" cm="1">
        <f t="array" ref="D76">IF($H76="","",INDEX(tblFacturasRecibidas[Categoría],$H76))</f>
        <v/>
      </c>
      <c r="E76" s="2" t="str" cm="1">
        <f t="array" ref="E76">IF($H76="","",INDEX(tblFacturasRecibidas[Base imponible (€)],$H76))</f>
        <v/>
      </c>
      <c r="F76" s="2" t="str" cm="1">
        <f t="array" ref="F76">IF($H76="","",IFERROR(INDEX(tblFacturasRecibidas[IVA (€)],$H76),0))</f>
        <v/>
      </c>
      <c r="G76" s="2" t="str" cm="1">
        <f t="array" ref="G76">IF($H76="","",IFERROR(INDEX(tblFacturasRecibidas[Total (€)],$H76),INDEX(tblFacturasRecibidas[Base imponible (€)],$H76)))</f>
        <v/>
      </c>
      <c r="H76" t="str" cm="1">
        <f t="array" ref="H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GASTOS],tblCategorias[Tipo],"")="Inversión")),ROWS($H$5:H76)),"")</f>
        <v/>
      </c>
    </row>
    <row r="77" spans="1:8" x14ac:dyDescent="0.35">
      <c r="A77" s="1" t="str" cm="1">
        <f t="array" ref="A77">IF($H77="","",INDEX(tblFacturasRecibidas[Fecha factura],$H77))</f>
        <v/>
      </c>
      <c r="B77" t="str" cm="1">
        <f t="array" ref="B77">IF($H77="","",INDEX(tblFacturasRecibidas[Concepto],$H77))</f>
        <v/>
      </c>
      <c r="C77" t="str" cm="1">
        <f t="array" ref="C77">IF($H77="","",INDEX(tblFacturasRecibidas[Proveedor],$H77))</f>
        <v/>
      </c>
      <c r="D77" t="str" cm="1">
        <f t="array" ref="D77">IF($H77="","",INDEX(tblFacturasRecibidas[Categoría],$H77))</f>
        <v/>
      </c>
      <c r="E77" s="2" t="str" cm="1">
        <f t="array" ref="E77">IF($H77="","",INDEX(tblFacturasRecibidas[Base imponible (€)],$H77))</f>
        <v/>
      </c>
      <c r="F77" s="2" t="str" cm="1">
        <f t="array" ref="F77">IF($H77="","",IFERROR(INDEX(tblFacturasRecibidas[IVA (€)],$H77),0))</f>
        <v/>
      </c>
      <c r="G77" s="2" t="str" cm="1">
        <f t="array" ref="G77">IF($H77="","",IFERROR(INDEX(tblFacturasRecibidas[Total (€)],$H77),INDEX(tblFacturasRecibidas[Base imponible (€)],$H77)))</f>
        <v/>
      </c>
      <c r="H77" t="str" cm="1">
        <f t="array" ref="H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GASTOS],tblCategorias[Tipo],"")="Inversión")),ROWS($H$5:H77)),"")</f>
        <v/>
      </c>
    </row>
    <row r="78" spans="1:8" x14ac:dyDescent="0.35">
      <c r="A78" s="1" t="str" cm="1">
        <f t="array" ref="A78">IF($H78="","",INDEX(tblFacturasRecibidas[Fecha factura],$H78))</f>
        <v/>
      </c>
      <c r="B78" t="str" cm="1">
        <f t="array" ref="B78">IF($H78="","",INDEX(tblFacturasRecibidas[Concepto],$H78))</f>
        <v/>
      </c>
      <c r="C78" t="str" cm="1">
        <f t="array" ref="C78">IF($H78="","",INDEX(tblFacturasRecibidas[Proveedor],$H78))</f>
        <v/>
      </c>
      <c r="D78" t="str" cm="1">
        <f t="array" ref="D78">IF($H78="","",INDEX(tblFacturasRecibidas[Categoría],$H78))</f>
        <v/>
      </c>
      <c r="E78" s="2" t="str" cm="1">
        <f t="array" ref="E78">IF($H78="","",INDEX(tblFacturasRecibidas[Base imponible (€)],$H78))</f>
        <v/>
      </c>
      <c r="F78" s="2" t="str" cm="1">
        <f t="array" ref="F78">IF($H78="","",IFERROR(INDEX(tblFacturasRecibidas[IVA (€)],$H78),0))</f>
        <v/>
      </c>
      <c r="G78" s="2" t="str" cm="1">
        <f t="array" ref="G78">IF($H78="","",IFERROR(INDEX(tblFacturasRecibidas[Total (€)],$H78),INDEX(tblFacturasRecibidas[Base imponible (€)],$H78)))</f>
        <v/>
      </c>
      <c r="H78" t="str" cm="1">
        <f t="array" ref="H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GASTOS],tblCategorias[Tipo],"")="Inversión")),ROWS($H$5:H78)),"")</f>
        <v/>
      </c>
    </row>
    <row r="79" spans="1:8" x14ac:dyDescent="0.35">
      <c r="A79" s="1" t="str" cm="1">
        <f t="array" ref="A79">IF($H79="","",INDEX(tblFacturasRecibidas[Fecha factura],$H79))</f>
        <v/>
      </c>
      <c r="B79" t="str" cm="1">
        <f t="array" ref="B79">IF($H79="","",INDEX(tblFacturasRecibidas[Concepto],$H79))</f>
        <v/>
      </c>
      <c r="C79" t="str" cm="1">
        <f t="array" ref="C79">IF($H79="","",INDEX(tblFacturasRecibidas[Proveedor],$H79))</f>
        <v/>
      </c>
      <c r="D79" t="str" cm="1">
        <f t="array" ref="D79">IF($H79="","",INDEX(tblFacturasRecibidas[Categoría],$H79))</f>
        <v/>
      </c>
      <c r="E79" s="2" t="str" cm="1">
        <f t="array" ref="E79">IF($H79="","",INDEX(tblFacturasRecibidas[Base imponible (€)],$H79))</f>
        <v/>
      </c>
      <c r="F79" s="2" t="str" cm="1">
        <f t="array" ref="F79">IF($H79="","",IFERROR(INDEX(tblFacturasRecibidas[IVA (€)],$H79),0))</f>
        <v/>
      </c>
      <c r="G79" s="2" t="str" cm="1">
        <f t="array" ref="G79">IF($H79="","",IFERROR(INDEX(tblFacturasRecibidas[Total (€)],$H79),INDEX(tblFacturasRecibidas[Base imponible (€)],$H79)))</f>
        <v/>
      </c>
      <c r="H79" t="str" cm="1">
        <f t="array" ref="H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GASTOS],tblCategorias[Tipo],"")="Inversión")),ROWS($H$5:H79)),"")</f>
        <v/>
      </c>
    </row>
    <row r="80" spans="1:8" x14ac:dyDescent="0.35">
      <c r="A80" s="1" t="str" cm="1">
        <f t="array" ref="A80">IF($H80="","",INDEX(tblFacturasRecibidas[Fecha factura],$H80))</f>
        <v/>
      </c>
      <c r="B80" t="str" cm="1">
        <f t="array" ref="B80">IF($H80="","",INDEX(tblFacturasRecibidas[Concepto],$H80))</f>
        <v/>
      </c>
      <c r="C80" t="str" cm="1">
        <f t="array" ref="C80">IF($H80="","",INDEX(tblFacturasRecibidas[Proveedor],$H80))</f>
        <v/>
      </c>
      <c r="D80" t="str" cm="1">
        <f t="array" ref="D80">IF($H80="","",INDEX(tblFacturasRecibidas[Categoría],$H80))</f>
        <v/>
      </c>
      <c r="E80" s="2" t="str" cm="1">
        <f t="array" ref="E80">IF($H80="","",INDEX(tblFacturasRecibidas[Base imponible (€)],$H80))</f>
        <v/>
      </c>
      <c r="F80" s="2" t="str" cm="1">
        <f t="array" ref="F80">IF($H80="","",IFERROR(INDEX(tblFacturasRecibidas[IVA (€)],$H80),0))</f>
        <v/>
      </c>
      <c r="G80" s="2" t="str" cm="1">
        <f t="array" ref="G80">IF($H80="","",IFERROR(INDEX(tblFacturasRecibidas[Total (€)],$H80),INDEX(tblFacturasRecibidas[Base imponible (€)],$H80)))</f>
        <v/>
      </c>
      <c r="H80" t="str" cm="1">
        <f t="array" ref="H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GASTOS],tblCategorias[Tipo],"")="Inversión")),ROWS($H$5:H80)),"")</f>
        <v/>
      </c>
    </row>
    <row r="81" spans="1:8" x14ac:dyDescent="0.35">
      <c r="A81" s="1" t="str" cm="1">
        <f t="array" ref="A81">IF($H81="","",INDEX(tblFacturasRecibidas[Fecha factura],$H81))</f>
        <v/>
      </c>
      <c r="B81" t="str" cm="1">
        <f t="array" ref="B81">IF($H81="","",INDEX(tblFacturasRecibidas[Concepto],$H81))</f>
        <v/>
      </c>
      <c r="C81" t="str" cm="1">
        <f t="array" ref="C81">IF($H81="","",INDEX(tblFacturasRecibidas[Proveedor],$H81))</f>
        <v/>
      </c>
      <c r="D81" t="str" cm="1">
        <f t="array" ref="D81">IF($H81="","",INDEX(tblFacturasRecibidas[Categoría],$H81))</f>
        <v/>
      </c>
      <c r="E81" s="2" t="str" cm="1">
        <f t="array" ref="E81">IF($H81="","",INDEX(tblFacturasRecibidas[Base imponible (€)],$H81))</f>
        <v/>
      </c>
      <c r="F81" s="2" t="str" cm="1">
        <f t="array" ref="F81">IF($H81="","",IFERROR(INDEX(tblFacturasRecibidas[IVA (€)],$H81),0))</f>
        <v/>
      </c>
      <c r="G81" s="2" t="str" cm="1">
        <f t="array" ref="G81">IF($H81="","",IFERROR(INDEX(tblFacturasRecibidas[Total (€)],$H81),INDEX(tblFacturasRecibidas[Base imponible (€)],$H81)))</f>
        <v/>
      </c>
      <c r="H81" t="str" cm="1">
        <f t="array" ref="H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GASTOS],tblCategorias[Tipo],"")="Inversión")),ROWS($H$5:H81)),"")</f>
        <v/>
      </c>
    </row>
    <row r="82" spans="1:8" x14ac:dyDescent="0.35">
      <c r="A82" s="1" t="str" cm="1">
        <f t="array" ref="A82">IF($H82="","",INDEX(tblFacturasRecibidas[Fecha factura],$H82))</f>
        <v/>
      </c>
      <c r="B82" t="str" cm="1">
        <f t="array" ref="B82">IF($H82="","",INDEX(tblFacturasRecibidas[Concepto],$H82))</f>
        <v/>
      </c>
      <c r="C82" t="str" cm="1">
        <f t="array" ref="C82">IF($H82="","",INDEX(tblFacturasRecibidas[Proveedor],$H82))</f>
        <v/>
      </c>
      <c r="D82" t="str" cm="1">
        <f t="array" ref="D82">IF($H82="","",INDEX(tblFacturasRecibidas[Categoría],$H82))</f>
        <v/>
      </c>
      <c r="E82" s="2" t="str" cm="1">
        <f t="array" ref="E82">IF($H82="","",INDEX(tblFacturasRecibidas[Base imponible (€)],$H82))</f>
        <v/>
      </c>
      <c r="F82" s="2" t="str" cm="1">
        <f t="array" ref="F82">IF($H82="","",IFERROR(INDEX(tblFacturasRecibidas[IVA (€)],$H82),0))</f>
        <v/>
      </c>
      <c r="G82" s="2" t="str" cm="1">
        <f t="array" ref="G82">IF($H82="","",IFERROR(INDEX(tblFacturasRecibidas[Total (€)],$H82),INDEX(tblFacturasRecibidas[Base imponible (€)],$H82)))</f>
        <v/>
      </c>
      <c r="H82" t="str" cm="1">
        <f t="array" ref="H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GASTOS],tblCategorias[Tipo],"")="Inversión")),ROWS($H$5:H82)),"")</f>
        <v/>
      </c>
    </row>
    <row r="83" spans="1:8" x14ac:dyDescent="0.35">
      <c r="A83" s="1" t="str" cm="1">
        <f t="array" ref="A83">IF($H83="","",INDEX(tblFacturasRecibidas[Fecha factura],$H83))</f>
        <v/>
      </c>
      <c r="B83" t="str" cm="1">
        <f t="array" ref="B83">IF($H83="","",INDEX(tblFacturasRecibidas[Concepto],$H83))</f>
        <v/>
      </c>
      <c r="C83" t="str" cm="1">
        <f t="array" ref="C83">IF($H83="","",INDEX(tblFacturasRecibidas[Proveedor],$H83))</f>
        <v/>
      </c>
      <c r="D83" t="str" cm="1">
        <f t="array" ref="D83">IF($H83="","",INDEX(tblFacturasRecibidas[Categoría],$H83))</f>
        <v/>
      </c>
      <c r="E83" s="2" t="str" cm="1">
        <f t="array" ref="E83">IF($H83="","",INDEX(tblFacturasRecibidas[Base imponible (€)],$H83))</f>
        <v/>
      </c>
      <c r="F83" s="2" t="str" cm="1">
        <f t="array" ref="F83">IF($H83="","",IFERROR(INDEX(tblFacturasRecibidas[IVA (€)],$H83),0))</f>
        <v/>
      </c>
      <c r="G83" s="2" t="str" cm="1">
        <f t="array" ref="G83">IF($H83="","",IFERROR(INDEX(tblFacturasRecibidas[Total (€)],$H83),INDEX(tblFacturasRecibidas[Base imponible (€)],$H83)))</f>
        <v/>
      </c>
      <c r="H83" t="str" cm="1">
        <f t="array" ref="H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GASTOS],tblCategorias[Tipo],"")="Inversión")),ROWS($H$5:H83)),"")</f>
        <v/>
      </c>
    </row>
    <row r="84" spans="1:8" x14ac:dyDescent="0.35">
      <c r="A84" s="1" t="str" cm="1">
        <f t="array" ref="A84">IF($H84="","",INDEX(tblFacturasRecibidas[Fecha factura],$H84))</f>
        <v/>
      </c>
      <c r="B84" t="str" cm="1">
        <f t="array" ref="B84">IF($H84="","",INDEX(tblFacturasRecibidas[Concepto],$H84))</f>
        <v/>
      </c>
      <c r="C84" t="str" cm="1">
        <f t="array" ref="C84">IF($H84="","",INDEX(tblFacturasRecibidas[Proveedor],$H84))</f>
        <v/>
      </c>
      <c r="D84" t="str" cm="1">
        <f t="array" ref="D84">IF($H84="","",INDEX(tblFacturasRecibidas[Categoría],$H84))</f>
        <v/>
      </c>
      <c r="E84" s="2" t="str" cm="1">
        <f t="array" ref="E84">IF($H84="","",INDEX(tblFacturasRecibidas[Base imponible (€)],$H84))</f>
        <v/>
      </c>
      <c r="F84" s="2" t="str" cm="1">
        <f t="array" ref="F84">IF($H84="","",IFERROR(INDEX(tblFacturasRecibidas[IVA (€)],$H84),0))</f>
        <v/>
      </c>
      <c r="G84" s="2" t="str" cm="1">
        <f t="array" ref="G84">IF($H84="","",IFERROR(INDEX(tblFacturasRecibidas[Total (€)],$H84),INDEX(tblFacturasRecibidas[Base imponible (€)],$H84)))</f>
        <v/>
      </c>
      <c r="H84" t="str" cm="1">
        <f t="array" ref="H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GASTOS],tblCategorias[Tipo],"")="Inversión")),ROWS($H$5:H84)),"")</f>
        <v/>
      </c>
    </row>
    <row r="85" spans="1:8" x14ac:dyDescent="0.35">
      <c r="A85" s="1" t="str" cm="1">
        <f t="array" ref="A85">IF($H85="","",INDEX(tblFacturasRecibidas[Fecha factura],$H85))</f>
        <v/>
      </c>
      <c r="B85" t="str" cm="1">
        <f t="array" ref="B85">IF($H85="","",INDEX(tblFacturasRecibidas[Concepto],$H85))</f>
        <v/>
      </c>
      <c r="C85" t="str" cm="1">
        <f t="array" ref="C85">IF($H85="","",INDEX(tblFacturasRecibidas[Proveedor],$H85))</f>
        <v/>
      </c>
      <c r="D85" t="str" cm="1">
        <f t="array" ref="D85">IF($H85="","",INDEX(tblFacturasRecibidas[Categoría],$H85))</f>
        <v/>
      </c>
      <c r="E85" s="2" t="str" cm="1">
        <f t="array" ref="E85">IF($H85="","",INDEX(tblFacturasRecibidas[Base imponible (€)],$H85))</f>
        <v/>
      </c>
      <c r="F85" s="2" t="str" cm="1">
        <f t="array" ref="F85">IF($H85="","",IFERROR(INDEX(tblFacturasRecibidas[IVA (€)],$H85),0))</f>
        <v/>
      </c>
      <c r="G85" s="2" t="str" cm="1">
        <f t="array" ref="G85">IF($H85="","",IFERROR(INDEX(tblFacturasRecibidas[Total (€)],$H85),INDEX(tblFacturasRecibidas[Base imponible (€)],$H85)))</f>
        <v/>
      </c>
      <c r="H85" t="str" cm="1">
        <f t="array" ref="H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GASTOS],tblCategorias[Tipo],"")="Inversión")),ROWS($H$5:H85)),"")</f>
        <v/>
      </c>
    </row>
    <row r="86" spans="1:8" x14ac:dyDescent="0.35">
      <c r="A86" s="1" t="str" cm="1">
        <f t="array" ref="A86">IF($H86="","",INDEX(tblFacturasRecibidas[Fecha factura],$H86))</f>
        <v/>
      </c>
      <c r="B86" t="str" cm="1">
        <f t="array" ref="B86">IF($H86="","",INDEX(tblFacturasRecibidas[Concepto],$H86))</f>
        <v/>
      </c>
      <c r="C86" t="str" cm="1">
        <f t="array" ref="C86">IF($H86="","",INDEX(tblFacturasRecibidas[Proveedor],$H86))</f>
        <v/>
      </c>
      <c r="D86" t="str" cm="1">
        <f t="array" ref="D86">IF($H86="","",INDEX(tblFacturasRecibidas[Categoría],$H86))</f>
        <v/>
      </c>
      <c r="E86" s="2" t="str" cm="1">
        <f t="array" ref="E86">IF($H86="","",INDEX(tblFacturasRecibidas[Base imponible (€)],$H86))</f>
        <v/>
      </c>
      <c r="F86" s="2" t="str" cm="1">
        <f t="array" ref="F86">IF($H86="","",IFERROR(INDEX(tblFacturasRecibidas[IVA (€)],$H86),0))</f>
        <v/>
      </c>
      <c r="G86" s="2" t="str" cm="1">
        <f t="array" ref="G86">IF($H86="","",IFERROR(INDEX(tblFacturasRecibidas[Total (€)],$H86),INDEX(tblFacturasRecibidas[Base imponible (€)],$H86)))</f>
        <v/>
      </c>
      <c r="H86" t="str" cm="1">
        <f t="array" ref="H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GASTOS],tblCategorias[Tipo],"")="Inversión")),ROWS($H$5:H86)),"")</f>
        <v/>
      </c>
    </row>
    <row r="87" spans="1:8" x14ac:dyDescent="0.35">
      <c r="A87" s="1" t="str" cm="1">
        <f t="array" ref="A87">IF($H87="","",INDEX(tblFacturasRecibidas[Fecha factura],$H87))</f>
        <v/>
      </c>
      <c r="B87" t="str" cm="1">
        <f t="array" ref="B87">IF($H87="","",INDEX(tblFacturasRecibidas[Concepto],$H87))</f>
        <v/>
      </c>
      <c r="C87" t="str" cm="1">
        <f t="array" ref="C87">IF($H87="","",INDEX(tblFacturasRecibidas[Proveedor],$H87))</f>
        <v/>
      </c>
      <c r="D87" t="str" cm="1">
        <f t="array" ref="D87">IF($H87="","",INDEX(tblFacturasRecibidas[Categoría],$H87))</f>
        <v/>
      </c>
      <c r="E87" s="2" t="str" cm="1">
        <f t="array" ref="E87">IF($H87="","",INDEX(tblFacturasRecibidas[Base imponible (€)],$H87))</f>
        <v/>
      </c>
      <c r="F87" s="2" t="str" cm="1">
        <f t="array" ref="F87">IF($H87="","",IFERROR(INDEX(tblFacturasRecibidas[IVA (€)],$H87),0))</f>
        <v/>
      </c>
      <c r="G87" s="2" t="str" cm="1">
        <f t="array" ref="G87">IF($H87="","",IFERROR(INDEX(tblFacturasRecibidas[Total (€)],$H87),INDEX(tblFacturasRecibidas[Base imponible (€)],$H87)))</f>
        <v/>
      </c>
      <c r="H87" t="str" cm="1">
        <f t="array" ref="H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GASTOS],tblCategorias[Tipo],"")="Inversión")),ROWS($H$5:H87)),"")</f>
        <v/>
      </c>
    </row>
    <row r="88" spans="1:8" x14ac:dyDescent="0.35">
      <c r="A88" s="1" t="str" cm="1">
        <f t="array" ref="A88">IF($H88="","",INDEX(tblFacturasRecibidas[Fecha factura],$H88))</f>
        <v/>
      </c>
      <c r="B88" t="str" cm="1">
        <f t="array" ref="B88">IF($H88="","",INDEX(tblFacturasRecibidas[Concepto],$H88))</f>
        <v/>
      </c>
      <c r="C88" t="str" cm="1">
        <f t="array" ref="C88">IF($H88="","",INDEX(tblFacturasRecibidas[Proveedor],$H88))</f>
        <v/>
      </c>
      <c r="D88" t="str" cm="1">
        <f t="array" ref="D88">IF($H88="","",INDEX(tblFacturasRecibidas[Categoría],$H88))</f>
        <v/>
      </c>
      <c r="E88" s="2" t="str" cm="1">
        <f t="array" ref="E88">IF($H88="","",INDEX(tblFacturasRecibidas[Base imponible (€)],$H88))</f>
        <v/>
      </c>
      <c r="F88" s="2" t="str" cm="1">
        <f t="array" ref="F88">IF($H88="","",IFERROR(INDEX(tblFacturasRecibidas[IVA (€)],$H88),0))</f>
        <v/>
      </c>
      <c r="G88" s="2" t="str" cm="1">
        <f t="array" ref="G88">IF($H88="","",IFERROR(INDEX(tblFacturasRecibidas[Total (€)],$H88),INDEX(tblFacturasRecibidas[Base imponible (€)],$H88)))</f>
        <v/>
      </c>
      <c r="H88" t="str" cm="1">
        <f t="array" ref="H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GASTOS],tblCategorias[Tipo],"")="Inversión")),ROWS($H$5:H88)),"")</f>
        <v/>
      </c>
    </row>
    <row r="89" spans="1:8" x14ac:dyDescent="0.35">
      <c r="A89" s="1" t="str" cm="1">
        <f t="array" ref="A89">IF($H89="","",INDEX(tblFacturasRecibidas[Fecha factura],$H89))</f>
        <v/>
      </c>
      <c r="B89" t="str" cm="1">
        <f t="array" ref="B89">IF($H89="","",INDEX(tblFacturasRecibidas[Concepto],$H89))</f>
        <v/>
      </c>
      <c r="C89" t="str" cm="1">
        <f t="array" ref="C89">IF($H89="","",INDEX(tblFacturasRecibidas[Proveedor],$H89))</f>
        <v/>
      </c>
      <c r="D89" t="str" cm="1">
        <f t="array" ref="D89">IF($H89="","",INDEX(tblFacturasRecibidas[Categoría],$H89))</f>
        <v/>
      </c>
      <c r="E89" s="2" t="str" cm="1">
        <f t="array" ref="E89">IF($H89="","",INDEX(tblFacturasRecibidas[Base imponible (€)],$H89))</f>
        <v/>
      </c>
      <c r="F89" s="2" t="str" cm="1">
        <f t="array" ref="F89">IF($H89="","",IFERROR(INDEX(tblFacturasRecibidas[IVA (€)],$H89),0))</f>
        <v/>
      </c>
      <c r="G89" s="2" t="str" cm="1">
        <f t="array" ref="G89">IF($H89="","",IFERROR(INDEX(tblFacturasRecibidas[Total (€)],$H89),INDEX(tblFacturasRecibidas[Base imponible (€)],$H89)))</f>
        <v/>
      </c>
      <c r="H89" t="str" cm="1">
        <f t="array" ref="H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GASTOS],tblCategorias[Tipo],"")="Inversión")),ROWS($H$5:H89)),"")</f>
        <v/>
      </c>
    </row>
    <row r="90" spans="1:8" x14ac:dyDescent="0.35">
      <c r="A90" s="1" t="str" cm="1">
        <f t="array" ref="A90">IF($H90="","",INDEX(tblFacturasRecibidas[Fecha factura],$H90))</f>
        <v/>
      </c>
      <c r="B90" t="str" cm="1">
        <f t="array" ref="B90">IF($H90="","",INDEX(tblFacturasRecibidas[Concepto],$H90))</f>
        <v/>
      </c>
      <c r="C90" t="str" cm="1">
        <f t="array" ref="C90">IF($H90="","",INDEX(tblFacturasRecibidas[Proveedor],$H90))</f>
        <v/>
      </c>
      <c r="D90" t="str" cm="1">
        <f t="array" ref="D90">IF($H90="","",INDEX(tblFacturasRecibidas[Categoría],$H90))</f>
        <v/>
      </c>
      <c r="E90" s="2" t="str" cm="1">
        <f t="array" ref="E90">IF($H90="","",INDEX(tblFacturasRecibidas[Base imponible (€)],$H90))</f>
        <v/>
      </c>
      <c r="F90" s="2" t="str" cm="1">
        <f t="array" ref="F90">IF($H90="","",IFERROR(INDEX(tblFacturasRecibidas[IVA (€)],$H90),0))</f>
        <v/>
      </c>
      <c r="G90" s="2" t="str" cm="1">
        <f t="array" ref="G90">IF($H90="","",IFERROR(INDEX(tblFacturasRecibidas[Total (€)],$H90),INDEX(tblFacturasRecibidas[Base imponible (€)],$H90)))</f>
        <v/>
      </c>
      <c r="H90" t="str" cm="1">
        <f t="array" ref="H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GASTOS],tblCategorias[Tipo],"")="Inversión")),ROWS($H$5:H90)),"")</f>
        <v/>
      </c>
    </row>
    <row r="91" spans="1:8" x14ac:dyDescent="0.35">
      <c r="A91" s="1" t="str" cm="1">
        <f t="array" ref="A91">IF($H91="","",INDEX(tblFacturasRecibidas[Fecha factura],$H91))</f>
        <v/>
      </c>
      <c r="B91" t="str" cm="1">
        <f t="array" ref="B91">IF($H91="","",INDEX(tblFacturasRecibidas[Concepto],$H91))</f>
        <v/>
      </c>
      <c r="C91" t="str" cm="1">
        <f t="array" ref="C91">IF($H91="","",INDEX(tblFacturasRecibidas[Proveedor],$H91))</f>
        <v/>
      </c>
      <c r="D91" t="str" cm="1">
        <f t="array" ref="D91">IF($H91="","",INDEX(tblFacturasRecibidas[Categoría],$H91))</f>
        <v/>
      </c>
      <c r="E91" s="2" t="str" cm="1">
        <f t="array" ref="E91">IF($H91="","",INDEX(tblFacturasRecibidas[Base imponible (€)],$H91))</f>
        <v/>
      </c>
      <c r="F91" s="2" t="str" cm="1">
        <f t="array" ref="F91">IF($H91="","",IFERROR(INDEX(tblFacturasRecibidas[IVA (€)],$H91),0))</f>
        <v/>
      </c>
      <c r="G91" s="2" t="str" cm="1">
        <f t="array" ref="G91">IF($H91="","",IFERROR(INDEX(tblFacturasRecibidas[Total (€)],$H91),INDEX(tblFacturasRecibidas[Base imponible (€)],$H91)))</f>
        <v/>
      </c>
      <c r="H91" t="str" cm="1">
        <f t="array" ref="H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GASTOS],tblCategorias[Tipo],"")="Inversión")),ROWS($H$5:H91)),"")</f>
        <v/>
      </c>
    </row>
    <row r="92" spans="1:8" x14ac:dyDescent="0.35">
      <c r="A92" s="1" t="str" cm="1">
        <f t="array" ref="A92">IF($H92="","",INDEX(tblFacturasRecibidas[Fecha factura],$H92))</f>
        <v/>
      </c>
      <c r="B92" t="str" cm="1">
        <f t="array" ref="B92">IF($H92="","",INDEX(tblFacturasRecibidas[Concepto],$H92))</f>
        <v/>
      </c>
      <c r="C92" t="str" cm="1">
        <f t="array" ref="C92">IF($H92="","",INDEX(tblFacturasRecibidas[Proveedor],$H92))</f>
        <v/>
      </c>
      <c r="D92" t="str" cm="1">
        <f t="array" ref="D92">IF($H92="","",INDEX(tblFacturasRecibidas[Categoría],$H92))</f>
        <v/>
      </c>
      <c r="E92" s="2" t="str" cm="1">
        <f t="array" ref="E92">IF($H92="","",INDEX(tblFacturasRecibidas[Base imponible (€)],$H92))</f>
        <v/>
      </c>
      <c r="F92" s="2" t="str" cm="1">
        <f t="array" ref="F92">IF($H92="","",IFERROR(INDEX(tblFacturasRecibidas[IVA (€)],$H92),0))</f>
        <v/>
      </c>
      <c r="G92" s="2" t="str" cm="1">
        <f t="array" ref="G92">IF($H92="","",IFERROR(INDEX(tblFacturasRecibidas[Total (€)],$H92),INDEX(tblFacturasRecibidas[Base imponible (€)],$H92)))</f>
        <v/>
      </c>
      <c r="H92" t="str" cm="1">
        <f t="array" ref="H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GASTOS],tblCategorias[Tipo],"")="Inversión")),ROWS($H$5:H92)),"")</f>
        <v/>
      </c>
    </row>
    <row r="93" spans="1:8" x14ac:dyDescent="0.35">
      <c r="A93" s="1" t="str" cm="1">
        <f t="array" ref="A93">IF($H93="","",INDEX(tblFacturasRecibidas[Fecha factura],$H93))</f>
        <v/>
      </c>
      <c r="B93" t="str" cm="1">
        <f t="array" ref="B93">IF($H93="","",INDEX(tblFacturasRecibidas[Concepto],$H93))</f>
        <v/>
      </c>
      <c r="C93" t="str" cm="1">
        <f t="array" ref="C93">IF($H93="","",INDEX(tblFacturasRecibidas[Proveedor],$H93))</f>
        <v/>
      </c>
      <c r="D93" t="str" cm="1">
        <f t="array" ref="D93">IF($H93="","",INDEX(tblFacturasRecibidas[Categoría],$H93))</f>
        <v/>
      </c>
      <c r="E93" s="2" t="str" cm="1">
        <f t="array" ref="E93">IF($H93="","",INDEX(tblFacturasRecibidas[Base imponible (€)],$H93))</f>
        <v/>
      </c>
      <c r="F93" s="2" t="str" cm="1">
        <f t="array" ref="F93">IF($H93="","",IFERROR(INDEX(tblFacturasRecibidas[IVA (€)],$H93),0))</f>
        <v/>
      </c>
      <c r="G93" s="2" t="str" cm="1">
        <f t="array" ref="G93">IF($H93="","",IFERROR(INDEX(tblFacturasRecibidas[Total (€)],$H93),INDEX(tblFacturasRecibidas[Base imponible (€)],$H93)))</f>
        <v/>
      </c>
      <c r="H93" t="str" cm="1">
        <f t="array" ref="H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GASTOS],tblCategorias[Tipo],"")="Inversión")),ROWS($H$5:H93)),"")</f>
        <v/>
      </c>
    </row>
    <row r="94" spans="1:8" x14ac:dyDescent="0.35">
      <c r="A94" s="1" t="str" cm="1">
        <f t="array" ref="A94">IF($H94="","",INDEX(tblFacturasRecibidas[Fecha factura],$H94))</f>
        <v/>
      </c>
      <c r="B94" t="str" cm="1">
        <f t="array" ref="B94">IF($H94="","",INDEX(tblFacturasRecibidas[Concepto],$H94))</f>
        <v/>
      </c>
      <c r="C94" t="str" cm="1">
        <f t="array" ref="C94">IF($H94="","",INDEX(tblFacturasRecibidas[Proveedor],$H94))</f>
        <v/>
      </c>
      <c r="D94" t="str" cm="1">
        <f t="array" ref="D94">IF($H94="","",INDEX(tblFacturasRecibidas[Categoría],$H94))</f>
        <v/>
      </c>
      <c r="E94" s="2" t="str" cm="1">
        <f t="array" ref="E94">IF($H94="","",INDEX(tblFacturasRecibidas[Base imponible (€)],$H94))</f>
        <v/>
      </c>
      <c r="F94" s="2" t="str" cm="1">
        <f t="array" ref="F94">IF($H94="","",IFERROR(INDEX(tblFacturasRecibidas[IVA (€)],$H94),0))</f>
        <v/>
      </c>
      <c r="G94" s="2" t="str" cm="1">
        <f t="array" ref="G94">IF($H94="","",IFERROR(INDEX(tblFacturasRecibidas[Total (€)],$H94),INDEX(tblFacturasRecibidas[Base imponible (€)],$H94)))</f>
        <v/>
      </c>
      <c r="H94" t="str" cm="1">
        <f t="array" ref="H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GASTOS],tblCategorias[Tipo],"")="Inversión")),ROWS($H$5:H94)),"")</f>
        <v/>
      </c>
    </row>
    <row r="95" spans="1:8" x14ac:dyDescent="0.35">
      <c r="A95" s="1" t="str" cm="1">
        <f t="array" ref="A95">IF($H95="","",INDEX(tblFacturasRecibidas[Fecha factura],$H95))</f>
        <v/>
      </c>
      <c r="B95" t="str" cm="1">
        <f t="array" ref="B95">IF($H95="","",INDEX(tblFacturasRecibidas[Concepto],$H95))</f>
        <v/>
      </c>
      <c r="C95" t="str" cm="1">
        <f t="array" ref="C95">IF($H95="","",INDEX(tblFacturasRecibidas[Proveedor],$H95))</f>
        <v/>
      </c>
      <c r="D95" t="str" cm="1">
        <f t="array" ref="D95">IF($H95="","",INDEX(tblFacturasRecibidas[Categoría],$H95))</f>
        <v/>
      </c>
      <c r="E95" s="2" t="str" cm="1">
        <f t="array" ref="E95">IF($H95="","",INDEX(tblFacturasRecibidas[Base imponible (€)],$H95))</f>
        <v/>
      </c>
      <c r="F95" s="2" t="str" cm="1">
        <f t="array" ref="F95">IF($H95="","",IFERROR(INDEX(tblFacturasRecibidas[IVA (€)],$H95),0))</f>
        <v/>
      </c>
      <c r="G95" s="2" t="str" cm="1">
        <f t="array" ref="G95">IF($H95="","",IFERROR(INDEX(tblFacturasRecibidas[Total (€)],$H95),INDEX(tblFacturasRecibidas[Base imponible (€)],$H95)))</f>
        <v/>
      </c>
      <c r="H95" t="str" cm="1">
        <f t="array" ref="H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GASTOS],tblCategorias[Tipo],"")="Inversión")),ROWS($H$5:H95)),"")</f>
        <v/>
      </c>
    </row>
    <row r="96" spans="1:8" x14ac:dyDescent="0.35">
      <c r="A96" s="1" t="str" cm="1">
        <f t="array" ref="A96">IF($H96="","",INDEX(tblFacturasRecibidas[Fecha factura],$H96))</f>
        <v/>
      </c>
      <c r="B96" t="str" cm="1">
        <f t="array" ref="B96">IF($H96="","",INDEX(tblFacturasRecibidas[Concepto],$H96))</f>
        <v/>
      </c>
      <c r="C96" t="str" cm="1">
        <f t="array" ref="C96">IF($H96="","",INDEX(tblFacturasRecibidas[Proveedor],$H96))</f>
        <v/>
      </c>
      <c r="D96" t="str" cm="1">
        <f t="array" ref="D96">IF($H96="","",INDEX(tblFacturasRecibidas[Categoría],$H96))</f>
        <v/>
      </c>
      <c r="E96" s="2" t="str" cm="1">
        <f t="array" ref="E96">IF($H96="","",INDEX(tblFacturasRecibidas[Base imponible (€)],$H96))</f>
        <v/>
      </c>
      <c r="F96" s="2" t="str" cm="1">
        <f t="array" ref="F96">IF($H96="","",IFERROR(INDEX(tblFacturasRecibidas[IVA (€)],$H96),0))</f>
        <v/>
      </c>
      <c r="G96" s="2" t="str" cm="1">
        <f t="array" ref="G96">IF($H96="","",IFERROR(INDEX(tblFacturasRecibidas[Total (€)],$H96),INDEX(tblFacturasRecibidas[Base imponible (€)],$H96)))</f>
        <v/>
      </c>
      <c r="H96" t="str" cm="1">
        <f t="array" ref="H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GASTOS],tblCategorias[Tipo],"")="Inversión")),ROWS($H$5:H96)),"")</f>
        <v/>
      </c>
    </row>
    <row r="97" spans="1:8" x14ac:dyDescent="0.35">
      <c r="A97" s="1" t="str" cm="1">
        <f t="array" ref="A97">IF($H97="","",INDEX(tblFacturasRecibidas[Fecha factura],$H97))</f>
        <v/>
      </c>
      <c r="B97" t="str" cm="1">
        <f t="array" ref="B97">IF($H97="","",INDEX(tblFacturasRecibidas[Concepto],$H97))</f>
        <v/>
      </c>
      <c r="C97" t="str" cm="1">
        <f t="array" ref="C97">IF($H97="","",INDEX(tblFacturasRecibidas[Proveedor],$H97))</f>
        <v/>
      </c>
      <c r="D97" t="str" cm="1">
        <f t="array" ref="D97">IF($H97="","",INDEX(tblFacturasRecibidas[Categoría],$H97))</f>
        <v/>
      </c>
      <c r="E97" s="2" t="str" cm="1">
        <f t="array" ref="E97">IF($H97="","",INDEX(tblFacturasRecibidas[Base imponible (€)],$H97))</f>
        <v/>
      </c>
      <c r="F97" s="2" t="str" cm="1">
        <f t="array" ref="F97">IF($H97="","",IFERROR(INDEX(tblFacturasRecibidas[IVA (€)],$H97),0))</f>
        <v/>
      </c>
      <c r="G97" s="2" t="str" cm="1">
        <f t="array" ref="G97">IF($H97="","",IFERROR(INDEX(tblFacturasRecibidas[Total (€)],$H97),INDEX(tblFacturasRecibidas[Base imponible (€)],$H97)))</f>
        <v/>
      </c>
      <c r="H97" t="str" cm="1">
        <f t="array" ref="H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GASTOS],tblCategorias[Tipo],"")="Inversión")),ROWS($H$5:H97)),"")</f>
        <v/>
      </c>
    </row>
    <row r="98" spans="1:8" x14ac:dyDescent="0.35">
      <c r="A98" s="1" t="str" cm="1">
        <f t="array" ref="A98">IF($H98="","",INDEX(tblFacturasRecibidas[Fecha factura],$H98))</f>
        <v/>
      </c>
      <c r="B98" t="str" cm="1">
        <f t="array" ref="B98">IF($H98="","",INDEX(tblFacturasRecibidas[Concepto],$H98))</f>
        <v/>
      </c>
      <c r="C98" t="str" cm="1">
        <f t="array" ref="C98">IF($H98="","",INDEX(tblFacturasRecibidas[Proveedor],$H98))</f>
        <v/>
      </c>
      <c r="D98" t="str" cm="1">
        <f t="array" ref="D98">IF($H98="","",INDEX(tblFacturasRecibidas[Categoría],$H98))</f>
        <v/>
      </c>
      <c r="E98" s="2" t="str" cm="1">
        <f t="array" ref="E98">IF($H98="","",INDEX(tblFacturasRecibidas[Base imponible (€)],$H98))</f>
        <v/>
      </c>
      <c r="F98" s="2" t="str" cm="1">
        <f t="array" ref="F98">IF($H98="","",IFERROR(INDEX(tblFacturasRecibidas[IVA (€)],$H98),0))</f>
        <v/>
      </c>
      <c r="G98" s="2" t="str" cm="1">
        <f t="array" ref="G98">IF($H98="","",IFERROR(INDEX(tblFacturasRecibidas[Total (€)],$H98),INDEX(tblFacturasRecibidas[Base imponible (€)],$H98)))</f>
        <v/>
      </c>
      <c r="H98" t="str" cm="1">
        <f t="array" ref="H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GASTOS],tblCategorias[Tipo],"")="Inversión")),ROWS($H$5:H98)),"")</f>
        <v/>
      </c>
    </row>
    <row r="99" spans="1:8" x14ac:dyDescent="0.35">
      <c r="A99" s="1" t="str" cm="1">
        <f t="array" ref="A99">IF($H99="","",INDEX(tblFacturasRecibidas[Fecha factura],$H99))</f>
        <v/>
      </c>
      <c r="B99" t="str" cm="1">
        <f t="array" ref="B99">IF($H99="","",INDEX(tblFacturasRecibidas[Concepto],$H99))</f>
        <v/>
      </c>
      <c r="C99" t="str" cm="1">
        <f t="array" ref="C99">IF($H99="","",INDEX(tblFacturasRecibidas[Proveedor],$H99))</f>
        <v/>
      </c>
      <c r="D99" t="str" cm="1">
        <f t="array" ref="D99">IF($H99="","",INDEX(tblFacturasRecibidas[Categoría],$H99))</f>
        <v/>
      </c>
      <c r="E99" s="2" t="str" cm="1">
        <f t="array" ref="E99">IF($H99="","",INDEX(tblFacturasRecibidas[Base imponible (€)],$H99))</f>
        <v/>
      </c>
      <c r="F99" s="2" t="str" cm="1">
        <f t="array" ref="F99">IF($H99="","",IFERROR(INDEX(tblFacturasRecibidas[IVA (€)],$H99),0))</f>
        <v/>
      </c>
      <c r="G99" s="2" t="str" cm="1">
        <f t="array" ref="G99">IF($H99="","",IFERROR(INDEX(tblFacturasRecibidas[Total (€)],$H99),INDEX(tblFacturasRecibidas[Base imponible (€)],$H99)))</f>
        <v/>
      </c>
      <c r="H99" t="str" cm="1">
        <f t="array" ref="H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GASTOS],tblCategorias[Tipo],"")="Inversión")),ROWS($H$5:H99)),"")</f>
        <v/>
      </c>
    </row>
    <row r="100" spans="1:8" x14ac:dyDescent="0.35">
      <c r="A100" s="1" t="str" cm="1">
        <f t="array" ref="A100">IF($H100="","",INDEX(tblFacturasRecibidas[Fecha factura],$H100))</f>
        <v/>
      </c>
      <c r="B100" t="str" cm="1">
        <f t="array" ref="B100">IF($H100="","",INDEX(tblFacturasRecibidas[Concepto],$H100))</f>
        <v/>
      </c>
      <c r="C100" t="str" cm="1">
        <f t="array" ref="C100">IF($H100="","",INDEX(tblFacturasRecibidas[Proveedor],$H100))</f>
        <v/>
      </c>
      <c r="D100" t="str" cm="1">
        <f t="array" ref="D100">IF($H100="","",INDEX(tblFacturasRecibidas[Categoría],$H100))</f>
        <v/>
      </c>
      <c r="E100" s="2" t="str" cm="1">
        <f t="array" ref="E100">IF($H100="","",INDEX(tblFacturasRecibidas[Base imponible (€)],$H100))</f>
        <v/>
      </c>
      <c r="F100" s="2" t="str" cm="1">
        <f t="array" ref="F100">IF($H100="","",IFERROR(INDEX(tblFacturasRecibidas[IVA (€)],$H100),0))</f>
        <v/>
      </c>
      <c r="G100" s="2" t="str" cm="1">
        <f t="array" ref="G100">IF($H100="","",IFERROR(INDEX(tblFacturasRecibidas[Total (€)],$H100),INDEX(tblFacturasRecibidas[Base imponible (€)],$H100)))</f>
        <v/>
      </c>
      <c r="H100" t="str" cm="1">
        <f t="array" ref="H1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GASTOS],tblCategorias[Tipo],"")="Inversión")),ROWS($H$5:H100)),"")</f>
        <v/>
      </c>
    </row>
    <row r="101" spans="1:8" x14ac:dyDescent="0.35">
      <c r="A101" s="1" t="str" cm="1">
        <f t="array" ref="A101">IF($H101="","",INDEX(tblFacturasRecibidas[Fecha factura],$H101))</f>
        <v/>
      </c>
      <c r="B101" t="str" cm="1">
        <f t="array" ref="B101">IF($H101="","",INDEX(tblFacturasRecibidas[Concepto],$H101))</f>
        <v/>
      </c>
      <c r="C101" t="str" cm="1">
        <f t="array" ref="C101">IF($H101="","",INDEX(tblFacturasRecibidas[Proveedor],$H101))</f>
        <v/>
      </c>
      <c r="D101" t="str" cm="1">
        <f t="array" ref="D101">IF($H101="","",INDEX(tblFacturasRecibidas[Categoría],$H101))</f>
        <v/>
      </c>
      <c r="E101" s="2" t="str" cm="1">
        <f t="array" ref="E101">IF($H101="","",INDEX(tblFacturasRecibidas[Base imponible (€)],$H101))</f>
        <v/>
      </c>
      <c r="F101" s="2" t="str" cm="1">
        <f t="array" ref="F101">IF($H101="","",IFERROR(INDEX(tblFacturasRecibidas[IVA (€)],$H101),0))</f>
        <v/>
      </c>
      <c r="G101" s="2" t="str" cm="1">
        <f t="array" ref="G101">IF($H101="","",IFERROR(INDEX(tblFacturasRecibidas[Total (€)],$H101),INDEX(tblFacturasRecibidas[Base imponible (€)],$H101)))</f>
        <v/>
      </c>
      <c r="H101" t="str" cm="1">
        <f t="array" ref="H1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GASTOS],tblCategorias[Tipo],"")="Inversión")),ROWS($H$5:H101)),"")</f>
        <v/>
      </c>
    </row>
    <row r="102" spans="1:8" x14ac:dyDescent="0.35">
      <c r="A102" s="1" t="str" cm="1">
        <f t="array" ref="A102">IF($H102="","",INDEX(tblFacturasRecibidas[Fecha factura],$H102))</f>
        <v/>
      </c>
      <c r="B102" t="str" cm="1">
        <f t="array" ref="B102">IF($H102="","",INDEX(tblFacturasRecibidas[Concepto],$H102))</f>
        <v/>
      </c>
      <c r="C102" t="str" cm="1">
        <f t="array" ref="C102">IF($H102="","",INDEX(tblFacturasRecibidas[Proveedor],$H102))</f>
        <v/>
      </c>
      <c r="D102" t="str" cm="1">
        <f t="array" ref="D102">IF($H102="","",INDEX(tblFacturasRecibidas[Categoría],$H102))</f>
        <v/>
      </c>
      <c r="E102" s="2" t="str" cm="1">
        <f t="array" ref="E102">IF($H102="","",INDEX(tblFacturasRecibidas[Base imponible (€)],$H102))</f>
        <v/>
      </c>
      <c r="F102" s="2" t="str" cm="1">
        <f t="array" ref="F102">IF($H102="","",IFERROR(INDEX(tblFacturasRecibidas[IVA (€)],$H102),0))</f>
        <v/>
      </c>
      <c r="G102" s="2" t="str" cm="1">
        <f t="array" ref="G102">IF($H102="","",IFERROR(INDEX(tblFacturasRecibidas[Total (€)],$H102),INDEX(tblFacturasRecibidas[Base imponible (€)],$H102)))</f>
        <v/>
      </c>
      <c r="H102" t="str" cm="1">
        <f t="array" ref="H1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GASTOS],tblCategorias[Tipo],"")="Inversión")),ROWS($H$5:H102)),"")</f>
        <v/>
      </c>
    </row>
    <row r="103" spans="1:8" x14ac:dyDescent="0.35">
      <c r="A103" s="1" t="str" cm="1">
        <f t="array" ref="A103">IF($H103="","",INDEX(tblFacturasRecibidas[Fecha factura],$H103))</f>
        <v/>
      </c>
      <c r="B103" t="str" cm="1">
        <f t="array" ref="B103">IF($H103="","",INDEX(tblFacturasRecibidas[Concepto],$H103))</f>
        <v/>
      </c>
      <c r="C103" t="str" cm="1">
        <f t="array" ref="C103">IF($H103="","",INDEX(tblFacturasRecibidas[Proveedor],$H103))</f>
        <v/>
      </c>
      <c r="D103" t="str" cm="1">
        <f t="array" ref="D103">IF($H103="","",INDEX(tblFacturasRecibidas[Categoría],$H103))</f>
        <v/>
      </c>
      <c r="E103" s="2" t="str" cm="1">
        <f t="array" ref="E103">IF($H103="","",INDEX(tblFacturasRecibidas[Base imponible (€)],$H103))</f>
        <v/>
      </c>
      <c r="F103" s="2" t="str" cm="1">
        <f t="array" ref="F103">IF($H103="","",IFERROR(INDEX(tblFacturasRecibidas[IVA (€)],$H103),0))</f>
        <v/>
      </c>
      <c r="G103" s="2" t="str" cm="1">
        <f t="array" ref="G103">IF($H103="","",IFERROR(INDEX(tblFacturasRecibidas[Total (€)],$H103),INDEX(tblFacturasRecibidas[Base imponible (€)],$H103)))</f>
        <v/>
      </c>
      <c r="H103" t="str" cm="1">
        <f t="array" ref="H1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GASTOS],tblCategorias[Tipo],"")="Inversión")),ROWS($H$5:H103)),"")</f>
        <v/>
      </c>
    </row>
    <row r="104" spans="1:8" x14ac:dyDescent="0.35">
      <c r="A104" s="1" t="str" cm="1">
        <f t="array" ref="A104">IF($H104="","",INDEX(tblFacturasRecibidas[Fecha factura],$H104))</f>
        <v/>
      </c>
      <c r="B104" t="str" cm="1">
        <f t="array" ref="B104">IF($H104="","",INDEX(tblFacturasRecibidas[Concepto],$H104))</f>
        <v/>
      </c>
      <c r="C104" t="str" cm="1">
        <f t="array" ref="C104">IF($H104="","",INDEX(tblFacturasRecibidas[Proveedor],$H104))</f>
        <v/>
      </c>
      <c r="D104" t="str" cm="1">
        <f t="array" ref="D104">IF($H104="","",INDEX(tblFacturasRecibidas[Categoría],$H104))</f>
        <v/>
      </c>
      <c r="E104" s="2" t="str" cm="1">
        <f t="array" ref="E104">IF($H104="","",INDEX(tblFacturasRecibidas[Base imponible (€)],$H104))</f>
        <v/>
      </c>
      <c r="F104" s="2" t="str" cm="1">
        <f t="array" ref="F104">IF($H104="","",IFERROR(INDEX(tblFacturasRecibidas[IVA (€)],$H104),0))</f>
        <v/>
      </c>
      <c r="G104" s="2" t="str" cm="1">
        <f t="array" ref="G104">IF($H104="","",IFERROR(INDEX(tblFacturasRecibidas[Total (€)],$H104),INDEX(tblFacturasRecibidas[Base imponible (€)],$H104)))</f>
        <v/>
      </c>
      <c r="H104" t="str" cm="1">
        <f t="array" ref="H1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GASTOS],tblCategorias[Tipo],"")="Inversión")),ROWS($H$5:H104)),"")</f>
        <v/>
      </c>
    </row>
    <row r="105" spans="1:8" x14ac:dyDescent="0.35">
      <c r="A105" s="1" t="str" cm="1">
        <f t="array" ref="A105">IF($H105="","",INDEX(tblFacturasRecibidas[Fecha factura],$H105))</f>
        <v/>
      </c>
      <c r="B105" t="str" cm="1">
        <f t="array" ref="B105">IF($H105="","",INDEX(tblFacturasRecibidas[Concepto],$H105))</f>
        <v/>
      </c>
      <c r="C105" t="str" cm="1">
        <f t="array" ref="C105">IF($H105="","",INDEX(tblFacturasRecibidas[Proveedor],$H105))</f>
        <v/>
      </c>
      <c r="D105" t="str" cm="1">
        <f t="array" ref="D105">IF($H105="","",INDEX(tblFacturasRecibidas[Categoría],$H105))</f>
        <v/>
      </c>
      <c r="E105" s="2" t="str" cm="1">
        <f t="array" ref="E105">IF($H105="","",INDEX(tblFacturasRecibidas[Base imponible (€)],$H105))</f>
        <v/>
      </c>
      <c r="F105" s="2" t="str" cm="1">
        <f t="array" ref="F105">IF($H105="","",IFERROR(INDEX(tblFacturasRecibidas[IVA (€)],$H105),0))</f>
        <v/>
      </c>
      <c r="G105" s="2" t="str" cm="1">
        <f t="array" ref="G105">IF($H105="","",IFERROR(INDEX(tblFacturasRecibidas[Total (€)],$H105),INDEX(tblFacturasRecibidas[Base imponible (€)],$H105)))</f>
        <v/>
      </c>
      <c r="H105" t="str" cm="1">
        <f t="array" ref="H1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GASTOS],tblCategorias[Tipo],"")="Inversión")),ROWS($H$5:H105)),"")</f>
        <v/>
      </c>
    </row>
    <row r="106" spans="1:8" x14ac:dyDescent="0.35">
      <c r="A106" s="1" t="str" cm="1">
        <f t="array" ref="A106">IF($H106="","",INDEX(tblFacturasRecibidas[Fecha factura],$H106))</f>
        <v/>
      </c>
      <c r="B106" t="str" cm="1">
        <f t="array" ref="B106">IF($H106="","",INDEX(tblFacturasRecibidas[Concepto],$H106))</f>
        <v/>
      </c>
      <c r="C106" t="str" cm="1">
        <f t="array" ref="C106">IF($H106="","",INDEX(tblFacturasRecibidas[Proveedor],$H106))</f>
        <v/>
      </c>
      <c r="D106" t="str" cm="1">
        <f t="array" ref="D106">IF($H106="","",INDEX(tblFacturasRecibidas[Categoría],$H106))</f>
        <v/>
      </c>
      <c r="E106" s="2" t="str" cm="1">
        <f t="array" ref="E106">IF($H106="","",INDEX(tblFacturasRecibidas[Base imponible (€)],$H106))</f>
        <v/>
      </c>
      <c r="F106" s="2" t="str" cm="1">
        <f t="array" ref="F106">IF($H106="","",IFERROR(INDEX(tblFacturasRecibidas[IVA (€)],$H106),0))</f>
        <v/>
      </c>
      <c r="G106" s="2" t="str" cm="1">
        <f t="array" ref="G106">IF($H106="","",IFERROR(INDEX(tblFacturasRecibidas[Total (€)],$H106),INDEX(tblFacturasRecibidas[Base imponible (€)],$H106)))</f>
        <v/>
      </c>
      <c r="H106" t="str" cm="1">
        <f t="array" ref="H1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GASTOS],tblCategorias[Tipo],"")="Inversión")),ROWS($H$5:H106)),"")</f>
        <v/>
      </c>
    </row>
    <row r="107" spans="1:8" x14ac:dyDescent="0.35">
      <c r="A107" s="1" t="str" cm="1">
        <f t="array" ref="A107">IF($H107="","",INDEX(tblFacturasRecibidas[Fecha factura],$H107))</f>
        <v/>
      </c>
      <c r="B107" t="str" cm="1">
        <f t="array" ref="B107">IF($H107="","",INDEX(tblFacturasRecibidas[Concepto],$H107))</f>
        <v/>
      </c>
      <c r="C107" t="str" cm="1">
        <f t="array" ref="C107">IF($H107="","",INDEX(tblFacturasRecibidas[Proveedor],$H107))</f>
        <v/>
      </c>
      <c r="D107" t="str" cm="1">
        <f t="array" ref="D107">IF($H107="","",INDEX(tblFacturasRecibidas[Categoría],$H107))</f>
        <v/>
      </c>
      <c r="E107" s="2" t="str" cm="1">
        <f t="array" ref="E107">IF($H107="","",INDEX(tblFacturasRecibidas[Base imponible (€)],$H107))</f>
        <v/>
      </c>
      <c r="F107" s="2" t="str" cm="1">
        <f t="array" ref="F107">IF($H107="","",IFERROR(INDEX(tblFacturasRecibidas[IVA (€)],$H107),0))</f>
        <v/>
      </c>
      <c r="G107" s="2" t="str" cm="1">
        <f t="array" ref="G107">IF($H107="","",IFERROR(INDEX(tblFacturasRecibidas[Total (€)],$H107),INDEX(tblFacturasRecibidas[Base imponible (€)],$H107)))</f>
        <v/>
      </c>
      <c r="H107" t="str" cm="1">
        <f t="array" ref="H1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GASTOS],tblCategorias[Tipo],"")="Inversión")),ROWS($H$5:H107)),"")</f>
        <v/>
      </c>
    </row>
    <row r="108" spans="1:8" x14ac:dyDescent="0.35">
      <c r="A108" s="1" t="str" cm="1">
        <f t="array" ref="A108">IF($H108="","",INDEX(tblFacturasRecibidas[Fecha factura],$H108))</f>
        <v/>
      </c>
      <c r="B108" t="str" cm="1">
        <f t="array" ref="B108">IF($H108="","",INDEX(tblFacturasRecibidas[Concepto],$H108))</f>
        <v/>
      </c>
      <c r="C108" t="str" cm="1">
        <f t="array" ref="C108">IF($H108="","",INDEX(tblFacturasRecibidas[Proveedor],$H108))</f>
        <v/>
      </c>
      <c r="D108" t="str" cm="1">
        <f t="array" ref="D108">IF($H108="","",INDEX(tblFacturasRecibidas[Categoría],$H108))</f>
        <v/>
      </c>
      <c r="E108" s="2" t="str" cm="1">
        <f t="array" ref="E108">IF($H108="","",INDEX(tblFacturasRecibidas[Base imponible (€)],$H108))</f>
        <v/>
      </c>
      <c r="F108" s="2" t="str" cm="1">
        <f t="array" ref="F108">IF($H108="","",IFERROR(INDEX(tblFacturasRecibidas[IVA (€)],$H108),0))</f>
        <v/>
      </c>
      <c r="G108" s="2" t="str" cm="1">
        <f t="array" ref="G108">IF($H108="","",IFERROR(INDEX(tblFacturasRecibidas[Total (€)],$H108),INDEX(tblFacturasRecibidas[Base imponible (€)],$H108)))</f>
        <v/>
      </c>
      <c r="H108" t="str" cm="1">
        <f t="array" ref="H1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GASTOS],tblCategorias[Tipo],"")="Inversión")),ROWS($H$5:H108)),"")</f>
        <v/>
      </c>
    </row>
    <row r="109" spans="1:8" x14ac:dyDescent="0.35">
      <c r="A109" s="1" t="str" cm="1">
        <f t="array" ref="A109">IF($H109="","",INDEX(tblFacturasRecibidas[Fecha factura],$H109))</f>
        <v/>
      </c>
      <c r="B109" t="str" cm="1">
        <f t="array" ref="B109">IF($H109="","",INDEX(tblFacturasRecibidas[Concepto],$H109))</f>
        <v/>
      </c>
      <c r="C109" t="str" cm="1">
        <f t="array" ref="C109">IF($H109="","",INDEX(tblFacturasRecibidas[Proveedor],$H109))</f>
        <v/>
      </c>
      <c r="D109" t="str" cm="1">
        <f t="array" ref="D109">IF($H109="","",INDEX(tblFacturasRecibidas[Categoría],$H109))</f>
        <v/>
      </c>
      <c r="E109" s="2" t="str" cm="1">
        <f t="array" ref="E109">IF($H109="","",INDEX(tblFacturasRecibidas[Base imponible (€)],$H109))</f>
        <v/>
      </c>
      <c r="F109" s="2" t="str" cm="1">
        <f t="array" ref="F109">IF($H109="","",IFERROR(INDEX(tblFacturasRecibidas[IVA (€)],$H109),0))</f>
        <v/>
      </c>
      <c r="G109" s="2" t="str" cm="1">
        <f t="array" ref="G109">IF($H109="","",IFERROR(INDEX(tblFacturasRecibidas[Total (€)],$H109),INDEX(tblFacturasRecibidas[Base imponible (€)],$H109)))</f>
        <v/>
      </c>
      <c r="H109" t="str" cm="1">
        <f t="array" ref="H1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GASTOS],tblCategorias[Tipo],"")="Inversión")),ROWS($H$5:H109)),"")</f>
        <v/>
      </c>
    </row>
    <row r="110" spans="1:8" x14ac:dyDescent="0.35">
      <c r="A110" s="1" t="str" cm="1">
        <f t="array" ref="A110">IF($H110="","",INDEX(tblFacturasRecibidas[Fecha factura],$H110))</f>
        <v/>
      </c>
      <c r="B110" t="str" cm="1">
        <f t="array" ref="B110">IF($H110="","",INDEX(tblFacturasRecibidas[Concepto],$H110))</f>
        <v/>
      </c>
      <c r="C110" t="str" cm="1">
        <f t="array" ref="C110">IF($H110="","",INDEX(tblFacturasRecibidas[Proveedor],$H110))</f>
        <v/>
      </c>
      <c r="D110" t="str" cm="1">
        <f t="array" ref="D110">IF($H110="","",INDEX(tblFacturasRecibidas[Categoría],$H110))</f>
        <v/>
      </c>
      <c r="E110" s="2" t="str" cm="1">
        <f t="array" ref="E110">IF($H110="","",INDEX(tblFacturasRecibidas[Base imponible (€)],$H110))</f>
        <v/>
      </c>
      <c r="F110" s="2" t="str" cm="1">
        <f t="array" ref="F110">IF($H110="","",IFERROR(INDEX(tblFacturasRecibidas[IVA (€)],$H110),0))</f>
        <v/>
      </c>
      <c r="G110" s="2" t="str" cm="1">
        <f t="array" ref="G110">IF($H110="","",IFERROR(INDEX(tblFacturasRecibidas[Total (€)],$H110),INDEX(tblFacturasRecibidas[Base imponible (€)],$H110)))</f>
        <v/>
      </c>
      <c r="H110" t="str" cm="1">
        <f t="array" ref="H1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GASTOS],tblCategorias[Tipo],"")="Inversión")),ROWS($H$5:H110)),"")</f>
        <v/>
      </c>
    </row>
    <row r="111" spans="1:8" x14ac:dyDescent="0.35">
      <c r="A111" s="1" t="str" cm="1">
        <f t="array" ref="A111">IF($H111="","",INDEX(tblFacturasRecibidas[Fecha factura],$H111))</f>
        <v/>
      </c>
      <c r="B111" t="str" cm="1">
        <f t="array" ref="B111">IF($H111="","",INDEX(tblFacturasRecibidas[Concepto],$H111))</f>
        <v/>
      </c>
      <c r="C111" t="str" cm="1">
        <f t="array" ref="C111">IF($H111="","",INDEX(tblFacturasRecibidas[Proveedor],$H111))</f>
        <v/>
      </c>
      <c r="D111" t="str" cm="1">
        <f t="array" ref="D111">IF($H111="","",INDEX(tblFacturasRecibidas[Categoría],$H111))</f>
        <v/>
      </c>
      <c r="E111" s="2" t="str" cm="1">
        <f t="array" ref="E111">IF($H111="","",INDEX(tblFacturasRecibidas[Base imponible (€)],$H111))</f>
        <v/>
      </c>
      <c r="F111" s="2" t="str" cm="1">
        <f t="array" ref="F111">IF($H111="","",IFERROR(INDEX(tblFacturasRecibidas[IVA (€)],$H111),0))</f>
        <v/>
      </c>
      <c r="G111" s="2" t="str" cm="1">
        <f t="array" ref="G111">IF($H111="","",IFERROR(INDEX(tblFacturasRecibidas[Total (€)],$H111),INDEX(tblFacturasRecibidas[Base imponible (€)],$H111)))</f>
        <v/>
      </c>
      <c r="H111" t="str" cm="1">
        <f t="array" ref="H1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GASTOS],tblCategorias[Tipo],"")="Inversión")),ROWS($H$5:H111)),"")</f>
        <v/>
      </c>
    </row>
    <row r="112" spans="1:8" x14ac:dyDescent="0.35">
      <c r="A112" s="1" t="str" cm="1">
        <f t="array" ref="A112">IF($H112="","",INDEX(tblFacturasRecibidas[Fecha factura],$H112))</f>
        <v/>
      </c>
      <c r="B112" t="str" cm="1">
        <f t="array" ref="B112">IF($H112="","",INDEX(tblFacturasRecibidas[Concepto],$H112))</f>
        <v/>
      </c>
      <c r="C112" t="str" cm="1">
        <f t="array" ref="C112">IF($H112="","",INDEX(tblFacturasRecibidas[Proveedor],$H112))</f>
        <v/>
      </c>
      <c r="D112" t="str" cm="1">
        <f t="array" ref="D112">IF($H112="","",INDEX(tblFacturasRecibidas[Categoría],$H112))</f>
        <v/>
      </c>
      <c r="E112" s="2" t="str" cm="1">
        <f t="array" ref="E112">IF($H112="","",INDEX(tblFacturasRecibidas[Base imponible (€)],$H112))</f>
        <v/>
      </c>
      <c r="F112" s="2" t="str" cm="1">
        <f t="array" ref="F112">IF($H112="","",IFERROR(INDEX(tblFacturasRecibidas[IVA (€)],$H112),0))</f>
        <v/>
      </c>
      <c r="G112" s="2" t="str" cm="1">
        <f t="array" ref="G112">IF($H112="","",IFERROR(INDEX(tblFacturasRecibidas[Total (€)],$H112),INDEX(tblFacturasRecibidas[Base imponible (€)],$H112)))</f>
        <v/>
      </c>
      <c r="H112" t="str" cm="1">
        <f t="array" ref="H1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GASTOS],tblCategorias[Tipo],"")="Inversión")),ROWS($H$5:H112)),"")</f>
        <v/>
      </c>
    </row>
    <row r="113" spans="1:8" x14ac:dyDescent="0.35">
      <c r="A113" s="1" t="str" cm="1">
        <f t="array" ref="A113">IF($H113="","",INDEX(tblFacturasRecibidas[Fecha factura],$H113))</f>
        <v/>
      </c>
      <c r="B113" t="str" cm="1">
        <f t="array" ref="B113">IF($H113="","",INDEX(tblFacturasRecibidas[Concepto],$H113))</f>
        <v/>
      </c>
      <c r="C113" t="str" cm="1">
        <f t="array" ref="C113">IF($H113="","",INDEX(tblFacturasRecibidas[Proveedor],$H113))</f>
        <v/>
      </c>
      <c r="D113" t="str" cm="1">
        <f t="array" ref="D113">IF($H113="","",INDEX(tblFacturasRecibidas[Categoría],$H113))</f>
        <v/>
      </c>
      <c r="E113" s="2" t="str" cm="1">
        <f t="array" ref="E113">IF($H113="","",INDEX(tblFacturasRecibidas[Base imponible (€)],$H113))</f>
        <v/>
      </c>
      <c r="F113" s="2" t="str" cm="1">
        <f t="array" ref="F113">IF($H113="","",IFERROR(INDEX(tblFacturasRecibidas[IVA (€)],$H113),0))</f>
        <v/>
      </c>
      <c r="G113" s="2" t="str" cm="1">
        <f t="array" ref="G113">IF($H113="","",IFERROR(INDEX(tblFacturasRecibidas[Total (€)],$H113),INDEX(tblFacturasRecibidas[Base imponible (€)],$H113)))</f>
        <v/>
      </c>
      <c r="H113" t="str" cm="1">
        <f t="array" ref="H1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GASTOS],tblCategorias[Tipo],"")="Inversión")),ROWS($H$5:H113)),"")</f>
        <v/>
      </c>
    </row>
    <row r="114" spans="1:8" x14ac:dyDescent="0.35">
      <c r="A114" s="1" t="str" cm="1">
        <f t="array" ref="A114">IF($H114="","",INDEX(tblFacturasRecibidas[Fecha factura],$H114))</f>
        <v/>
      </c>
      <c r="B114" t="str" cm="1">
        <f t="array" ref="B114">IF($H114="","",INDEX(tblFacturasRecibidas[Concepto],$H114))</f>
        <v/>
      </c>
      <c r="C114" t="str" cm="1">
        <f t="array" ref="C114">IF($H114="","",INDEX(tblFacturasRecibidas[Proveedor],$H114))</f>
        <v/>
      </c>
      <c r="D114" t="str" cm="1">
        <f t="array" ref="D114">IF($H114="","",INDEX(tblFacturasRecibidas[Categoría],$H114))</f>
        <v/>
      </c>
      <c r="E114" s="2" t="str" cm="1">
        <f t="array" ref="E114">IF($H114="","",INDEX(tblFacturasRecibidas[Base imponible (€)],$H114))</f>
        <v/>
      </c>
      <c r="F114" s="2" t="str" cm="1">
        <f t="array" ref="F114">IF($H114="","",IFERROR(INDEX(tblFacturasRecibidas[IVA (€)],$H114),0))</f>
        <v/>
      </c>
      <c r="G114" s="2" t="str" cm="1">
        <f t="array" ref="G114">IF($H114="","",IFERROR(INDEX(tblFacturasRecibidas[Total (€)],$H114),INDEX(tblFacturasRecibidas[Base imponible (€)],$H114)))</f>
        <v/>
      </c>
      <c r="H114" t="str" cm="1">
        <f t="array" ref="H1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GASTOS],tblCategorias[Tipo],"")="Inversión")),ROWS($H$5:H114)),"")</f>
        <v/>
      </c>
    </row>
    <row r="115" spans="1:8" x14ac:dyDescent="0.35">
      <c r="A115" s="1" t="str" cm="1">
        <f t="array" ref="A115">IF($H115="","",INDEX(tblFacturasRecibidas[Fecha factura],$H115))</f>
        <v/>
      </c>
      <c r="B115" t="str" cm="1">
        <f t="array" ref="B115">IF($H115="","",INDEX(tblFacturasRecibidas[Concepto],$H115))</f>
        <v/>
      </c>
      <c r="C115" t="str" cm="1">
        <f t="array" ref="C115">IF($H115="","",INDEX(tblFacturasRecibidas[Proveedor],$H115))</f>
        <v/>
      </c>
      <c r="D115" t="str" cm="1">
        <f t="array" ref="D115">IF($H115="","",INDEX(tblFacturasRecibidas[Categoría],$H115))</f>
        <v/>
      </c>
      <c r="E115" s="2" t="str" cm="1">
        <f t="array" ref="E115">IF($H115="","",INDEX(tblFacturasRecibidas[Base imponible (€)],$H115))</f>
        <v/>
      </c>
      <c r="F115" s="2" t="str" cm="1">
        <f t="array" ref="F115">IF($H115="","",IFERROR(INDEX(tblFacturasRecibidas[IVA (€)],$H115),0))</f>
        <v/>
      </c>
      <c r="G115" s="2" t="str" cm="1">
        <f t="array" ref="G115">IF($H115="","",IFERROR(INDEX(tblFacturasRecibidas[Total (€)],$H115),INDEX(tblFacturasRecibidas[Base imponible (€)],$H115)))</f>
        <v/>
      </c>
      <c r="H115" t="str" cm="1">
        <f t="array" ref="H1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GASTOS],tblCategorias[Tipo],"")="Inversión")),ROWS($H$5:H115)),"")</f>
        <v/>
      </c>
    </row>
    <row r="116" spans="1:8" x14ac:dyDescent="0.35">
      <c r="A116" s="1" t="str" cm="1">
        <f t="array" ref="A116">IF($H116="","",INDEX(tblFacturasRecibidas[Fecha factura],$H116))</f>
        <v/>
      </c>
      <c r="B116" t="str" cm="1">
        <f t="array" ref="B116">IF($H116="","",INDEX(tblFacturasRecibidas[Concepto],$H116))</f>
        <v/>
      </c>
      <c r="C116" t="str" cm="1">
        <f t="array" ref="C116">IF($H116="","",INDEX(tblFacturasRecibidas[Proveedor],$H116))</f>
        <v/>
      </c>
      <c r="D116" t="str" cm="1">
        <f t="array" ref="D116">IF($H116="","",INDEX(tblFacturasRecibidas[Categoría],$H116))</f>
        <v/>
      </c>
      <c r="E116" s="2" t="str" cm="1">
        <f t="array" ref="E116">IF($H116="","",INDEX(tblFacturasRecibidas[Base imponible (€)],$H116))</f>
        <v/>
      </c>
      <c r="F116" s="2" t="str" cm="1">
        <f t="array" ref="F116">IF($H116="","",IFERROR(INDEX(tblFacturasRecibidas[IVA (€)],$H116),0))</f>
        <v/>
      </c>
      <c r="G116" s="2" t="str" cm="1">
        <f t="array" ref="G116">IF($H116="","",IFERROR(INDEX(tblFacturasRecibidas[Total (€)],$H116),INDEX(tblFacturasRecibidas[Base imponible (€)],$H116)))</f>
        <v/>
      </c>
      <c r="H116" t="str" cm="1">
        <f t="array" ref="H1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GASTOS],tblCategorias[Tipo],"")="Inversión")),ROWS($H$5:H116)),"")</f>
        <v/>
      </c>
    </row>
    <row r="117" spans="1:8" x14ac:dyDescent="0.35">
      <c r="A117" s="1" t="str" cm="1">
        <f t="array" ref="A117">IF($H117="","",INDEX(tblFacturasRecibidas[Fecha factura],$H117))</f>
        <v/>
      </c>
      <c r="B117" t="str" cm="1">
        <f t="array" ref="B117">IF($H117="","",INDEX(tblFacturasRecibidas[Concepto],$H117))</f>
        <v/>
      </c>
      <c r="C117" t="str" cm="1">
        <f t="array" ref="C117">IF($H117="","",INDEX(tblFacturasRecibidas[Proveedor],$H117))</f>
        <v/>
      </c>
      <c r="D117" t="str" cm="1">
        <f t="array" ref="D117">IF($H117="","",INDEX(tblFacturasRecibidas[Categoría],$H117))</f>
        <v/>
      </c>
      <c r="E117" s="2" t="str" cm="1">
        <f t="array" ref="E117">IF($H117="","",INDEX(tblFacturasRecibidas[Base imponible (€)],$H117))</f>
        <v/>
      </c>
      <c r="F117" s="2" t="str" cm="1">
        <f t="array" ref="F117">IF($H117="","",IFERROR(INDEX(tblFacturasRecibidas[IVA (€)],$H117),0))</f>
        <v/>
      </c>
      <c r="G117" s="2" t="str" cm="1">
        <f t="array" ref="G117">IF($H117="","",IFERROR(INDEX(tblFacturasRecibidas[Total (€)],$H117),INDEX(tblFacturasRecibidas[Base imponible (€)],$H117)))</f>
        <v/>
      </c>
      <c r="H117" t="str" cm="1">
        <f t="array" ref="H1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GASTOS],tblCategorias[Tipo],"")="Inversión")),ROWS($H$5:H117)),"")</f>
        <v/>
      </c>
    </row>
    <row r="118" spans="1:8" x14ac:dyDescent="0.35">
      <c r="A118" s="1" t="str" cm="1">
        <f t="array" ref="A118">IF($H118="","",INDEX(tblFacturasRecibidas[Fecha factura],$H118))</f>
        <v/>
      </c>
      <c r="B118" t="str" cm="1">
        <f t="array" ref="B118">IF($H118="","",INDEX(tblFacturasRecibidas[Concepto],$H118))</f>
        <v/>
      </c>
      <c r="C118" t="str" cm="1">
        <f t="array" ref="C118">IF($H118="","",INDEX(tblFacturasRecibidas[Proveedor],$H118))</f>
        <v/>
      </c>
      <c r="D118" t="str" cm="1">
        <f t="array" ref="D118">IF($H118="","",INDEX(tblFacturasRecibidas[Categoría],$H118))</f>
        <v/>
      </c>
      <c r="E118" s="2" t="str" cm="1">
        <f t="array" ref="E118">IF($H118="","",INDEX(tblFacturasRecibidas[Base imponible (€)],$H118))</f>
        <v/>
      </c>
      <c r="F118" s="2" t="str" cm="1">
        <f t="array" ref="F118">IF($H118="","",IFERROR(INDEX(tblFacturasRecibidas[IVA (€)],$H118),0))</f>
        <v/>
      </c>
      <c r="G118" s="2" t="str" cm="1">
        <f t="array" ref="G118">IF($H118="","",IFERROR(INDEX(tblFacturasRecibidas[Total (€)],$H118),INDEX(tblFacturasRecibidas[Base imponible (€)],$H118)))</f>
        <v/>
      </c>
      <c r="H118" t="str" cm="1">
        <f t="array" ref="H1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GASTOS],tblCategorias[Tipo],"")="Inversión")),ROWS($H$5:H118)),"")</f>
        <v/>
      </c>
    </row>
    <row r="119" spans="1:8" x14ac:dyDescent="0.35">
      <c r="A119" s="1" t="str" cm="1">
        <f t="array" ref="A119">IF($H119="","",INDEX(tblFacturasRecibidas[Fecha factura],$H119))</f>
        <v/>
      </c>
      <c r="B119" t="str" cm="1">
        <f t="array" ref="B119">IF($H119="","",INDEX(tblFacturasRecibidas[Concepto],$H119))</f>
        <v/>
      </c>
      <c r="C119" t="str" cm="1">
        <f t="array" ref="C119">IF($H119="","",INDEX(tblFacturasRecibidas[Proveedor],$H119))</f>
        <v/>
      </c>
      <c r="D119" t="str" cm="1">
        <f t="array" ref="D119">IF($H119="","",INDEX(tblFacturasRecibidas[Categoría],$H119))</f>
        <v/>
      </c>
      <c r="E119" s="2" t="str" cm="1">
        <f t="array" ref="E119">IF($H119="","",INDEX(tblFacturasRecibidas[Base imponible (€)],$H119))</f>
        <v/>
      </c>
      <c r="F119" s="2" t="str" cm="1">
        <f t="array" ref="F119">IF($H119="","",IFERROR(INDEX(tblFacturasRecibidas[IVA (€)],$H119),0))</f>
        <v/>
      </c>
      <c r="G119" s="2" t="str" cm="1">
        <f t="array" ref="G119">IF($H119="","",IFERROR(INDEX(tblFacturasRecibidas[Total (€)],$H119),INDEX(tblFacturasRecibidas[Base imponible (€)],$H119)))</f>
        <v/>
      </c>
      <c r="H119" t="str" cm="1">
        <f t="array" ref="H1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GASTOS],tblCategorias[Tipo],"")="Inversión")),ROWS($H$5:H119)),"")</f>
        <v/>
      </c>
    </row>
    <row r="120" spans="1:8" x14ac:dyDescent="0.35">
      <c r="A120" s="1" t="str" cm="1">
        <f t="array" ref="A120">IF($H120="","",INDEX(tblFacturasRecibidas[Fecha factura],$H120))</f>
        <v/>
      </c>
      <c r="B120" t="str" cm="1">
        <f t="array" ref="B120">IF($H120="","",INDEX(tblFacturasRecibidas[Concepto],$H120))</f>
        <v/>
      </c>
      <c r="C120" t="str" cm="1">
        <f t="array" ref="C120">IF($H120="","",INDEX(tblFacturasRecibidas[Proveedor],$H120))</f>
        <v/>
      </c>
      <c r="D120" t="str" cm="1">
        <f t="array" ref="D120">IF($H120="","",INDEX(tblFacturasRecibidas[Categoría],$H120))</f>
        <v/>
      </c>
      <c r="E120" s="2" t="str" cm="1">
        <f t="array" ref="E120">IF($H120="","",INDEX(tblFacturasRecibidas[Base imponible (€)],$H120))</f>
        <v/>
      </c>
      <c r="F120" s="2" t="str" cm="1">
        <f t="array" ref="F120">IF($H120="","",IFERROR(INDEX(tblFacturasRecibidas[IVA (€)],$H120),0))</f>
        <v/>
      </c>
      <c r="G120" s="2" t="str" cm="1">
        <f t="array" ref="G120">IF($H120="","",IFERROR(INDEX(tblFacturasRecibidas[Total (€)],$H120),INDEX(tblFacturasRecibidas[Base imponible (€)],$H120)))</f>
        <v/>
      </c>
      <c r="H120" t="str" cm="1">
        <f t="array" ref="H1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GASTOS],tblCategorias[Tipo],"")="Inversión")),ROWS($H$5:H120)),"")</f>
        <v/>
      </c>
    </row>
    <row r="121" spans="1:8" x14ac:dyDescent="0.35">
      <c r="A121" s="1" t="str" cm="1">
        <f t="array" ref="A121">IF($H121="","",INDEX(tblFacturasRecibidas[Fecha factura],$H121))</f>
        <v/>
      </c>
      <c r="B121" t="str" cm="1">
        <f t="array" ref="B121">IF($H121="","",INDEX(tblFacturasRecibidas[Concepto],$H121))</f>
        <v/>
      </c>
      <c r="C121" t="str" cm="1">
        <f t="array" ref="C121">IF($H121="","",INDEX(tblFacturasRecibidas[Proveedor],$H121))</f>
        <v/>
      </c>
      <c r="D121" t="str" cm="1">
        <f t="array" ref="D121">IF($H121="","",INDEX(tblFacturasRecibidas[Categoría],$H121))</f>
        <v/>
      </c>
      <c r="E121" s="2" t="str" cm="1">
        <f t="array" ref="E121">IF($H121="","",INDEX(tblFacturasRecibidas[Base imponible (€)],$H121))</f>
        <v/>
      </c>
      <c r="F121" s="2" t="str" cm="1">
        <f t="array" ref="F121">IF($H121="","",IFERROR(INDEX(tblFacturasRecibidas[IVA (€)],$H121),0))</f>
        <v/>
      </c>
      <c r="G121" s="2" t="str" cm="1">
        <f t="array" ref="G121">IF($H121="","",IFERROR(INDEX(tblFacturasRecibidas[Total (€)],$H121),INDEX(tblFacturasRecibidas[Base imponible (€)],$H121)))</f>
        <v/>
      </c>
      <c r="H121" t="str" cm="1">
        <f t="array" ref="H1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GASTOS],tblCategorias[Tipo],"")="Inversión")),ROWS($H$5:H121)),"")</f>
        <v/>
      </c>
    </row>
    <row r="122" spans="1:8" x14ac:dyDescent="0.35">
      <c r="A122" s="1" t="str" cm="1">
        <f t="array" ref="A122">IF($H122="","",INDEX(tblFacturasRecibidas[Fecha factura],$H122))</f>
        <v/>
      </c>
      <c r="B122" t="str" cm="1">
        <f t="array" ref="B122">IF($H122="","",INDEX(tblFacturasRecibidas[Concepto],$H122))</f>
        <v/>
      </c>
      <c r="C122" t="str" cm="1">
        <f t="array" ref="C122">IF($H122="","",INDEX(tblFacturasRecibidas[Proveedor],$H122))</f>
        <v/>
      </c>
      <c r="D122" t="str" cm="1">
        <f t="array" ref="D122">IF($H122="","",INDEX(tblFacturasRecibidas[Categoría],$H122))</f>
        <v/>
      </c>
      <c r="E122" s="2" t="str" cm="1">
        <f t="array" ref="E122">IF($H122="","",INDEX(tblFacturasRecibidas[Base imponible (€)],$H122))</f>
        <v/>
      </c>
      <c r="F122" s="2" t="str" cm="1">
        <f t="array" ref="F122">IF($H122="","",IFERROR(INDEX(tblFacturasRecibidas[IVA (€)],$H122),0))</f>
        <v/>
      </c>
      <c r="G122" s="2" t="str" cm="1">
        <f t="array" ref="G122">IF($H122="","",IFERROR(INDEX(tblFacturasRecibidas[Total (€)],$H122),INDEX(tblFacturasRecibidas[Base imponible (€)],$H122)))</f>
        <v/>
      </c>
      <c r="H122" t="str" cm="1">
        <f t="array" ref="H1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GASTOS],tblCategorias[Tipo],"")="Inversión")),ROWS($H$5:H122)),"")</f>
        <v/>
      </c>
    </row>
    <row r="123" spans="1:8" x14ac:dyDescent="0.35">
      <c r="A123" s="1" t="str" cm="1">
        <f t="array" ref="A123">IF($H123="","",INDEX(tblFacturasRecibidas[Fecha factura],$H123))</f>
        <v/>
      </c>
      <c r="B123" t="str" cm="1">
        <f t="array" ref="B123">IF($H123="","",INDEX(tblFacturasRecibidas[Concepto],$H123))</f>
        <v/>
      </c>
      <c r="C123" t="str" cm="1">
        <f t="array" ref="C123">IF($H123="","",INDEX(tblFacturasRecibidas[Proveedor],$H123))</f>
        <v/>
      </c>
      <c r="D123" t="str" cm="1">
        <f t="array" ref="D123">IF($H123="","",INDEX(tblFacturasRecibidas[Categoría],$H123))</f>
        <v/>
      </c>
      <c r="E123" s="2" t="str" cm="1">
        <f t="array" ref="E123">IF($H123="","",INDEX(tblFacturasRecibidas[Base imponible (€)],$H123))</f>
        <v/>
      </c>
      <c r="F123" s="2" t="str" cm="1">
        <f t="array" ref="F123">IF($H123="","",IFERROR(INDEX(tblFacturasRecibidas[IVA (€)],$H123),0))</f>
        <v/>
      </c>
      <c r="G123" s="2" t="str" cm="1">
        <f t="array" ref="G123">IF($H123="","",IFERROR(INDEX(tblFacturasRecibidas[Total (€)],$H123),INDEX(tblFacturasRecibidas[Base imponible (€)],$H123)))</f>
        <v/>
      </c>
      <c r="H123" t="str" cm="1">
        <f t="array" ref="H1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GASTOS],tblCategorias[Tipo],"")="Inversión")),ROWS($H$5:H123)),"")</f>
        <v/>
      </c>
    </row>
    <row r="124" spans="1:8" x14ac:dyDescent="0.35">
      <c r="A124" s="1" t="str" cm="1">
        <f t="array" ref="A124">IF($H124="","",INDEX(tblFacturasRecibidas[Fecha factura],$H124))</f>
        <v/>
      </c>
      <c r="B124" t="str" cm="1">
        <f t="array" ref="B124">IF($H124="","",INDEX(tblFacturasRecibidas[Concepto],$H124))</f>
        <v/>
      </c>
      <c r="C124" t="str" cm="1">
        <f t="array" ref="C124">IF($H124="","",INDEX(tblFacturasRecibidas[Proveedor],$H124))</f>
        <v/>
      </c>
      <c r="D124" t="str" cm="1">
        <f t="array" ref="D124">IF($H124="","",INDEX(tblFacturasRecibidas[Categoría],$H124))</f>
        <v/>
      </c>
      <c r="E124" s="2" t="str" cm="1">
        <f t="array" ref="E124">IF($H124="","",INDEX(tblFacturasRecibidas[Base imponible (€)],$H124))</f>
        <v/>
      </c>
      <c r="F124" s="2" t="str" cm="1">
        <f t="array" ref="F124">IF($H124="","",IFERROR(INDEX(tblFacturasRecibidas[IVA (€)],$H124),0))</f>
        <v/>
      </c>
      <c r="G124" s="2" t="str" cm="1">
        <f t="array" ref="G124">IF($H124="","",IFERROR(INDEX(tblFacturasRecibidas[Total (€)],$H124),INDEX(tblFacturasRecibidas[Base imponible (€)],$H124)))</f>
        <v/>
      </c>
      <c r="H124" t="str" cm="1">
        <f t="array" ref="H1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GASTOS],tblCategorias[Tipo],"")="Inversión")),ROWS($H$5:H124)),"")</f>
        <v/>
      </c>
    </row>
    <row r="125" spans="1:8" x14ac:dyDescent="0.35">
      <c r="A125" s="1" t="str" cm="1">
        <f t="array" ref="A125">IF($H125="","",INDEX(tblFacturasRecibidas[Fecha factura],$H125))</f>
        <v/>
      </c>
      <c r="B125" t="str" cm="1">
        <f t="array" ref="B125">IF($H125="","",INDEX(tblFacturasRecibidas[Concepto],$H125))</f>
        <v/>
      </c>
      <c r="C125" t="str" cm="1">
        <f t="array" ref="C125">IF($H125="","",INDEX(tblFacturasRecibidas[Proveedor],$H125))</f>
        <v/>
      </c>
      <c r="D125" t="str" cm="1">
        <f t="array" ref="D125">IF($H125="","",INDEX(tblFacturasRecibidas[Categoría],$H125))</f>
        <v/>
      </c>
      <c r="E125" s="2" t="str" cm="1">
        <f t="array" ref="E125">IF($H125="","",INDEX(tblFacturasRecibidas[Base imponible (€)],$H125))</f>
        <v/>
      </c>
      <c r="F125" s="2" t="str" cm="1">
        <f t="array" ref="F125">IF($H125="","",IFERROR(INDEX(tblFacturasRecibidas[IVA (€)],$H125),0))</f>
        <v/>
      </c>
      <c r="G125" s="2" t="str" cm="1">
        <f t="array" ref="G125">IF($H125="","",IFERROR(INDEX(tblFacturasRecibidas[Total (€)],$H125),INDEX(tblFacturasRecibidas[Base imponible (€)],$H125)))</f>
        <v/>
      </c>
      <c r="H125" t="str" cm="1">
        <f t="array" ref="H1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GASTOS],tblCategorias[Tipo],"")="Inversión")),ROWS($H$5:H125)),"")</f>
        <v/>
      </c>
    </row>
    <row r="126" spans="1:8" x14ac:dyDescent="0.35">
      <c r="A126" s="1" t="str" cm="1">
        <f t="array" ref="A126">IF($H126="","",INDEX(tblFacturasRecibidas[Fecha factura],$H126))</f>
        <v/>
      </c>
      <c r="B126" t="str" cm="1">
        <f t="array" ref="B126">IF($H126="","",INDEX(tblFacturasRecibidas[Concepto],$H126))</f>
        <v/>
      </c>
      <c r="C126" t="str" cm="1">
        <f t="array" ref="C126">IF($H126="","",INDEX(tblFacturasRecibidas[Proveedor],$H126))</f>
        <v/>
      </c>
      <c r="D126" t="str" cm="1">
        <f t="array" ref="D126">IF($H126="","",INDEX(tblFacturasRecibidas[Categoría],$H126))</f>
        <v/>
      </c>
      <c r="E126" s="2" t="str" cm="1">
        <f t="array" ref="E126">IF($H126="","",INDEX(tblFacturasRecibidas[Base imponible (€)],$H126))</f>
        <v/>
      </c>
      <c r="F126" s="2" t="str" cm="1">
        <f t="array" ref="F126">IF($H126="","",IFERROR(INDEX(tblFacturasRecibidas[IVA (€)],$H126),0))</f>
        <v/>
      </c>
      <c r="G126" s="2" t="str" cm="1">
        <f t="array" ref="G126">IF($H126="","",IFERROR(INDEX(tblFacturasRecibidas[Total (€)],$H126),INDEX(tblFacturasRecibidas[Base imponible (€)],$H126)))</f>
        <v/>
      </c>
      <c r="H126" t="str" cm="1">
        <f t="array" ref="H1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GASTOS],tblCategorias[Tipo],"")="Inversión")),ROWS($H$5:H126)),"")</f>
        <v/>
      </c>
    </row>
    <row r="127" spans="1:8" x14ac:dyDescent="0.35">
      <c r="A127" s="1" t="str" cm="1">
        <f t="array" ref="A127">IF($H127="","",INDEX(tblFacturasRecibidas[Fecha factura],$H127))</f>
        <v/>
      </c>
      <c r="B127" t="str" cm="1">
        <f t="array" ref="B127">IF($H127="","",INDEX(tblFacturasRecibidas[Concepto],$H127))</f>
        <v/>
      </c>
      <c r="C127" t="str" cm="1">
        <f t="array" ref="C127">IF($H127="","",INDEX(tblFacturasRecibidas[Proveedor],$H127))</f>
        <v/>
      </c>
      <c r="D127" t="str" cm="1">
        <f t="array" ref="D127">IF($H127="","",INDEX(tblFacturasRecibidas[Categoría],$H127))</f>
        <v/>
      </c>
      <c r="E127" s="2" t="str" cm="1">
        <f t="array" ref="E127">IF($H127="","",INDEX(tblFacturasRecibidas[Base imponible (€)],$H127))</f>
        <v/>
      </c>
      <c r="F127" s="2" t="str" cm="1">
        <f t="array" ref="F127">IF($H127="","",IFERROR(INDEX(tblFacturasRecibidas[IVA (€)],$H127),0))</f>
        <v/>
      </c>
      <c r="G127" s="2" t="str" cm="1">
        <f t="array" ref="G127">IF($H127="","",IFERROR(INDEX(tblFacturasRecibidas[Total (€)],$H127),INDEX(tblFacturasRecibidas[Base imponible (€)],$H127)))</f>
        <v/>
      </c>
      <c r="H127" t="str" cm="1">
        <f t="array" ref="H1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GASTOS],tblCategorias[Tipo],"")="Inversión")),ROWS($H$5:H127)),"")</f>
        <v/>
      </c>
    </row>
    <row r="128" spans="1:8" x14ac:dyDescent="0.35">
      <c r="A128" s="1" t="str" cm="1">
        <f t="array" ref="A128">IF($H128="","",INDEX(tblFacturasRecibidas[Fecha factura],$H128))</f>
        <v/>
      </c>
      <c r="B128" t="str" cm="1">
        <f t="array" ref="B128">IF($H128="","",INDEX(tblFacturasRecibidas[Concepto],$H128))</f>
        <v/>
      </c>
      <c r="C128" t="str" cm="1">
        <f t="array" ref="C128">IF($H128="","",INDEX(tblFacturasRecibidas[Proveedor],$H128))</f>
        <v/>
      </c>
      <c r="D128" t="str" cm="1">
        <f t="array" ref="D128">IF($H128="","",INDEX(tblFacturasRecibidas[Categoría],$H128))</f>
        <v/>
      </c>
      <c r="E128" s="2" t="str" cm="1">
        <f t="array" ref="E128">IF($H128="","",INDEX(tblFacturasRecibidas[Base imponible (€)],$H128))</f>
        <v/>
      </c>
      <c r="F128" s="2" t="str" cm="1">
        <f t="array" ref="F128">IF($H128="","",IFERROR(INDEX(tblFacturasRecibidas[IVA (€)],$H128),0))</f>
        <v/>
      </c>
      <c r="G128" s="2" t="str" cm="1">
        <f t="array" ref="G128">IF($H128="","",IFERROR(INDEX(tblFacturasRecibidas[Total (€)],$H128),INDEX(tblFacturasRecibidas[Base imponible (€)],$H128)))</f>
        <v/>
      </c>
      <c r="H128" t="str" cm="1">
        <f t="array" ref="H1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GASTOS],tblCategorias[Tipo],"")="Inversión")),ROWS($H$5:H128)),"")</f>
        <v/>
      </c>
    </row>
    <row r="129" spans="1:8" x14ac:dyDescent="0.35">
      <c r="A129" s="1" t="str" cm="1">
        <f t="array" ref="A129">IF($H129="","",INDEX(tblFacturasRecibidas[Fecha factura],$H129))</f>
        <v/>
      </c>
      <c r="B129" t="str" cm="1">
        <f t="array" ref="B129">IF($H129="","",INDEX(tblFacturasRecibidas[Concepto],$H129))</f>
        <v/>
      </c>
      <c r="C129" t="str" cm="1">
        <f t="array" ref="C129">IF($H129="","",INDEX(tblFacturasRecibidas[Proveedor],$H129))</f>
        <v/>
      </c>
      <c r="D129" t="str" cm="1">
        <f t="array" ref="D129">IF($H129="","",INDEX(tblFacturasRecibidas[Categoría],$H129))</f>
        <v/>
      </c>
      <c r="E129" s="2" t="str" cm="1">
        <f t="array" ref="E129">IF($H129="","",INDEX(tblFacturasRecibidas[Base imponible (€)],$H129))</f>
        <v/>
      </c>
      <c r="F129" s="2" t="str" cm="1">
        <f t="array" ref="F129">IF($H129="","",IFERROR(INDEX(tblFacturasRecibidas[IVA (€)],$H129),0))</f>
        <v/>
      </c>
      <c r="G129" s="2" t="str" cm="1">
        <f t="array" ref="G129">IF($H129="","",IFERROR(INDEX(tblFacturasRecibidas[Total (€)],$H129),INDEX(tblFacturasRecibidas[Base imponible (€)],$H129)))</f>
        <v/>
      </c>
      <c r="H129" t="str" cm="1">
        <f t="array" ref="H1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GASTOS],tblCategorias[Tipo],"")="Inversión")),ROWS($H$5:H129)),"")</f>
        <v/>
      </c>
    </row>
    <row r="130" spans="1:8" x14ac:dyDescent="0.35">
      <c r="A130" s="1" t="str" cm="1">
        <f t="array" ref="A130">IF($H130="","",INDEX(tblFacturasRecibidas[Fecha factura],$H130))</f>
        <v/>
      </c>
      <c r="B130" t="str" cm="1">
        <f t="array" ref="B130">IF($H130="","",INDEX(tblFacturasRecibidas[Concepto],$H130))</f>
        <v/>
      </c>
      <c r="C130" t="str" cm="1">
        <f t="array" ref="C130">IF($H130="","",INDEX(tblFacturasRecibidas[Proveedor],$H130))</f>
        <v/>
      </c>
      <c r="D130" t="str" cm="1">
        <f t="array" ref="D130">IF($H130="","",INDEX(tblFacturasRecibidas[Categoría],$H130))</f>
        <v/>
      </c>
      <c r="E130" s="2" t="str" cm="1">
        <f t="array" ref="E130">IF($H130="","",INDEX(tblFacturasRecibidas[Base imponible (€)],$H130))</f>
        <v/>
      </c>
      <c r="F130" s="2" t="str" cm="1">
        <f t="array" ref="F130">IF($H130="","",IFERROR(INDEX(tblFacturasRecibidas[IVA (€)],$H130),0))</f>
        <v/>
      </c>
      <c r="G130" s="2" t="str" cm="1">
        <f t="array" ref="G130">IF($H130="","",IFERROR(INDEX(tblFacturasRecibidas[Total (€)],$H130),INDEX(tblFacturasRecibidas[Base imponible (€)],$H130)))</f>
        <v/>
      </c>
      <c r="H130" t="str" cm="1">
        <f t="array" ref="H1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GASTOS],tblCategorias[Tipo],"")="Inversión")),ROWS($H$5:H130)),"")</f>
        <v/>
      </c>
    </row>
    <row r="131" spans="1:8" x14ac:dyDescent="0.35">
      <c r="A131" s="1" t="str" cm="1">
        <f t="array" ref="A131">IF($H131="","",INDEX(tblFacturasRecibidas[Fecha factura],$H131))</f>
        <v/>
      </c>
      <c r="B131" t="str" cm="1">
        <f t="array" ref="B131">IF($H131="","",INDEX(tblFacturasRecibidas[Concepto],$H131))</f>
        <v/>
      </c>
      <c r="C131" t="str" cm="1">
        <f t="array" ref="C131">IF($H131="","",INDEX(tblFacturasRecibidas[Proveedor],$H131))</f>
        <v/>
      </c>
      <c r="D131" t="str" cm="1">
        <f t="array" ref="D131">IF($H131="","",INDEX(tblFacturasRecibidas[Categoría],$H131))</f>
        <v/>
      </c>
      <c r="E131" s="2" t="str" cm="1">
        <f t="array" ref="E131">IF($H131="","",INDEX(tblFacturasRecibidas[Base imponible (€)],$H131))</f>
        <v/>
      </c>
      <c r="F131" s="2" t="str" cm="1">
        <f t="array" ref="F131">IF($H131="","",IFERROR(INDEX(tblFacturasRecibidas[IVA (€)],$H131),0))</f>
        <v/>
      </c>
      <c r="G131" s="2" t="str" cm="1">
        <f t="array" ref="G131">IF($H131="","",IFERROR(INDEX(tblFacturasRecibidas[Total (€)],$H131),INDEX(tblFacturasRecibidas[Base imponible (€)],$H131)))</f>
        <v/>
      </c>
      <c r="H131" t="str" cm="1">
        <f t="array" ref="H1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GASTOS],tblCategorias[Tipo],"")="Inversión")),ROWS($H$5:H131)),"")</f>
        <v/>
      </c>
    </row>
    <row r="132" spans="1:8" x14ac:dyDescent="0.35">
      <c r="A132" s="1" t="str" cm="1">
        <f t="array" ref="A132">IF($H132="","",INDEX(tblFacturasRecibidas[Fecha factura],$H132))</f>
        <v/>
      </c>
      <c r="B132" t="str" cm="1">
        <f t="array" ref="B132">IF($H132="","",INDEX(tblFacturasRecibidas[Concepto],$H132))</f>
        <v/>
      </c>
      <c r="C132" t="str" cm="1">
        <f t="array" ref="C132">IF($H132="","",INDEX(tblFacturasRecibidas[Proveedor],$H132))</f>
        <v/>
      </c>
      <c r="D132" t="str" cm="1">
        <f t="array" ref="D132">IF($H132="","",INDEX(tblFacturasRecibidas[Categoría],$H132))</f>
        <v/>
      </c>
      <c r="E132" s="2" t="str" cm="1">
        <f t="array" ref="E132">IF($H132="","",INDEX(tblFacturasRecibidas[Base imponible (€)],$H132))</f>
        <v/>
      </c>
      <c r="F132" s="2" t="str" cm="1">
        <f t="array" ref="F132">IF($H132="","",IFERROR(INDEX(tblFacturasRecibidas[IVA (€)],$H132),0))</f>
        <v/>
      </c>
      <c r="G132" s="2" t="str" cm="1">
        <f t="array" ref="G132">IF($H132="","",IFERROR(INDEX(tblFacturasRecibidas[Total (€)],$H132),INDEX(tblFacturasRecibidas[Base imponible (€)],$H132)))</f>
        <v/>
      </c>
      <c r="H132" t="str" cm="1">
        <f t="array" ref="H1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GASTOS],tblCategorias[Tipo],"")="Inversión")),ROWS($H$5:H132)),"")</f>
        <v/>
      </c>
    </row>
    <row r="133" spans="1:8" x14ac:dyDescent="0.35">
      <c r="A133" s="1" t="str" cm="1">
        <f t="array" ref="A133">IF($H133="","",INDEX(tblFacturasRecibidas[Fecha factura],$H133))</f>
        <v/>
      </c>
      <c r="B133" t="str" cm="1">
        <f t="array" ref="B133">IF($H133="","",INDEX(tblFacturasRecibidas[Concepto],$H133))</f>
        <v/>
      </c>
      <c r="C133" t="str" cm="1">
        <f t="array" ref="C133">IF($H133="","",INDEX(tblFacturasRecibidas[Proveedor],$H133))</f>
        <v/>
      </c>
      <c r="D133" t="str" cm="1">
        <f t="array" ref="D133">IF($H133="","",INDEX(tblFacturasRecibidas[Categoría],$H133))</f>
        <v/>
      </c>
      <c r="E133" s="2" t="str" cm="1">
        <f t="array" ref="E133">IF($H133="","",INDEX(tblFacturasRecibidas[Base imponible (€)],$H133))</f>
        <v/>
      </c>
      <c r="F133" s="2" t="str" cm="1">
        <f t="array" ref="F133">IF($H133="","",IFERROR(INDEX(tblFacturasRecibidas[IVA (€)],$H133),0))</f>
        <v/>
      </c>
      <c r="G133" s="2" t="str" cm="1">
        <f t="array" ref="G133">IF($H133="","",IFERROR(INDEX(tblFacturasRecibidas[Total (€)],$H133),INDEX(tblFacturasRecibidas[Base imponible (€)],$H133)))</f>
        <v/>
      </c>
      <c r="H133" t="str" cm="1">
        <f t="array" ref="H1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GASTOS],tblCategorias[Tipo],"")="Inversión")),ROWS($H$5:H133)),"")</f>
        <v/>
      </c>
    </row>
    <row r="134" spans="1:8" x14ac:dyDescent="0.35">
      <c r="A134" s="1" t="str" cm="1">
        <f t="array" ref="A134">IF($H134="","",INDEX(tblFacturasRecibidas[Fecha factura],$H134))</f>
        <v/>
      </c>
      <c r="B134" t="str" cm="1">
        <f t="array" ref="B134">IF($H134="","",INDEX(tblFacturasRecibidas[Concepto],$H134))</f>
        <v/>
      </c>
      <c r="C134" t="str" cm="1">
        <f t="array" ref="C134">IF($H134="","",INDEX(tblFacturasRecibidas[Proveedor],$H134))</f>
        <v/>
      </c>
      <c r="D134" t="str" cm="1">
        <f t="array" ref="D134">IF($H134="","",INDEX(tblFacturasRecibidas[Categoría],$H134))</f>
        <v/>
      </c>
      <c r="E134" s="2" t="str" cm="1">
        <f t="array" ref="E134">IF($H134="","",INDEX(tblFacturasRecibidas[Base imponible (€)],$H134))</f>
        <v/>
      </c>
      <c r="F134" s="2" t="str" cm="1">
        <f t="array" ref="F134">IF($H134="","",IFERROR(INDEX(tblFacturasRecibidas[IVA (€)],$H134),0))</f>
        <v/>
      </c>
      <c r="G134" s="2" t="str" cm="1">
        <f t="array" ref="G134">IF($H134="","",IFERROR(INDEX(tblFacturasRecibidas[Total (€)],$H134),INDEX(tblFacturasRecibidas[Base imponible (€)],$H134)))</f>
        <v/>
      </c>
      <c r="H134" t="str" cm="1">
        <f t="array" ref="H1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GASTOS],tblCategorias[Tipo],"")="Inversión")),ROWS($H$5:H134)),"")</f>
        <v/>
      </c>
    </row>
    <row r="135" spans="1:8" x14ac:dyDescent="0.35">
      <c r="A135" s="1" t="str" cm="1">
        <f t="array" ref="A135">IF($H135="","",INDEX(tblFacturasRecibidas[Fecha factura],$H135))</f>
        <v/>
      </c>
      <c r="B135" t="str" cm="1">
        <f t="array" ref="B135">IF($H135="","",INDEX(tblFacturasRecibidas[Concepto],$H135))</f>
        <v/>
      </c>
      <c r="C135" t="str" cm="1">
        <f t="array" ref="C135">IF($H135="","",INDEX(tblFacturasRecibidas[Proveedor],$H135))</f>
        <v/>
      </c>
      <c r="D135" t="str" cm="1">
        <f t="array" ref="D135">IF($H135="","",INDEX(tblFacturasRecibidas[Categoría],$H135))</f>
        <v/>
      </c>
      <c r="E135" s="2" t="str" cm="1">
        <f t="array" ref="E135">IF($H135="","",INDEX(tblFacturasRecibidas[Base imponible (€)],$H135))</f>
        <v/>
      </c>
      <c r="F135" s="2" t="str" cm="1">
        <f t="array" ref="F135">IF($H135="","",IFERROR(INDEX(tblFacturasRecibidas[IVA (€)],$H135),0))</f>
        <v/>
      </c>
      <c r="G135" s="2" t="str" cm="1">
        <f t="array" ref="G135">IF($H135="","",IFERROR(INDEX(tblFacturasRecibidas[Total (€)],$H135),INDEX(tblFacturasRecibidas[Base imponible (€)],$H135)))</f>
        <v/>
      </c>
      <c r="H135" t="str" cm="1">
        <f t="array" ref="H1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GASTOS],tblCategorias[Tipo],"")="Inversión")),ROWS($H$5:H135)),"")</f>
        <v/>
      </c>
    </row>
    <row r="136" spans="1:8" x14ac:dyDescent="0.35">
      <c r="A136" s="1" t="str" cm="1">
        <f t="array" ref="A136">IF($H136="","",INDEX(tblFacturasRecibidas[Fecha factura],$H136))</f>
        <v/>
      </c>
      <c r="B136" t="str" cm="1">
        <f t="array" ref="B136">IF($H136="","",INDEX(tblFacturasRecibidas[Concepto],$H136))</f>
        <v/>
      </c>
      <c r="C136" t="str" cm="1">
        <f t="array" ref="C136">IF($H136="","",INDEX(tblFacturasRecibidas[Proveedor],$H136))</f>
        <v/>
      </c>
      <c r="D136" t="str" cm="1">
        <f t="array" ref="D136">IF($H136="","",INDEX(tblFacturasRecibidas[Categoría],$H136))</f>
        <v/>
      </c>
      <c r="E136" s="2" t="str" cm="1">
        <f t="array" ref="E136">IF($H136="","",INDEX(tblFacturasRecibidas[Base imponible (€)],$H136))</f>
        <v/>
      </c>
      <c r="F136" s="2" t="str" cm="1">
        <f t="array" ref="F136">IF($H136="","",IFERROR(INDEX(tblFacturasRecibidas[IVA (€)],$H136),0))</f>
        <v/>
      </c>
      <c r="G136" s="2" t="str" cm="1">
        <f t="array" ref="G136">IF($H136="","",IFERROR(INDEX(tblFacturasRecibidas[Total (€)],$H136),INDEX(tblFacturasRecibidas[Base imponible (€)],$H136)))</f>
        <v/>
      </c>
      <c r="H136" t="str" cm="1">
        <f t="array" ref="H1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GASTOS],tblCategorias[Tipo],"")="Inversión")),ROWS($H$5:H136)),"")</f>
        <v/>
      </c>
    </row>
    <row r="137" spans="1:8" x14ac:dyDescent="0.35">
      <c r="A137" s="1" t="str" cm="1">
        <f t="array" ref="A137">IF($H137="","",INDEX(tblFacturasRecibidas[Fecha factura],$H137))</f>
        <v/>
      </c>
      <c r="B137" t="str" cm="1">
        <f t="array" ref="B137">IF($H137="","",INDEX(tblFacturasRecibidas[Concepto],$H137))</f>
        <v/>
      </c>
      <c r="C137" t="str" cm="1">
        <f t="array" ref="C137">IF($H137="","",INDEX(tblFacturasRecibidas[Proveedor],$H137))</f>
        <v/>
      </c>
      <c r="D137" t="str" cm="1">
        <f t="array" ref="D137">IF($H137="","",INDEX(tblFacturasRecibidas[Categoría],$H137))</f>
        <v/>
      </c>
      <c r="E137" s="2" t="str" cm="1">
        <f t="array" ref="E137">IF($H137="","",INDEX(tblFacturasRecibidas[Base imponible (€)],$H137))</f>
        <v/>
      </c>
      <c r="F137" s="2" t="str" cm="1">
        <f t="array" ref="F137">IF($H137="","",IFERROR(INDEX(tblFacturasRecibidas[IVA (€)],$H137),0))</f>
        <v/>
      </c>
      <c r="G137" s="2" t="str" cm="1">
        <f t="array" ref="G137">IF($H137="","",IFERROR(INDEX(tblFacturasRecibidas[Total (€)],$H137),INDEX(tblFacturasRecibidas[Base imponible (€)],$H137)))</f>
        <v/>
      </c>
      <c r="H137" t="str" cm="1">
        <f t="array" ref="H1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GASTOS],tblCategorias[Tipo],"")="Inversión")),ROWS($H$5:H137)),"")</f>
        <v/>
      </c>
    </row>
    <row r="138" spans="1:8" x14ac:dyDescent="0.35">
      <c r="A138" s="1" t="str" cm="1">
        <f t="array" ref="A138">IF($H138="","",INDEX(tblFacturasRecibidas[Fecha factura],$H138))</f>
        <v/>
      </c>
      <c r="B138" t="str" cm="1">
        <f t="array" ref="B138">IF($H138="","",INDEX(tblFacturasRecibidas[Concepto],$H138))</f>
        <v/>
      </c>
      <c r="C138" t="str" cm="1">
        <f t="array" ref="C138">IF($H138="","",INDEX(tblFacturasRecibidas[Proveedor],$H138))</f>
        <v/>
      </c>
      <c r="D138" t="str" cm="1">
        <f t="array" ref="D138">IF($H138="","",INDEX(tblFacturasRecibidas[Categoría],$H138))</f>
        <v/>
      </c>
      <c r="E138" s="2" t="str" cm="1">
        <f t="array" ref="E138">IF($H138="","",INDEX(tblFacturasRecibidas[Base imponible (€)],$H138))</f>
        <v/>
      </c>
      <c r="F138" s="2" t="str" cm="1">
        <f t="array" ref="F138">IF($H138="","",IFERROR(INDEX(tblFacturasRecibidas[IVA (€)],$H138),0))</f>
        <v/>
      </c>
      <c r="G138" s="2" t="str" cm="1">
        <f t="array" ref="G138">IF($H138="","",IFERROR(INDEX(tblFacturasRecibidas[Total (€)],$H138),INDEX(tblFacturasRecibidas[Base imponible (€)],$H138)))</f>
        <v/>
      </c>
      <c r="H138" t="str" cm="1">
        <f t="array" ref="H1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GASTOS],tblCategorias[Tipo],"")="Inversión")),ROWS($H$5:H138)),"")</f>
        <v/>
      </c>
    </row>
    <row r="139" spans="1:8" x14ac:dyDescent="0.35">
      <c r="A139" s="1" t="str" cm="1">
        <f t="array" ref="A139">IF($H139="","",INDEX(tblFacturasRecibidas[Fecha factura],$H139))</f>
        <v/>
      </c>
      <c r="B139" t="str" cm="1">
        <f t="array" ref="B139">IF($H139="","",INDEX(tblFacturasRecibidas[Concepto],$H139))</f>
        <v/>
      </c>
      <c r="C139" t="str" cm="1">
        <f t="array" ref="C139">IF($H139="","",INDEX(tblFacturasRecibidas[Proveedor],$H139))</f>
        <v/>
      </c>
      <c r="D139" t="str" cm="1">
        <f t="array" ref="D139">IF($H139="","",INDEX(tblFacturasRecibidas[Categoría],$H139))</f>
        <v/>
      </c>
      <c r="E139" s="2" t="str" cm="1">
        <f t="array" ref="E139">IF($H139="","",INDEX(tblFacturasRecibidas[Base imponible (€)],$H139))</f>
        <v/>
      </c>
      <c r="F139" s="2" t="str" cm="1">
        <f t="array" ref="F139">IF($H139="","",IFERROR(INDEX(tblFacturasRecibidas[IVA (€)],$H139),0))</f>
        <v/>
      </c>
      <c r="G139" s="2" t="str" cm="1">
        <f t="array" ref="G139">IF($H139="","",IFERROR(INDEX(tblFacturasRecibidas[Total (€)],$H139),INDEX(tblFacturasRecibidas[Base imponible (€)],$H139)))</f>
        <v/>
      </c>
      <c r="H139" t="str" cm="1">
        <f t="array" ref="H1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GASTOS],tblCategorias[Tipo],"")="Inversión")),ROWS($H$5:H139)),"")</f>
        <v/>
      </c>
    </row>
    <row r="140" spans="1:8" x14ac:dyDescent="0.35">
      <c r="A140" s="1" t="str" cm="1">
        <f t="array" ref="A140">IF($H140="","",INDEX(tblFacturasRecibidas[Fecha factura],$H140))</f>
        <v/>
      </c>
      <c r="B140" t="str" cm="1">
        <f t="array" ref="B140">IF($H140="","",INDEX(tblFacturasRecibidas[Concepto],$H140))</f>
        <v/>
      </c>
      <c r="C140" t="str" cm="1">
        <f t="array" ref="C140">IF($H140="","",INDEX(tblFacturasRecibidas[Proveedor],$H140))</f>
        <v/>
      </c>
      <c r="D140" t="str" cm="1">
        <f t="array" ref="D140">IF($H140="","",INDEX(tblFacturasRecibidas[Categoría],$H140))</f>
        <v/>
      </c>
      <c r="E140" s="2" t="str" cm="1">
        <f t="array" ref="E140">IF($H140="","",INDEX(tblFacturasRecibidas[Base imponible (€)],$H140))</f>
        <v/>
      </c>
      <c r="F140" s="2" t="str" cm="1">
        <f t="array" ref="F140">IF($H140="","",IFERROR(INDEX(tblFacturasRecibidas[IVA (€)],$H140),0))</f>
        <v/>
      </c>
      <c r="G140" s="2" t="str" cm="1">
        <f t="array" ref="G140">IF($H140="","",IFERROR(INDEX(tblFacturasRecibidas[Total (€)],$H140),INDEX(tblFacturasRecibidas[Base imponible (€)],$H140)))</f>
        <v/>
      </c>
      <c r="H140" t="str" cm="1">
        <f t="array" ref="H1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GASTOS],tblCategorias[Tipo],"")="Inversión")),ROWS($H$5:H140)),"")</f>
        <v/>
      </c>
    </row>
    <row r="141" spans="1:8" x14ac:dyDescent="0.35">
      <c r="A141" s="1" t="str" cm="1">
        <f t="array" ref="A141">IF($H141="","",INDEX(tblFacturasRecibidas[Fecha factura],$H141))</f>
        <v/>
      </c>
      <c r="B141" t="str" cm="1">
        <f t="array" ref="B141">IF($H141="","",INDEX(tblFacturasRecibidas[Concepto],$H141))</f>
        <v/>
      </c>
      <c r="C141" t="str" cm="1">
        <f t="array" ref="C141">IF($H141="","",INDEX(tblFacturasRecibidas[Proveedor],$H141))</f>
        <v/>
      </c>
      <c r="D141" t="str" cm="1">
        <f t="array" ref="D141">IF($H141="","",INDEX(tblFacturasRecibidas[Categoría],$H141))</f>
        <v/>
      </c>
      <c r="E141" s="2" t="str" cm="1">
        <f t="array" ref="E141">IF($H141="","",INDEX(tblFacturasRecibidas[Base imponible (€)],$H141))</f>
        <v/>
      </c>
      <c r="F141" s="2" t="str" cm="1">
        <f t="array" ref="F141">IF($H141="","",IFERROR(INDEX(tblFacturasRecibidas[IVA (€)],$H141),0))</f>
        <v/>
      </c>
      <c r="G141" s="2" t="str" cm="1">
        <f t="array" ref="G141">IF($H141="","",IFERROR(INDEX(tblFacturasRecibidas[Total (€)],$H141),INDEX(tblFacturasRecibidas[Base imponible (€)],$H141)))</f>
        <v/>
      </c>
      <c r="H141" t="str" cm="1">
        <f t="array" ref="H1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GASTOS],tblCategorias[Tipo],"")="Inversión")),ROWS($H$5:H141)),"")</f>
        <v/>
      </c>
    </row>
    <row r="142" spans="1:8" x14ac:dyDescent="0.35">
      <c r="A142" s="1" t="str" cm="1">
        <f t="array" ref="A142">IF($H142="","",INDEX(tblFacturasRecibidas[Fecha factura],$H142))</f>
        <v/>
      </c>
      <c r="B142" t="str" cm="1">
        <f t="array" ref="B142">IF($H142="","",INDEX(tblFacturasRecibidas[Concepto],$H142))</f>
        <v/>
      </c>
      <c r="C142" t="str" cm="1">
        <f t="array" ref="C142">IF($H142="","",INDEX(tblFacturasRecibidas[Proveedor],$H142))</f>
        <v/>
      </c>
      <c r="D142" t="str" cm="1">
        <f t="array" ref="D142">IF($H142="","",INDEX(tblFacturasRecibidas[Categoría],$H142))</f>
        <v/>
      </c>
      <c r="E142" s="2" t="str" cm="1">
        <f t="array" ref="E142">IF($H142="","",INDEX(tblFacturasRecibidas[Base imponible (€)],$H142))</f>
        <v/>
      </c>
      <c r="F142" s="2" t="str" cm="1">
        <f t="array" ref="F142">IF($H142="","",IFERROR(INDEX(tblFacturasRecibidas[IVA (€)],$H142),0))</f>
        <v/>
      </c>
      <c r="G142" s="2" t="str" cm="1">
        <f t="array" ref="G142">IF($H142="","",IFERROR(INDEX(tblFacturasRecibidas[Total (€)],$H142),INDEX(tblFacturasRecibidas[Base imponible (€)],$H142)))</f>
        <v/>
      </c>
      <c r="H142" t="str" cm="1">
        <f t="array" ref="H1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GASTOS],tblCategorias[Tipo],"")="Inversión")),ROWS($H$5:H142)),"")</f>
        <v/>
      </c>
    </row>
    <row r="143" spans="1:8" x14ac:dyDescent="0.35">
      <c r="A143" s="1" t="str" cm="1">
        <f t="array" ref="A143">IF($H143="","",INDEX(tblFacturasRecibidas[Fecha factura],$H143))</f>
        <v/>
      </c>
      <c r="B143" t="str" cm="1">
        <f t="array" ref="B143">IF($H143="","",INDEX(tblFacturasRecibidas[Concepto],$H143))</f>
        <v/>
      </c>
      <c r="C143" t="str" cm="1">
        <f t="array" ref="C143">IF($H143="","",INDEX(tblFacturasRecibidas[Proveedor],$H143))</f>
        <v/>
      </c>
      <c r="D143" t="str" cm="1">
        <f t="array" ref="D143">IF($H143="","",INDEX(tblFacturasRecibidas[Categoría],$H143))</f>
        <v/>
      </c>
      <c r="E143" s="2" t="str" cm="1">
        <f t="array" ref="E143">IF($H143="","",INDEX(tblFacturasRecibidas[Base imponible (€)],$H143))</f>
        <v/>
      </c>
      <c r="F143" s="2" t="str" cm="1">
        <f t="array" ref="F143">IF($H143="","",IFERROR(INDEX(tblFacturasRecibidas[IVA (€)],$H143),0))</f>
        <v/>
      </c>
      <c r="G143" s="2" t="str" cm="1">
        <f t="array" ref="G143">IF($H143="","",IFERROR(INDEX(tblFacturasRecibidas[Total (€)],$H143),INDEX(tblFacturasRecibidas[Base imponible (€)],$H143)))</f>
        <v/>
      </c>
      <c r="H143" t="str" cm="1">
        <f t="array" ref="H1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GASTOS],tblCategorias[Tipo],"")="Inversión")),ROWS($H$5:H143)),"")</f>
        <v/>
      </c>
    </row>
    <row r="144" spans="1:8" x14ac:dyDescent="0.35">
      <c r="A144" s="1" t="str" cm="1">
        <f t="array" ref="A144">IF($H144="","",INDEX(tblFacturasRecibidas[Fecha factura],$H144))</f>
        <v/>
      </c>
      <c r="B144" t="str" cm="1">
        <f t="array" ref="B144">IF($H144="","",INDEX(tblFacturasRecibidas[Concepto],$H144))</f>
        <v/>
      </c>
      <c r="C144" t="str" cm="1">
        <f t="array" ref="C144">IF($H144="","",INDEX(tblFacturasRecibidas[Proveedor],$H144))</f>
        <v/>
      </c>
      <c r="D144" t="str" cm="1">
        <f t="array" ref="D144">IF($H144="","",INDEX(tblFacturasRecibidas[Categoría],$H144))</f>
        <v/>
      </c>
      <c r="E144" s="2" t="str" cm="1">
        <f t="array" ref="E144">IF($H144="","",INDEX(tblFacturasRecibidas[Base imponible (€)],$H144))</f>
        <v/>
      </c>
      <c r="F144" s="2" t="str" cm="1">
        <f t="array" ref="F144">IF($H144="","",IFERROR(INDEX(tblFacturasRecibidas[IVA (€)],$H144),0))</f>
        <v/>
      </c>
      <c r="G144" s="2" t="str" cm="1">
        <f t="array" ref="G144">IF($H144="","",IFERROR(INDEX(tblFacturasRecibidas[Total (€)],$H144),INDEX(tblFacturasRecibidas[Base imponible (€)],$H144)))</f>
        <v/>
      </c>
      <c r="H144" t="str" cm="1">
        <f t="array" ref="H1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GASTOS],tblCategorias[Tipo],"")="Inversión")),ROWS($H$5:H144)),"")</f>
        <v/>
      </c>
    </row>
    <row r="145" spans="1:8" x14ac:dyDescent="0.35">
      <c r="A145" s="1" t="str" cm="1">
        <f t="array" ref="A145">IF($H145="","",INDEX(tblFacturasRecibidas[Fecha factura],$H145))</f>
        <v/>
      </c>
      <c r="B145" t="str" cm="1">
        <f t="array" ref="B145">IF($H145="","",INDEX(tblFacturasRecibidas[Concepto],$H145))</f>
        <v/>
      </c>
      <c r="C145" t="str" cm="1">
        <f t="array" ref="C145">IF($H145="","",INDEX(tblFacturasRecibidas[Proveedor],$H145))</f>
        <v/>
      </c>
      <c r="D145" t="str" cm="1">
        <f t="array" ref="D145">IF($H145="","",INDEX(tblFacturasRecibidas[Categoría],$H145))</f>
        <v/>
      </c>
      <c r="E145" s="2" t="str" cm="1">
        <f t="array" ref="E145">IF($H145="","",INDEX(tblFacturasRecibidas[Base imponible (€)],$H145))</f>
        <v/>
      </c>
      <c r="F145" s="2" t="str" cm="1">
        <f t="array" ref="F145">IF($H145="","",IFERROR(INDEX(tblFacturasRecibidas[IVA (€)],$H145),0))</f>
        <v/>
      </c>
      <c r="G145" s="2" t="str" cm="1">
        <f t="array" ref="G145">IF($H145="","",IFERROR(INDEX(tblFacturasRecibidas[Total (€)],$H145),INDEX(tblFacturasRecibidas[Base imponible (€)],$H145)))</f>
        <v/>
      </c>
      <c r="H145" t="str" cm="1">
        <f t="array" ref="H1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GASTOS],tblCategorias[Tipo],"")="Inversión")),ROWS($H$5:H145)),"")</f>
        <v/>
      </c>
    </row>
    <row r="146" spans="1:8" x14ac:dyDescent="0.35">
      <c r="A146" s="1" t="str" cm="1">
        <f t="array" ref="A146">IF($H146="","",INDEX(tblFacturasRecibidas[Fecha factura],$H146))</f>
        <v/>
      </c>
      <c r="B146" t="str" cm="1">
        <f t="array" ref="B146">IF($H146="","",INDEX(tblFacturasRecibidas[Concepto],$H146))</f>
        <v/>
      </c>
      <c r="C146" t="str" cm="1">
        <f t="array" ref="C146">IF($H146="","",INDEX(tblFacturasRecibidas[Proveedor],$H146))</f>
        <v/>
      </c>
      <c r="D146" t="str" cm="1">
        <f t="array" ref="D146">IF($H146="","",INDEX(tblFacturasRecibidas[Categoría],$H146))</f>
        <v/>
      </c>
      <c r="E146" s="2" t="str" cm="1">
        <f t="array" ref="E146">IF($H146="","",INDEX(tblFacturasRecibidas[Base imponible (€)],$H146))</f>
        <v/>
      </c>
      <c r="F146" s="2" t="str" cm="1">
        <f t="array" ref="F146">IF($H146="","",IFERROR(INDEX(tblFacturasRecibidas[IVA (€)],$H146),0))</f>
        <v/>
      </c>
      <c r="G146" s="2" t="str" cm="1">
        <f t="array" ref="G146">IF($H146="","",IFERROR(INDEX(tblFacturasRecibidas[Total (€)],$H146),INDEX(tblFacturasRecibidas[Base imponible (€)],$H146)))</f>
        <v/>
      </c>
      <c r="H146" t="str" cm="1">
        <f t="array" ref="H1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GASTOS],tblCategorias[Tipo],"")="Inversión")),ROWS($H$5:H146)),"")</f>
        <v/>
      </c>
    </row>
    <row r="147" spans="1:8" x14ac:dyDescent="0.35">
      <c r="A147" s="1" t="str" cm="1">
        <f t="array" ref="A147">IF($H147="","",INDEX(tblFacturasRecibidas[Fecha factura],$H147))</f>
        <v/>
      </c>
      <c r="B147" t="str" cm="1">
        <f t="array" ref="B147">IF($H147="","",INDEX(tblFacturasRecibidas[Concepto],$H147))</f>
        <v/>
      </c>
      <c r="C147" t="str" cm="1">
        <f t="array" ref="C147">IF($H147="","",INDEX(tblFacturasRecibidas[Proveedor],$H147))</f>
        <v/>
      </c>
      <c r="D147" t="str" cm="1">
        <f t="array" ref="D147">IF($H147="","",INDEX(tblFacturasRecibidas[Categoría],$H147))</f>
        <v/>
      </c>
      <c r="E147" s="2" t="str" cm="1">
        <f t="array" ref="E147">IF($H147="","",INDEX(tblFacturasRecibidas[Base imponible (€)],$H147))</f>
        <v/>
      </c>
      <c r="F147" s="2" t="str" cm="1">
        <f t="array" ref="F147">IF($H147="","",IFERROR(INDEX(tblFacturasRecibidas[IVA (€)],$H147),0))</f>
        <v/>
      </c>
      <c r="G147" s="2" t="str" cm="1">
        <f t="array" ref="G147">IF($H147="","",IFERROR(INDEX(tblFacturasRecibidas[Total (€)],$H147),INDEX(tblFacturasRecibidas[Base imponible (€)],$H147)))</f>
        <v/>
      </c>
      <c r="H147" t="str" cm="1">
        <f t="array" ref="H1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GASTOS],tblCategorias[Tipo],"")="Inversión")),ROWS($H$5:H147)),"")</f>
        <v/>
      </c>
    </row>
    <row r="148" spans="1:8" x14ac:dyDescent="0.35">
      <c r="A148" s="1" t="str" cm="1">
        <f t="array" ref="A148">IF($H148="","",INDEX(tblFacturasRecibidas[Fecha factura],$H148))</f>
        <v/>
      </c>
      <c r="B148" t="str" cm="1">
        <f t="array" ref="B148">IF($H148="","",INDEX(tblFacturasRecibidas[Concepto],$H148))</f>
        <v/>
      </c>
      <c r="C148" t="str" cm="1">
        <f t="array" ref="C148">IF($H148="","",INDEX(tblFacturasRecibidas[Proveedor],$H148))</f>
        <v/>
      </c>
      <c r="D148" t="str" cm="1">
        <f t="array" ref="D148">IF($H148="","",INDEX(tblFacturasRecibidas[Categoría],$H148))</f>
        <v/>
      </c>
      <c r="E148" s="2" t="str" cm="1">
        <f t="array" ref="E148">IF($H148="","",INDEX(tblFacturasRecibidas[Base imponible (€)],$H148))</f>
        <v/>
      </c>
      <c r="F148" s="2" t="str" cm="1">
        <f t="array" ref="F148">IF($H148="","",IFERROR(INDEX(tblFacturasRecibidas[IVA (€)],$H148),0))</f>
        <v/>
      </c>
      <c r="G148" s="2" t="str" cm="1">
        <f t="array" ref="G148">IF($H148="","",IFERROR(INDEX(tblFacturasRecibidas[Total (€)],$H148),INDEX(tblFacturasRecibidas[Base imponible (€)],$H148)))</f>
        <v/>
      </c>
      <c r="H148" t="str" cm="1">
        <f t="array" ref="H1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GASTOS],tblCategorias[Tipo],"")="Inversión")),ROWS($H$5:H148)),"")</f>
        <v/>
      </c>
    </row>
    <row r="149" spans="1:8" x14ac:dyDescent="0.35">
      <c r="A149" s="1" t="str" cm="1">
        <f t="array" ref="A149">IF($H149="","",INDEX(tblFacturasRecibidas[Fecha factura],$H149))</f>
        <v/>
      </c>
      <c r="B149" t="str" cm="1">
        <f t="array" ref="B149">IF($H149="","",INDEX(tblFacturasRecibidas[Concepto],$H149))</f>
        <v/>
      </c>
      <c r="C149" t="str" cm="1">
        <f t="array" ref="C149">IF($H149="","",INDEX(tblFacturasRecibidas[Proveedor],$H149))</f>
        <v/>
      </c>
      <c r="D149" t="str" cm="1">
        <f t="array" ref="D149">IF($H149="","",INDEX(tblFacturasRecibidas[Categoría],$H149))</f>
        <v/>
      </c>
      <c r="E149" s="2" t="str" cm="1">
        <f t="array" ref="E149">IF($H149="","",INDEX(tblFacturasRecibidas[Base imponible (€)],$H149))</f>
        <v/>
      </c>
      <c r="F149" s="2" t="str" cm="1">
        <f t="array" ref="F149">IF($H149="","",IFERROR(INDEX(tblFacturasRecibidas[IVA (€)],$H149),0))</f>
        <v/>
      </c>
      <c r="G149" s="2" t="str" cm="1">
        <f t="array" ref="G149">IF($H149="","",IFERROR(INDEX(tblFacturasRecibidas[Total (€)],$H149),INDEX(tblFacturasRecibidas[Base imponible (€)],$H149)))</f>
        <v/>
      </c>
      <c r="H149" t="str" cm="1">
        <f t="array" ref="H1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GASTOS],tblCategorias[Tipo],"")="Inversión")),ROWS($H$5:H149)),"")</f>
        <v/>
      </c>
    </row>
    <row r="150" spans="1:8" x14ac:dyDescent="0.35">
      <c r="A150" s="1" t="str" cm="1">
        <f t="array" ref="A150">IF($H150="","",INDEX(tblFacturasRecibidas[Fecha factura],$H150))</f>
        <v/>
      </c>
      <c r="B150" t="str" cm="1">
        <f t="array" ref="B150">IF($H150="","",INDEX(tblFacturasRecibidas[Concepto],$H150))</f>
        <v/>
      </c>
      <c r="C150" t="str" cm="1">
        <f t="array" ref="C150">IF($H150="","",INDEX(tblFacturasRecibidas[Proveedor],$H150))</f>
        <v/>
      </c>
      <c r="D150" t="str" cm="1">
        <f t="array" ref="D150">IF($H150="","",INDEX(tblFacturasRecibidas[Categoría],$H150))</f>
        <v/>
      </c>
      <c r="E150" s="2" t="str" cm="1">
        <f t="array" ref="E150">IF($H150="","",INDEX(tblFacturasRecibidas[Base imponible (€)],$H150))</f>
        <v/>
      </c>
      <c r="F150" s="2" t="str" cm="1">
        <f t="array" ref="F150">IF($H150="","",IFERROR(INDEX(tblFacturasRecibidas[IVA (€)],$H150),0))</f>
        <v/>
      </c>
      <c r="G150" s="2" t="str" cm="1">
        <f t="array" ref="G150">IF($H150="","",IFERROR(INDEX(tblFacturasRecibidas[Total (€)],$H150),INDEX(tblFacturasRecibidas[Base imponible (€)],$H150)))</f>
        <v/>
      </c>
      <c r="H150" t="str" cm="1">
        <f t="array" ref="H1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GASTOS],tblCategorias[Tipo],"")="Inversión")),ROWS($H$5:H150)),"")</f>
        <v/>
      </c>
    </row>
    <row r="151" spans="1:8" x14ac:dyDescent="0.35">
      <c r="A151" s="1" t="str" cm="1">
        <f t="array" ref="A151">IF($H151="","",INDEX(tblFacturasRecibidas[Fecha factura],$H151))</f>
        <v/>
      </c>
      <c r="B151" t="str" cm="1">
        <f t="array" ref="B151">IF($H151="","",INDEX(tblFacturasRecibidas[Concepto],$H151))</f>
        <v/>
      </c>
      <c r="C151" t="str" cm="1">
        <f t="array" ref="C151">IF($H151="","",INDEX(tblFacturasRecibidas[Proveedor],$H151))</f>
        <v/>
      </c>
      <c r="D151" t="str" cm="1">
        <f t="array" ref="D151">IF($H151="","",INDEX(tblFacturasRecibidas[Categoría],$H151))</f>
        <v/>
      </c>
      <c r="E151" s="2" t="str" cm="1">
        <f t="array" ref="E151">IF($H151="","",INDEX(tblFacturasRecibidas[Base imponible (€)],$H151))</f>
        <v/>
      </c>
      <c r="F151" s="2" t="str" cm="1">
        <f t="array" ref="F151">IF($H151="","",IFERROR(INDEX(tblFacturasRecibidas[IVA (€)],$H151),0))</f>
        <v/>
      </c>
      <c r="G151" s="2" t="str" cm="1">
        <f t="array" ref="G151">IF($H151="","",IFERROR(INDEX(tblFacturasRecibidas[Total (€)],$H151),INDEX(tblFacturasRecibidas[Base imponible (€)],$H151)))</f>
        <v/>
      </c>
      <c r="H151" t="str" cm="1">
        <f t="array" ref="H1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GASTOS],tblCategorias[Tipo],"")="Inversión")),ROWS($H$5:H151)),"")</f>
        <v/>
      </c>
    </row>
    <row r="152" spans="1:8" x14ac:dyDescent="0.35">
      <c r="A152" s="1" t="str" cm="1">
        <f t="array" ref="A152">IF($H152="","",INDEX(tblFacturasRecibidas[Fecha factura],$H152))</f>
        <v/>
      </c>
      <c r="B152" t="str" cm="1">
        <f t="array" ref="B152">IF($H152="","",INDEX(tblFacturasRecibidas[Concepto],$H152))</f>
        <v/>
      </c>
      <c r="C152" t="str" cm="1">
        <f t="array" ref="C152">IF($H152="","",INDEX(tblFacturasRecibidas[Proveedor],$H152))</f>
        <v/>
      </c>
      <c r="D152" t="str" cm="1">
        <f t="array" ref="D152">IF($H152="","",INDEX(tblFacturasRecibidas[Categoría],$H152))</f>
        <v/>
      </c>
      <c r="E152" s="2" t="str" cm="1">
        <f t="array" ref="E152">IF($H152="","",INDEX(tblFacturasRecibidas[Base imponible (€)],$H152))</f>
        <v/>
      </c>
      <c r="F152" s="2" t="str" cm="1">
        <f t="array" ref="F152">IF($H152="","",IFERROR(INDEX(tblFacturasRecibidas[IVA (€)],$H152),0))</f>
        <v/>
      </c>
      <c r="G152" s="2" t="str" cm="1">
        <f t="array" ref="G152">IF($H152="","",IFERROR(INDEX(tblFacturasRecibidas[Total (€)],$H152),INDEX(tblFacturasRecibidas[Base imponible (€)],$H152)))</f>
        <v/>
      </c>
      <c r="H152" t="str" cm="1">
        <f t="array" ref="H1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GASTOS],tblCategorias[Tipo],"")="Inversión")),ROWS($H$5:H152)),"")</f>
        <v/>
      </c>
    </row>
    <row r="153" spans="1:8" x14ac:dyDescent="0.35">
      <c r="A153" s="1" t="str" cm="1">
        <f t="array" ref="A153">IF($H153="","",INDEX(tblFacturasRecibidas[Fecha factura],$H153))</f>
        <v/>
      </c>
      <c r="B153" t="str" cm="1">
        <f t="array" ref="B153">IF($H153="","",INDEX(tblFacturasRecibidas[Concepto],$H153))</f>
        <v/>
      </c>
      <c r="C153" t="str" cm="1">
        <f t="array" ref="C153">IF($H153="","",INDEX(tblFacturasRecibidas[Proveedor],$H153))</f>
        <v/>
      </c>
      <c r="D153" t="str" cm="1">
        <f t="array" ref="D153">IF($H153="","",INDEX(tblFacturasRecibidas[Categoría],$H153))</f>
        <v/>
      </c>
      <c r="E153" s="2" t="str" cm="1">
        <f t="array" ref="E153">IF($H153="","",INDEX(tblFacturasRecibidas[Base imponible (€)],$H153))</f>
        <v/>
      </c>
      <c r="F153" s="2" t="str" cm="1">
        <f t="array" ref="F153">IF($H153="","",IFERROR(INDEX(tblFacturasRecibidas[IVA (€)],$H153),0))</f>
        <v/>
      </c>
      <c r="G153" s="2" t="str" cm="1">
        <f t="array" ref="G153">IF($H153="","",IFERROR(INDEX(tblFacturasRecibidas[Total (€)],$H153),INDEX(tblFacturasRecibidas[Base imponible (€)],$H153)))</f>
        <v/>
      </c>
      <c r="H153" t="str" cm="1">
        <f t="array" ref="H1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GASTOS],tblCategorias[Tipo],"")="Inversión")),ROWS($H$5:H153)),"")</f>
        <v/>
      </c>
    </row>
    <row r="154" spans="1:8" x14ac:dyDescent="0.35">
      <c r="A154" s="1" t="str" cm="1">
        <f t="array" ref="A154">IF($H154="","",INDEX(tblFacturasRecibidas[Fecha factura],$H154))</f>
        <v/>
      </c>
      <c r="B154" t="str" cm="1">
        <f t="array" ref="B154">IF($H154="","",INDEX(tblFacturasRecibidas[Concepto],$H154))</f>
        <v/>
      </c>
      <c r="C154" t="str" cm="1">
        <f t="array" ref="C154">IF($H154="","",INDEX(tblFacturasRecibidas[Proveedor],$H154))</f>
        <v/>
      </c>
      <c r="D154" t="str" cm="1">
        <f t="array" ref="D154">IF($H154="","",INDEX(tblFacturasRecibidas[Categoría],$H154))</f>
        <v/>
      </c>
      <c r="E154" s="2" t="str" cm="1">
        <f t="array" ref="E154">IF($H154="","",INDEX(tblFacturasRecibidas[Base imponible (€)],$H154))</f>
        <v/>
      </c>
      <c r="F154" s="2" t="str" cm="1">
        <f t="array" ref="F154">IF($H154="","",IFERROR(INDEX(tblFacturasRecibidas[IVA (€)],$H154),0))</f>
        <v/>
      </c>
      <c r="G154" s="2" t="str" cm="1">
        <f t="array" ref="G154">IF($H154="","",IFERROR(INDEX(tblFacturasRecibidas[Total (€)],$H154),INDEX(tblFacturasRecibidas[Base imponible (€)],$H154)))</f>
        <v/>
      </c>
      <c r="H154" t="str" cm="1">
        <f t="array" ref="H1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GASTOS],tblCategorias[Tipo],"")="Inversión")),ROWS($H$5:H154)),"")</f>
        <v/>
      </c>
    </row>
    <row r="155" spans="1:8" x14ac:dyDescent="0.35">
      <c r="A155" s="1" t="str" cm="1">
        <f t="array" ref="A155">IF($H155="","",INDEX(tblFacturasRecibidas[Fecha factura],$H155))</f>
        <v/>
      </c>
      <c r="B155" t="str" cm="1">
        <f t="array" ref="B155">IF($H155="","",INDEX(tblFacturasRecibidas[Concepto],$H155))</f>
        <v/>
      </c>
      <c r="C155" t="str" cm="1">
        <f t="array" ref="C155">IF($H155="","",INDEX(tblFacturasRecibidas[Proveedor],$H155))</f>
        <v/>
      </c>
      <c r="D155" t="str" cm="1">
        <f t="array" ref="D155">IF($H155="","",INDEX(tblFacturasRecibidas[Categoría],$H155))</f>
        <v/>
      </c>
      <c r="E155" s="2" t="str" cm="1">
        <f t="array" ref="E155">IF($H155="","",INDEX(tblFacturasRecibidas[Base imponible (€)],$H155))</f>
        <v/>
      </c>
      <c r="F155" s="2" t="str" cm="1">
        <f t="array" ref="F155">IF($H155="","",IFERROR(INDEX(tblFacturasRecibidas[IVA (€)],$H155),0))</f>
        <v/>
      </c>
      <c r="G155" s="2" t="str" cm="1">
        <f t="array" ref="G155">IF($H155="","",IFERROR(INDEX(tblFacturasRecibidas[Total (€)],$H155),INDEX(tblFacturasRecibidas[Base imponible (€)],$H155)))</f>
        <v/>
      </c>
      <c r="H155" t="str" cm="1">
        <f t="array" ref="H1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GASTOS],tblCategorias[Tipo],"")="Inversión")),ROWS($H$5:H155)),"")</f>
        <v/>
      </c>
    </row>
    <row r="156" spans="1:8" x14ac:dyDescent="0.35">
      <c r="A156" s="1" t="str" cm="1">
        <f t="array" ref="A156">IF($H156="","",INDEX(tblFacturasRecibidas[Fecha factura],$H156))</f>
        <v/>
      </c>
      <c r="B156" t="str" cm="1">
        <f t="array" ref="B156">IF($H156="","",INDEX(tblFacturasRecibidas[Concepto],$H156))</f>
        <v/>
      </c>
      <c r="C156" t="str" cm="1">
        <f t="array" ref="C156">IF($H156="","",INDEX(tblFacturasRecibidas[Proveedor],$H156))</f>
        <v/>
      </c>
      <c r="D156" t="str" cm="1">
        <f t="array" ref="D156">IF($H156="","",INDEX(tblFacturasRecibidas[Categoría],$H156))</f>
        <v/>
      </c>
      <c r="E156" s="2" t="str" cm="1">
        <f t="array" ref="E156">IF($H156="","",INDEX(tblFacturasRecibidas[Base imponible (€)],$H156))</f>
        <v/>
      </c>
      <c r="F156" s="2" t="str" cm="1">
        <f t="array" ref="F156">IF($H156="","",IFERROR(INDEX(tblFacturasRecibidas[IVA (€)],$H156),0))</f>
        <v/>
      </c>
      <c r="G156" s="2" t="str" cm="1">
        <f t="array" ref="G156">IF($H156="","",IFERROR(INDEX(tblFacturasRecibidas[Total (€)],$H156),INDEX(tblFacturasRecibidas[Base imponible (€)],$H156)))</f>
        <v/>
      </c>
      <c r="H156" t="str" cm="1">
        <f t="array" ref="H1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GASTOS],tblCategorias[Tipo],"")="Inversión")),ROWS($H$5:H156)),"")</f>
        <v/>
      </c>
    </row>
    <row r="157" spans="1:8" x14ac:dyDescent="0.35">
      <c r="A157" s="1" t="str" cm="1">
        <f t="array" ref="A157">IF($H157="","",INDEX(tblFacturasRecibidas[Fecha factura],$H157))</f>
        <v/>
      </c>
      <c r="B157" t="str" cm="1">
        <f t="array" ref="B157">IF($H157="","",INDEX(tblFacturasRecibidas[Concepto],$H157))</f>
        <v/>
      </c>
      <c r="C157" t="str" cm="1">
        <f t="array" ref="C157">IF($H157="","",INDEX(tblFacturasRecibidas[Proveedor],$H157))</f>
        <v/>
      </c>
      <c r="D157" t="str" cm="1">
        <f t="array" ref="D157">IF($H157="","",INDEX(tblFacturasRecibidas[Categoría],$H157))</f>
        <v/>
      </c>
      <c r="E157" s="2" t="str" cm="1">
        <f t="array" ref="E157">IF($H157="","",INDEX(tblFacturasRecibidas[Base imponible (€)],$H157))</f>
        <v/>
      </c>
      <c r="F157" s="2" t="str" cm="1">
        <f t="array" ref="F157">IF($H157="","",IFERROR(INDEX(tblFacturasRecibidas[IVA (€)],$H157),0))</f>
        <v/>
      </c>
      <c r="G157" s="2" t="str" cm="1">
        <f t="array" ref="G157">IF($H157="","",IFERROR(INDEX(tblFacturasRecibidas[Total (€)],$H157),INDEX(tblFacturasRecibidas[Base imponible (€)],$H157)))</f>
        <v/>
      </c>
      <c r="H157" t="str" cm="1">
        <f t="array" ref="H1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GASTOS],tblCategorias[Tipo],"")="Inversión")),ROWS($H$5:H157)),"")</f>
        <v/>
      </c>
    </row>
    <row r="158" spans="1:8" x14ac:dyDescent="0.35">
      <c r="A158" s="1" t="str" cm="1">
        <f t="array" ref="A158">IF($H158="","",INDEX(tblFacturasRecibidas[Fecha factura],$H158))</f>
        <v/>
      </c>
      <c r="B158" t="str" cm="1">
        <f t="array" ref="B158">IF($H158="","",INDEX(tblFacturasRecibidas[Concepto],$H158))</f>
        <v/>
      </c>
      <c r="C158" t="str" cm="1">
        <f t="array" ref="C158">IF($H158="","",INDEX(tblFacturasRecibidas[Proveedor],$H158))</f>
        <v/>
      </c>
      <c r="D158" t="str" cm="1">
        <f t="array" ref="D158">IF($H158="","",INDEX(tblFacturasRecibidas[Categoría],$H158))</f>
        <v/>
      </c>
      <c r="E158" s="2" t="str" cm="1">
        <f t="array" ref="E158">IF($H158="","",INDEX(tblFacturasRecibidas[Base imponible (€)],$H158))</f>
        <v/>
      </c>
      <c r="F158" s="2" t="str" cm="1">
        <f t="array" ref="F158">IF($H158="","",IFERROR(INDEX(tblFacturasRecibidas[IVA (€)],$H158),0))</f>
        <v/>
      </c>
      <c r="G158" s="2" t="str" cm="1">
        <f t="array" ref="G158">IF($H158="","",IFERROR(INDEX(tblFacturasRecibidas[Total (€)],$H158),INDEX(tblFacturasRecibidas[Base imponible (€)],$H158)))</f>
        <v/>
      </c>
      <c r="H158" t="str" cm="1">
        <f t="array" ref="H1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GASTOS],tblCategorias[Tipo],"")="Inversión")),ROWS($H$5:H158)),"")</f>
        <v/>
      </c>
    </row>
    <row r="159" spans="1:8" x14ac:dyDescent="0.35">
      <c r="A159" s="1" t="str" cm="1">
        <f t="array" ref="A159">IF($H159="","",INDEX(tblFacturasRecibidas[Fecha factura],$H159))</f>
        <v/>
      </c>
      <c r="B159" t="str" cm="1">
        <f t="array" ref="B159">IF($H159="","",INDEX(tblFacturasRecibidas[Concepto],$H159))</f>
        <v/>
      </c>
      <c r="C159" t="str" cm="1">
        <f t="array" ref="C159">IF($H159="","",INDEX(tblFacturasRecibidas[Proveedor],$H159))</f>
        <v/>
      </c>
      <c r="D159" t="str" cm="1">
        <f t="array" ref="D159">IF($H159="","",INDEX(tblFacturasRecibidas[Categoría],$H159))</f>
        <v/>
      </c>
      <c r="E159" s="2" t="str" cm="1">
        <f t="array" ref="E159">IF($H159="","",INDEX(tblFacturasRecibidas[Base imponible (€)],$H159))</f>
        <v/>
      </c>
      <c r="F159" s="2" t="str" cm="1">
        <f t="array" ref="F159">IF($H159="","",IFERROR(INDEX(tblFacturasRecibidas[IVA (€)],$H159),0))</f>
        <v/>
      </c>
      <c r="G159" s="2" t="str" cm="1">
        <f t="array" ref="G159">IF($H159="","",IFERROR(INDEX(tblFacturasRecibidas[Total (€)],$H159),INDEX(tblFacturasRecibidas[Base imponible (€)],$H159)))</f>
        <v/>
      </c>
      <c r="H159" t="str" cm="1">
        <f t="array" ref="H1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GASTOS],tblCategorias[Tipo],"")="Inversión")),ROWS($H$5:H159)),"")</f>
        <v/>
      </c>
    </row>
    <row r="160" spans="1:8" x14ac:dyDescent="0.35">
      <c r="A160" s="1" t="str" cm="1">
        <f t="array" ref="A160">IF($H160="","",INDEX(tblFacturasRecibidas[Fecha factura],$H160))</f>
        <v/>
      </c>
      <c r="B160" t="str" cm="1">
        <f t="array" ref="B160">IF($H160="","",INDEX(tblFacturasRecibidas[Concepto],$H160))</f>
        <v/>
      </c>
      <c r="C160" t="str" cm="1">
        <f t="array" ref="C160">IF($H160="","",INDEX(tblFacturasRecibidas[Proveedor],$H160))</f>
        <v/>
      </c>
      <c r="D160" t="str" cm="1">
        <f t="array" ref="D160">IF($H160="","",INDEX(tblFacturasRecibidas[Categoría],$H160))</f>
        <v/>
      </c>
      <c r="E160" s="2" t="str" cm="1">
        <f t="array" ref="E160">IF($H160="","",INDEX(tblFacturasRecibidas[Base imponible (€)],$H160))</f>
        <v/>
      </c>
      <c r="F160" s="2" t="str" cm="1">
        <f t="array" ref="F160">IF($H160="","",IFERROR(INDEX(tblFacturasRecibidas[IVA (€)],$H160),0))</f>
        <v/>
      </c>
      <c r="G160" s="2" t="str" cm="1">
        <f t="array" ref="G160">IF($H160="","",IFERROR(INDEX(tblFacturasRecibidas[Total (€)],$H160),INDEX(tblFacturasRecibidas[Base imponible (€)],$H160)))</f>
        <v/>
      </c>
      <c r="H160" t="str" cm="1">
        <f t="array" ref="H1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GASTOS],tblCategorias[Tipo],"")="Inversión")),ROWS($H$5:H160)),"")</f>
        <v/>
      </c>
    </row>
    <row r="161" spans="1:8" x14ac:dyDescent="0.35">
      <c r="A161" s="1" t="str" cm="1">
        <f t="array" ref="A161">IF($H161="","",INDEX(tblFacturasRecibidas[Fecha factura],$H161))</f>
        <v/>
      </c>
      <c r="B161" t="str" cm="1">
        <f t="array" ref="B161">IF($H161="","",INDEX(tblFacturasRecibidas[Concepto],$H161))</f>
        <v/>
      </c>
      <c r="C161" t="str" cm="1">
        <f t="array" ref="C161">IF($H161="","",INDEX(tblFacturasRecibidas[Proveedor],$H161))</f>
        <v/>
      </c>
      <c r="D161" t="str" cm="1">
        <f t="array" ref="D161">IF($H161="","",INDEX(tblFacturasRecibidas[Categoría],$H161))</f>
        <v/>
      </c>
      <c r="E161" s="2" t="str" cm="1">
        <f t="array" ref="E161">IF($H161="","",INDEX(tblFacturasRecibidas[Base imponible (€)],$H161))</f>
        <v/>
      </c>
      <c r="F161" s="2" t="str" cm="1">
        <f t="array" ref="F161">IF($H161="","",IFERROR(INDEX(tblFacturasRecibidas[IVA (€)],$H161),0))</f>
        <v/>
      </c>
      <c r="G161" s="2" t="str" cm="1">
        <f t="array" ref="G161">IF($H161="","",IFERROR(INDEX(tblFacturasRecibidas[Total (€)],$H161),INDEX(tblFacturasRecibidas[Base imponible (€)],$H161)))</f>
        <v/>
      </c>
      <c r="H161" t="str" cm="1">
        <f t="array" ref="H1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GASTOS],tblCategorias[Tipo],"")="Inversión")),ROWS($H$5:H161)),"")</f>
        <v/>
      </c>
    </row>
    <row r="162" spans="1:8" x14ac:dyDescent="0.35">
      <c r="A162" s="1" t="str" cm="1">
        <f t="array" ref="A162">IF($H162="","",INDEX(tblFacturasRecibidas[Fecha factura],$H162))</f>
        <v/>
      </c>
      <c r="B162" t="str" cm="1">
        <f t="array" ref="B162">IF($H162="","",INDEX(tblFacturasRecibidas[Concepto],$H162))</f>
        <v/>
      </c>
      <c r="C162" t="str" cm="1">
        <f t="array" ref="C162">IF($H162="","",INDEX(tblFacturasRecibidas[Proveedor],$H162))</f>
        <v/>
      </c>
      <c r="D162" t="str" cm="1">
        <f t="array" ref="D162">IF($H162="","",INDEX(tblFacturasRecibidas[Categoría],$H162))</f>
        <v/>
      </c>
      <c r="E162" s="2" t="str" cm="1">
        <f t="array" ref="E162">IF($H162="","",INDEX(tblFacturasRecibidas[Base imponible (€)],$H162))</f>
        <v/>
      </c>
      <c r="F162" s="2" t="str" cm="1">
        <f t="array" ref="F162">IF($H162="","",IFERROR(INDEX(tblFacturasRecibidas[IVA (€)],$H162),0))</f>
        <v/>
      </c>
      <c r="G162" s="2" t="str" cm="1">
        <f t="array" ref="G162">IF($H162="","",IFERROR(INDEX(tblFacturasRecibidas[Total (€)],$H162),INDEX(tblFacturasRecibidas[Base imponible (€)],$H162)))</f>
        <v/>
      </c>
      <c r="H162" t="str" cm="1">
        <f t="array" ref="H1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GASTOS],tblCategorias[Tipo],"")="Inversión")),ROWS($H$5:H162)),"")</f>
        <v/>
      </c>
    </row>
    <row r="163" spans="1:8" x14ac:dyDescent="0.35">
      <c r="A163" s="1" t="str" cm="1">
        <f t="array" ref="A163">IF($H163="","",INDEX(tblFacturasRecibidas[Fecha factura],$H163))</f>
        <v/>
      </c>
      <c r="B163" t="str" cm="1">
        <f t="array" ref="B163">IF($H163="","",INDEX(tblFacturasRecibidas[Concepto],$H163))</f>
        <v/>
      </c>
      <c r="C163" t="str" cm="1">
        <f t="array" ref="C163">IF($H163="","",INDEX(tblFacturasRecibidas[Proveedor],$H163))</f>
        <v/>
      </c>
      <c r="D163" t="str" cm="1">
        <f t="array" ref="D163">IF($H163="","",INDEX(tblFacturasRecibidas[Categoría],$H163))</f>
        <v/>
      </c>
      <c r="E163" s="2" t="str" cm="1">
        <f t="array" ref="E163">IF($H163="","",INDEX(tblFacturasRecibidas[Base imponible (€)],$H163))</f>
        <v/>
      </c>
      <c r="F163" s="2" t="str" cm="1">
        <f t="array" ref="F163">IF($H163="","",IFERROR(INDEX(tblFacturasRecibidas[IVA (€)],$H163),0))</f>
        <v/>
      </c>
      <c r="G163" s="2" t="str" cm="1">
        <f t="array" ref="G163">IF($H163="","",IFERROR(INDEX(tblFacturasRecibidas[Total (€)],$H163),INDEX(tblFacturasRecibidas[Base imponible (€)],$H163)))</f>
        <v/>
      </c>
      <c r="H163" t="str" cm="1">
        <f t="array" ref="H1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GASTOS],tblCategorias[Tipo],"")="Inversión")),ROWS($H$5:H163)),"")</f>
        <v/>
      </c>
    </row>
    <row r="164" spans="1:8" x14ac:dyDescent="0.35">
      <c r="A164" s="1" t="str" cm="1">
        <f t="array" ref="A164">IF($H164="","",INDEX(tblFacturasRecibidas[Fecha factura],$H164))</f>
        <v/>
      </c>
      <c r="B164" t="str" cm="1">
        <f t="array" ref="B164">IF($H164="","",INDEX(tblFacturasRecibidas[Concepto],$H164))</f>
        <v/>
      </c>
      <c r="C164" t="str" cm="1">
        <f t="array" ref="C164">IF($H164="","",INDEX(tblFacturasRecibidas[Proveedor],$H164))</f>
        <v/>
      </c>
      <c r="D164" t="str" cm="1">
        <f t="array" ref="D164">IF($H164="","",INDEX(tblFacturasRecibidas[Categoría],$H164))</f>
        <v/>
      </c>
      <c r="E164" s="2" t="str" cm="1">
        <f t="array" ref="E164">IF($H164="","",INDEX(tblFacturasRecibidas[Base imponible (€)],$H164))</f>
        <v/>
      </c>
      <c r="F164" s="2" t="str" cm="1">
        <f t="array" ref="F164">IF($H164="","",IFERROR(INDEX(tblFacturasRecibidas[IVA (€)],$H164),0))</f>
        <v/>
      </c>
      <c r="G164" s="2" t="str" cm="1">
        <f t="array" ref="G164">IF($H164="","",IFERROR(INDEX(tblFacturasRecibidas[Total (€)],$H164),INDEX(tblFacturasRecibidas[Base imponible (€)],$H164)))</f>
        <v/>
      </c>
      <c r="H164" t="str" cm="1">
        <f t="array" ref="H1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GASTOS],tblCategorias[Tipo],"")="Inversión")),ROWS($H$5:H164)),"")</f>
        <v/>
      </c>
    </row>
    <row r="165" spans="1:8" x14ac:dyDescent="0.35">
      <c r="A165" s="1" t="str" cm="1">
        <f t="array" ref="A165">IF($H165="","",INDEX(tblFacturasRecibidas[Fecha factura],$H165))</f>
        <v/>
      </c>
      <c r="B165" t="str" cm="1">
        <f t="array" ref="B165">IF($H165="","",INDEX(tblFacturasRecibidas[Concepto],$H165))</f>
        <v/>
      </c>
      <c r="C165" t="str" cm="1">
        <f t="array" ref="C165">IF($H165="","",INDEX(tblFacturasRecibidas[Proveedor],$H165))</f>
        <v/>
      </c>
      <c r="D165" t="str" cm="1">
        <f t="array" ref="D165">IF($H165="","",INDEX(tblFacturasRecibidas[Categoría],$H165))</f>
        <v/>
      </c>
      <c r="E165" s="2" t="str" cm="1">
        <f t="array" ref="E165">IF($H165="","",INDEX(tblFacturasRecibidas[Base imponible (€)],$H165))</f>
        <v/>
      </c>
      <c r="F165" s="2" t="str" cm="1">
        <f t="array" ref="F165">IF($H165="","",IFERROR(INDEX(tblFacturasRecibidas[IVA (€)],$H165),0))</f>
        <v/>
      </c>
      <c r="G165" s="2" t="str" cm="1">
        <f t="array" ref="G165">IF($H165="","",IFERROR(INDEX(tblFacturasRecibidas[Total (€)],$H165),INDEX(tblFacturasRecibidas[Base imponible (€)],$H165)))</f>
        <v/>
      </c>
      <c r="H165" t="str" cm="1">
        <f t="array" ref="H1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GASTOS],tblCategorias[Tipo],"")="Inversión")),ROWS($H$5:H165)),"")</f>
        <v/>
      </c>
    </row>
    <row r="166" spans="1:8" x14ac:dyDescent="0.35">
      <c r="A166" s="1" t="str" cm="1">
        <f t="array" ref="A166">IF($H166="","",INDEX(tblFacturasRecibidas[Fecha factura],$H166))</f>
        <v/>
      </c>
      <c r="B166" t="str" cm="1">
        <f t="array" ref="B166">IF($H166="","",INDEX(tblFacturasRecibidas[Concepto],$H166))</f>
        <v/>
      </c>
      <c r="C166" t="str" cm="1">
        <f t="array" ref="C166">IF($H166="","",INDEX(tblFacturasRecibidas[Proveedor],$H166))</f>
        <v/>
      </c>
      <c r="D166" t="str" cm="1">
        <f t="array" ref="D166">IF($H166="","",INDEX(tblFacturasRecibidas[Categoría],$H166))</f>
        <v/>
      </c>
      <c r="E166" s="2" t="str" cm="1">
        <f t="array" ref="E166">IF($H166="","",INDEX(tblFacturasRecibidas[Base imponible (€)],$H166))</f>
        <v/>
      </c>
      <c r="F166" s="2" t="str" cm="1">
        <f t="array" ref="F166">IF($H166="","",IFERROR(INDEX(tblFacturasRecibidas[IVA (€)],$H166),0))</f>
        <v/>
      </c>
      <c r="G166" s="2" t="str" cm="1">
        <f t="array" ref="G166">IF($H166="","",IFERROR(INDEX(tblFacturasRecibidas[Total (€)],$H166),INDEX(tblFacturasRecibidas[Base imponible (€)],$H166)))</f>
        <v/>
      </c>
      <c r="H166" t="str" cm="1">
        <f t="array" ref="H1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GASTOS],tblCategorias[Tipo],"")="Inversión")),ROWS($H$5:H166)),"")</f>
        <v/>
      </c>
    </row>
    <row r="167" spans="1:8" x14ac:dyDescent="0.35">
      <c r="A167" s="1" t="str" cm="1">
        <f t="array" ref="A167">IF($H167="","",INDEX(tblFacturasRecibidas[Fecha factura],$H167))</f>
        <v/>
      </c>
      <c r="B167" t="str" cm="1">
        <f t="array" ref="B167">IF($H167="","",INDEX(tblFacturasRecibidas[Concepto],$H167))</f>
        <v/>
      </c>
      <c r="C167" t="str" cm="1">
        <f t="array" ref="C167">IF($H167="","",INDEX(tblFacturasRecibidas[Proveedor],$H167))</f>
        <v/>
      </c>
      <c r="D167" t="str" cm="1">
        <f t="array" ref="D167">IF($H167="","",INDEX(tblFacturasRecibidas[Categoría],$H167))</f>
        <v/>
      </c>
      <c r="E167" s="2" t="str" cm="1">
        <f t="array" ref="E167">IF($H167="","",INDEX(tblFacturasRecibidas[Base imponible (€)],$H167))</f>
        <v/>
      </c>
      <c r="F167" s="2" t="str" cm="1">
        <f t="array" ref="F167">IF($H167="","",IFERROR(INDEX(tblFacturasRecibidas[IVA (€)],$H167),0))</f>
        <v/>
      </c>
      <c r="G167" s="2" t="str" cm="1">
        <f t="array" ref="G167">IF($H167="","",IFERROR(INDEX(tblFacturasRecibidas[Total (€)],$H167),INDEX(tblFacturasRecibidas[Base imponible (€)],$H167)))</f>
        <v/>
      </c>
      <c r="H167" t="str" cm="1">
        <f t="array" ref="H1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GASTOS],tblCategorias[Tipo],"")="Inversión")),ROWS($H$5:H167)),"")</f>
        <v/>
      </c>
    </row>
    <row r="168" spans="1:8" x14ac:dyDescent="0.35">
      <c r="A168" s="1" t="str" cm="1">
        <f t="array" ref="A168">IF($H168="","",INDEX(tblFacturasRecibidas[Fecha factura],$H168))</f>
        <v/>
      </c>
      <c r="B168" t="str" cm="1">
        <f t="array" ref="B168">IF($H168="","",INDEX(tblFacturasRecibidas[Concepto],$H168))</f>
        <v/>
      </c>
      <c r="C168" t="str" cm="1">
        <f t="array" ref="C168">IF($H168="","",INDEX(tblFacturasRecibidas[Proveedor],$H168))</f>
        <v/>
      </c>
      <c r="D168" t="str" cm="1">
        <f t="array" ref="D168">IF($H168="","",INDEX(tblFacturasRecibidas[Categoría],$H168))</f>
        <v/>
      </c>
      <c r="E168" s="2" t="str" cm="1">
        <f t="array" ref="E168">IF($H168="","",INDEX(tblFacturasRecibidas[Base imponible (€)],$H168))</f>
        <v/>
      </c>
      <c r="F168" s="2" t="str" cm="1">
        <f t="array" ref="F168">IF($H168="","",IFERROR(INDEX(tblFacturasRecibidas[IVA (€)],$H168),0))</f>
        <v/>
      </c>
      <c r="G168" s="2" t="str" cm="1">
        <f t="array" ref="G168">IF($H168="","",IFERROR(INDEX(tblFacturasRecibidas[Total (€)],$H168),INDEX(tblFacturasRecibidas[Base imponible (€)],$H168)))</f>
        <v/>
      </c>
      <c r="H168" t="str" cm="1">
        <f t="array" ref="H1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GASTOS],tblCategorias[Tipo],"")="Inversión")),ROWS($H$5:H168)),"")</f>
        <v/>
      </c>
    </row>
    <row r="169" spans="1:8" x14ac:dyDescent="0.35">
      <c r="A169" s="1" t="str" cm="1">
        <f t="array" ref="A169">IF($H169="","",INDEX(tblFacturasRecibidas[Fecha factura],$H169))</f>
        <v/>
      </c>
      <c r="B169" t="str" cm="1">
        <f t="array" ref="B169">IF($H169="","",INDEX(tblFacturasRecibidas[Concepto],$H169))</f>
        <v/>
      </c>
      <c r="C169" t="str" cm="1">
        <f t="array" ref="C169">IF($H169="","",INDEX(tblFacturasRecibidas[Proveedor],$H169))</f>
        <v/>
      </c>
      <c r="D169" t="str" cm="1">
        <f t="array" ref="D169">IF($H169="","",INDEX(tblFacturasRecibidas[Categoría],$H169))</f>
        <v/>
      </c>
      <c r="E169" s="2" t="str" cm="1">
        <f t="array" ref="E169">IF($H169="","",INDEX(tblFacturasRecibidas[Base imponible (€)],$H169))</f>
        <v/>
      </c>
      <c r="F169" s="2" t="str" cm="1">
        <f t="array" ref="F169">IF($H169="","",IFERROR(INDEX(tblFacturasRecibidas[IVA (€)],$H169),0))</f>
        <v/>
      </c>
      <c r="G169" s="2" t="str" cm="1">
        <f t="array" ref="G169">IF($H169="","",IFERROR(INDEX(tblFacturasRecibidas[Total (€)],$H169),INDEX(tblFacturasRecibidas[Base imponible (€)],$H169)))</f>
        <v/>
      </c>
      <c r="H169" t="str" cm="1">
        <f t="array" ref="H1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GASTOS],tblCategorias[Tipo],"")="Inversión")),ROWS($H$5:H169)),"")</f>
        <v/>
      </c>
    </row>
    <row r="170" spans="1:8" x14ac:dyDescent="0.35">
      <c r="A170" s="1" t="str" cm="1">
        <f t="array" ref="A170">IF($H170="","",INDEX(tblFacturasRecibidas[Fecha factura],$H170))</f>
        <v/>
      </c>
      <c r="B170" t="str" cm="1">
        <f t="array" ref="B170">IF($H170="","",INDEX(tblFacturasRecibidas[Concepto],$H170))</f>
        <v/>
      </c>
      <c r="C170" t="str" cm="1">
        <f t="array" ref="C170">IF($H170="","",INDEX(tblFacturasRecibidas[Proveedor],$H170))</f>
        <v/>
      </c>
      <c r="D170" t="str" cm="1">
        <f t="array" ref="D170">IF($H170="","",INDEX(tblFacturasRecibidas[Categoría],$H170))</f>
        <v/>
      </c>
      <c r="E170" s="2" t="str" cm="1">
        <f t="array" ref="E170">IF($H170="","",INDEX(tblFacturasRecibidas[Base imponible (€)],$H170))</f>
        <v/>
      </c>
      <c r="F170" s="2" t="str" cm="1">
        <f t="array" ref="F170">IF($H170="","",IFERROR(INDEX(tblFacturasRecibidas[IVA (€)],$H170),0))</f>
        <v/>
      </c>
      <c r="G170" s="2" t="str" cm="1">
        <f t="array" ref="G170">IF($H170="","",IFERROR(INDEX(tblFacturasRecibidas[Total (€)],$H170),INDEX(tblFacturasRecibidas[Base imponible (€)],$H170)))</f>
        <v/>
      </c>
      <c r="H170" t="str" cm="1">
        <f t="array" ref="H1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GASTOS],tblCategorias[Tipo],"")="Inversión")),ROWS($H$5:H170)),"")</f>
        <v/>
      </c>
    </row>
    <row r="171" spans="1:8" x14ac:dyDescent="0.35">
      <c r="A171" s="1" t="str" cm="1">
        <f t="array" ref="A171">IF($H171="","",INDEX(tblFacturasRecibidas[Fecha factura],$H171))</f>
        <v/>
      </c>
      <c r="B171" t="str" cm="1">
        <f t="array" ref="B171">IF($H171="","",INDEX(tblFacturasRecibidas[Concepto],$H171))</f>
        <v/>
      </c>
      <c r="C171" t="str" cm="1">
        <f t="array" ref="C171">IF($H171="","",INDEX(tblFacturasRecibidas[Proveedor],$H171))</f>
        <v/>
      </c>
      <c r="D171" t="str" cm="1">
        <f t="array" ref="D171">IF($H171="","",INDEX(tblFacturasRecibidas[Categoría],$H171))</f>
        <v/>
      </c>
      <c r="E171" s="2" t="str" cm="1">
        <f t="array" ref="E171">IF($H171="","",INDEX(tblFacturasRecibidas[Base imponible (€)],$H171))</f>
        <v/>
      </c>
      <c r="F171" s="2" t="str" cm="1">
        <f t="array" ref="F171">IF($H171="","",IFERROR(INDEX(tblFacturasRecibidas[IVA (€)],$H171),0))</f>
        <v/>
      </c>
      <c r="G171" s="2" t="str" cm="1">
        <f t="array" ref="G171">IF($H171="","",IFERROR(INDEX(tblFacturasRecibidas[Total (€)],$H171),INDEX(tblFacturasRecibidas[Base imponible (€)],$H171)))</f>
        <v/>
      </c>
      <c r="H171" t="str" cm="1">
        <f t="array" ref="H1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GASTOS],tblCategorias[Tipo],"")="Inversión")),ROWS($H$5:H171)),"")</f>
        <v/>
      </c>
    </row>
    <row r="172" spans="1:8" x14ac:dyDescent="0.35">
      <c r="A172" s="1" t="str" cm="1">
        <f t="array" ref="A172">IF($H172="","",INDEX(tblFacturasRecibidas[Fecha factura],$H172))</f>
        <v/>
      </c>
      <c r="B172" t="str" cm="1">
        <f t="array" ref="B172">IF($H172="","",INDEX(tblFacturasRecibidas[Concepto],$H172))</f>
        <v/>
      </c>
      <c r="C172" t="str" cm="1">
        <f t="array" ref="C172">IF($H172="","",INDEX(tblFacturasRecibidas[Proveedor],$H172))</f>
        <v/>
      </c>
      <c r="D172" t="str" cm="1">
        <f t="array" ref="D172">IF($H172="","",INDEX(tblFacturasRecibidas[Categoría],$H172))</f>
        <v/>
      </c>
      <c r="E172" s="2" t="str" cm="1">
        <f t="array" ref="E172">IF($H172="","",INDEX(tblFacturasRecibidas[Base imponible (€)],$H172))</f>
        <v/>
      </c>
      <c r="F172" s="2" t="str" cm="1">
        <f t="array" ref="F172">IF($H172="","",IFERROR(INDEX(tblFacturasRecibidas[IVA (€)],$H172),0))</f>
        <v/>
      </c>
      <c r="G172" s="2" t="str" cm="1">
        <f t="array" ref="G172">IF($H172="","",IFERROR(INDEX(tblFacturasRecibidas[Total (€)],$H172),INDEX(tblFacturasRecibidas[Base imponible (€)],$H172)))</f>
        <v/>
      </c>
      <c r="H172" t="str" cm="1">
        <f t="array" ref="H1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GASTOS],tblCategorias[Tipo],"")="Inversión")),ROWS($H$5:H172)),"")</f>
        <v/>
      </c>
    </row>
    <row r="173" spans="1:8" x14ac:dyDescent="0.35">
      <c r="A173" s="1" t="str" cm="1">
        <f t="array" ref="A173">IF($H173="","",INDEX(tblFacturasRecibidas[Fecha factura],$H173))</f>
        <v/>
      </c>
      <c r="B173" t="str" cm="1">
        <f t="array" ref="B173">IF($H173="","",INDEX(tblFacturasRecibidas[Concepto],$H173))</f>
        <v/>
      </c>
      <c r="C173" t="str" cm="1">
        <f t="array" ref="C173">IF($H173="","",INDEX(tblFacturasRecibidas[Proveedor],$H173))</f>
        <v/>
      </c>
      <c r="D173" t="str" cm="1">
        <f t="array" ref="D173">IF($H173="","",INDEX(tblFacturasRecibidas[Categoría],$H173))</f>
        <v/>
      </c>
      <c r="E173" s="2" t="str" cm="1">
        <f t="array" ref="E173">IF($H173="","",INDEX(tblFacturasRecibidas[Base imponible (€)],$H173))</f>
        <v/>
      </c>
      <c r="F173" s="2" t="str" cm="1">
        <f t="array" ref="F173">IF($H173="","",IFERROR(INDEX(tblFacturasRecibidas[IVA (€)],$H173),0))</f>
        <v/>
      </c>
      <c r="G173" s="2" t="str" cm="1">
        <f t="array" ref="G173">IF($H173="","",IFERROR(INDEX(tblFacturasRecibidas[Total (€)],$H173),INDEX(tblFacturasRecibidas[Base imponible (€)],$H173)))</f>
        <v/>
      </c>
      <c r="H173" t="str" cm="1">
        <f t="array" ref="H1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GASTOS],tblCategorias[Tipo],"")="Inversión")),ROWS($H$5:H173)),"")</f>
        <v/>
      </c>
    </row>
    <row r="174" spans="1:8" x14ac:dyDescent="0.35">
      <c r="A174" s="1" t="str" cm="1">
        <f t="array" ref="A174">IF($H174="","",INDEX(tblFacturasRecibidas[Fecha factura],$H174))</f>
        <v/>
      </c>
      <c r="B174" t="str" cm="1">
        <f t="array" ref="B174">IF($H174="","",INDEX(tblFacturasRecibidas[Concepto],$H174))</f>
        <v/>
      </c>
      <c r="C174" t="str" cm="1">
        <f t="array" ref="C174">IF($H174="","",INDEX(tblFacturasRecibidas[Proveedor],$H174))</f>
        <v/>
      </c>
      <c r="D174" t="str" cm="1">
        <f t="array" ref="D174">IF($H174="","",INDEX(tblFacturasRecibidas[Categoría],$H174))</f>
        <v/>
      </c>
      <c r="E174" s="2" t="str" cm="1">
        <f t="array" ref="E174">IF($H174="","",INDEX(tblFacturasRecibidas[Base imponible (€)],$H174))</f>
        <v/>
      </c>
      <c r="F174" s="2" t="str" cm="1">
        <f t="array" ref="F174">IF($H174="","",IFERROR(INDEX(tblFacturasRecibidas[IVA (€)],$H174),0))</f>
        <v/>
      </c>
      <c r="G174" s="2" t="str" cm="1">
        <f t="array" ref="G174">IF($H174="","",IFERROR(INDEX(tblFacturasRecibidas[Total (€)],$H174),INDEX(tblFacturasRecibidas[Base imponible (€)],$H174)))</f>
        <v/>
      </c>
      <c r="H174" t="str" cm="1">
        <f t="array" ref="H1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GASTOS],tblCategorias[Tipo],"")="Inversión")),ROWS($H$5:H174)),"")</f>
        <v/>
      </c>
    </row>
    <row r="175" spans="1:8" x14ac:dyDescent="0.35">
      <c r="A175" s="1" t="str" cm="1">
        <f t="array" ref="A175">IF($H175="","",INDEX(tblFacturasRecibidas[Fecha factura],$H175))</f>
        <v/>
      </c>
      <c r="B175" t="str" cm="1">
        <f t="array" ref="B175">IF($H175="","",INDEX(tblFacturasRecibidas[Concepto],$H175))</f>
        <v/>
      </c>
      <c r="C175" t="str" cm="1">
        <f t="array" ref="C175">IF($H175="","",INDEX(tblFacturasRecibidas[Proveedor],$H175))</f>
        <v/>
      </c>
      <c r="D175" t="str" cm="1">
        <f t="array" ref="D175">IF($H175="","",INDEX(tblFacturasRecibidas[Categoría],$H175))</f>
        <v/>
      </c>
      <c r="E175" s="2" t="str" cm="1">
        <f t="array" ref="E175">IF($H175="","",INDEX(tblFacturasRecibidas[Base imponible (€)],$H175))</f>
        <v/>
      </c>
      <c r="F175" s="2" t="str" cm="1">
        <f t="array" ref="F175">IF($H175="","",IFERROR(INDEX(tblFacturasRecibidas[IVA (€)],$H175),0))</f>
        <v/>
      </c>
      <c r="G175" s="2" t="str" cm="1">
        <f t="array" ref="G175">IF($H175="","",IFERROR(INDEX(tblFacturasRecibidas[Total (€)],$H175),INDEX(tblFacturasRecibidas[Base imponible (€)],$H175)))</f>
        <v/>
      </c>
      <c r="H175" t="str" cm="1">
        <f t="array" ref="H1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GASTOS],tblCategorias[Tipo],"")="Inversión")),ROWS($H$5:H175)),"")</f>
        <v/>
      </c>
    </row>
    <row r="176" spans="1:8" x14ac:dyDescent="0.35">
      <c r="A176" s="1" t="str" cm="1">
        <f t="array" ref="A176">IF($H176="","",INDEX(tblFacturasRecibidas[Fecha factura],$H176))</f>
        <v/>
      </c>
      <c r="B176" t="str" cm="1">
        <f t="array" ref="B176">IF($H176="","",INDEX(tblFacturasRecibidas[Concepto],$H176))</f>
        <v/>
      </c>
      <c r="C176" t="str" cm="1">
        <f t="array" ref="C176">IF($H176="","",INDEX(tblFacturasRecibidas[Proveedor],$H176))</f>
        <v/>
      </c>
      <c r="D176" t="str" cm="1">
        <f t="array" ref="D176">IF($H176="","",INDEX(tblFacturasRecibidas[Categoría],$H176))</f>
        <v/>
      </c>
      <c r="E176" s="2" t="str" cm="1">
        <f t="array" ref="E176">IF($H176="","",INDEX(tblFacturasRecibidas[Base imponible (€)],$H176))</f>
        <v/>
      </c>
      <c r="F176" s="2" t="str" cm="1">
        <f t="array" ref="F176">IF($H176="","",IFERROR(INDEX(tblFacturasRecibidas[IVA (€)],$H176),0))</f>
        <v/>
      </c>
      <c r="G176" s="2" t="str" cm="1">
        <f t="array" ref="G176">IF($H176="","",IFERROR(INDEX(tblFacturasRecibidas[Total (€)],$H176),INDEX(tblFacturasRecibidas[Base imponible (€)],$H176)))</f>
        <v/>
      </c>
      <c r="H176" t="str" cm="1">
        <f t="array" ref="H1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GASTOS],tblCategorias[Tipo],"")="Inversión")),ROWS($H$5:H176)),"")</f>
        <v/>
      </c>
    </row>
    <row r="177" spans="1:8" x14ac:dyDescent="0.35">
      <c r="A177" s="1" t="str" cm="1">
        <f t="array" ref="A177">IF($H177="","",INDEX(tblFacturasRecibidas[Fecha factura],$H177))</f>
        <v/>
      </c>
      <c r="B177" t="str" cm="1">
        <f t="array" ref="B177">IF($H177="","",INDEX(tblFacturasRecibidas[Concepto],$H177))</f>
        <v/>
      </c>
      <c r="C177" t="str" cm="1">
        <f t="array" ref="C177">IF($H177="","",INDEX(tblFacturasRecibidas[Proveedor],$H177))</f>
        <v/>
      </c>
      <c r="D177" t="str" cm="1">
        <f t="array" ref="D177">IF($H177="","",INDEX(tblFacturasRecibidas[Categoría],$H177))</f>
        <v/>
      </c>
      <c r="E177" s="2" t="str" cm="1">
        <f t="array" ref="E177">IF($H177="","",INDEX(tblFacturasRecibidas[Base imponible (€)],$H177))</f>
        <v/>
      </c>
      <c r="F177" s="2" t="str" cm="1">
        <f t="array" ref="F177">IF($H177="","",IFERROR(INDEX(tblFacturasRecibidas[IVA (€)],$H177),0))</f>
        <v/>
      </c>
      <c r="G177" s="2" t="str" cm="1">
        <f t="array" ref="G177">IF($H177="","",IFERROR(INDEX(tblFacturasRecibidas[Total (€)],$H177),INDEX(tblFacturasRecibidas[Base imponible (€)],$H177)))</f>
        <v/>
      </c>
      <c r="H177" t="str" cm="1">
        <f t="array" ref="H1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GASTOS],tblCategorias[Tipo],"")="Inversión")),ROWS($H$5:H177)),"")</f>
        <v/>
      </c>
    </row>
    <row r="178" spans="1:8" x14ac:dyDescent="0.35">
      <c r="A178" s="1" t="str" cm="1">
        <f t="array" ref="A178">IF($H178="","",INDEX(tblFacturasRecibidas[Fecha factura],$H178))</f>
        <v/>
      </c>
      <c r="B178" t="str" cm="1">
        <f t="array" ref="B178">IF($H178="","",INDEX(tblFacturasRecibidas[Concepto],$H178))</f>
        <v/>
      </c>
      <c r="C178" t="str" cm="1">
        <f t="array" ref="C178">IF($H178="","",INDEX(tblFacturasRecibidas[Proveedor],$H178))</f>
        <v/>
      </c>
      <c r="D178" t="str" cm="1">
        <f t="array" ref="D178">IF($H178="","",INDEX(tblFacturasRecibidas[Categoría],$H178))</f>
        <v/>
      </c>
      <c r="E178" s="2" t="str" cm="1">
        <f t="array" ref="E178">IF($H178="","",INDEX(tblFacturasRecibidas[Base imponible (€)],$H178))</f>
        <v/>
      </c>
      <c r="F178" s="2" t="str" cm="1">
        <f t="array" ref="F178">IF($H178="","",IFERROR(INDEX(tblFacturasRecibidas[IVA (€)],$H178),0))</f>
        <v/>
      </c>
      <c r="G178" s="2" t="str" cm="1">
        <f t="array" ref="G178">IF($H178="","",IFERROR(INDEX(tblFacturasRecibidas[Total (€)],$H178),INDEX(tblFacturasRecibidas[Base imponible (€)],$H178)))</f>
        <v/>
      </c>
      <c r="H178" t="str" cm="1">
        <f t="array" ref="H1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GASTOS],tblCategorias[Tipo],"")="Inversión")),ROWS($H$5:H178)),"")</f>
        <v/>
      </c>
    </row>
    <row r="179" spans="1:8" x14ac:dyDescent="0.35">
      <c r="A179" s="1" t="str" cm="1">
        <f t="array" ref="A179">IF($H179="","",INDEX(tblFacturasRecibidas[Fecha factura],$H179))</f>
        <v/>
      </c>
      <c r="B179" t="str" cm="1">
        <f t="array" ref="B179">IF($H179="","",INDEX(tblFacturasRecibidas[Concepto],$H179))</f>
        <v/>
      </c>
      <c r="C179" t="str" cm="1">
        <f t="array" ref="C179">IF($H179="","",INDEX(tblFacturasRecibidas[Proveedor],$H179))</f>
        <v/>
      </c>
      <c r="D179" t="str" cm="1">
        <f t="array" ref="D179">IF($H179="","",INDEX(tblFacturasRecibidas[Categoría],$H179))</f>
        <v/>
      </c>
      <c r="E179" s="2" t="str" cm="1">
        <f t="array" ref="E179">IF($H179="","",INDEX(tblFacturasRecibidas[Base imponible (€)],$H179))</f>
        <v/>
      </c>
      <c r="F179" s="2" t="str" cm="1">
        <f t="array" ref="F179">IF($H179="","",IFERROR(INDEX(tblFacturasRecibidas[IVA (€)],$H179),0))</f>
        <v/>
      </c>
      <c r="G179" s="2" t="str" cm="1">
        <f t="array" ref="G179">IF($H179="","",IFERROR(INDEX(tblFacturasRecibidas[Total (€)],$H179),INDEX(tblFacturasRecibidas[Base imponible (€)],$H179)))</f>
        <v/>
      </c>
      <c r="H179" t="str" cm="1">
        <f t="array" ref="H1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GASTOS],tblCategorias[Tipo],"")="Inversión")),ROWS($H$5:H179)),"")</f>
        <v/>
      </c>
    </row>
    <row r="180" spans="1:8" x14ac:dyDescent="0.35">
      <c r="A180" s="1" t="str" cm="1">
        <f t="array" ref="A180">IF($H180="","",INDEX(tblFacturasRecibidas[Fecha factura],$H180))</f>
        <v/>
      </c>
      <c r="B180" t="str" cm="1">
        <f t="array" ref="B180">IF($H180="","",INDEX(tblFacturasRecibidas[Concepto],$H180))</f>
        <v/>
      </c>
      <c r="C180" t="str" cm="1">
        <f t="array" ref="C180">IF($H180="","",INDEX(tblFacturasRecibidas[Proveedor],$H180))</f>
        <v/>
      </c>
      <c r="D180" t="str" cm="1">
        <f t="array" ref="D180">IF($H180="","",INDEX(tblFacturasRecibidas[Categoría],$H180))</f>
        <v/>
      </c>
      <c r="E180" s="2" t="str" cm="1">
        <f t="array" ref="E180">IF($H180="","",INDEX(tblFacturasRecibidas[Base imponible (€)],$H180))</f>
        <v/>
      </c>
      <c r="F180" s="2" t="str" cm="1">
        <f t="array" ref="F180">IF($H180="","",IFERROR(INDEX(tblFacturasRecibidas[IVA (€)],$H180),0))</f>
        <v/>
      </c>
      <c r="G180" s="2" t="str" cm="1">
        <f t="array" ref="G180">IF($H180="","",IFERROR(INDEX(tblFacturasRecibidas[Total (€)],$H180),INDEX(tblFacturasRecibidas[Base imponible (€)],$H180)))</f>
        <v/>
      </c>
      <c r="H180" t="str" cm="1">
        <f t="array" ref="H1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GASTOS],tblCategorias[Tipo],"")="Inversión")),ROWS($H$5:H180)),"")</f>
        <v/>
      </c>
    </row>
    <row r="181" spans="1:8" x14ac:dyDescent="0.35">
      <c r="A181" s="1" t="str" cm="1">
        <f t="array" ref="A181">IF($H181="","",INDEX(tblFacturasRecibidas[Fecha factura],$H181))</f>
        <v/>
      </c>
      <c r="B181" t="str" cm="1">
        <f t="array" ref="B181">IF($H181="","",INDEX(tblFacturasRecibidas[Concepto],$H181))</f>
        <v/>
      </c>
      <c r="C181" t="str" cm="1">
        <f t="array" ref="C181">IF($H181="","",INDEX(tblFacturasRecibidas[Proveedor],$H181))</f>
        <v/>
      </c>
      <c r="D181" t="str" cm="1">
        <f t="array" ref="D181">IF($H181="","",INDEX(tblFacturasRecibidas[Categoría],$H181))</f>
        <v/>
      </c>
      <c r="E181" s="2" t="str" cm="1">
        <f t="array" ref="E181">IF($H181="","",INDEX(tblFacturasRecibidas[Base imponible (€)],$H181))</f>
        <v/>
      </c>
      <c r="F181" s="2" t="str" cm="1">
        <f t="array" ref="F181">IF($H181="","",IFERROR(INDEX(tblFacturasRecibidas[IVA (€)],$H181),0))</f>
        <v/>
      </c>
      <c r="G181" s="2" t="str" cm="1">
        <f t="array" ref="G181">IF($H181="","",IFERROR(INDEX(tblFacturasRecibidas[Total (€)],$H181),INDEX(tblFacturasRecibidas[Base imponible (€)],$H181)))</f>
        <v/>
      </c>
      <c r="H181" t="str" cm="1">
        <f t="array" ref="H1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GASTOS],tblCategorias[Tipo],"")="Inversión")),ROWS($H$5:H181)),"")</f>
        <v/>
      </c>
    </row>
    <row r="182" spans="1:8" x14ac:dyDescent="0.35">
      <c r="A182" s="1" t="str" cm="1">
        <f t="array" ref="A182">IF($H182="","",INDEX(tblFacturasRecibidas[Fecha factura],$H182))</f>
        <v/>
      </c>
      <c r="B182" t="str" cm="1">
        <f t="array" ref="B182">IF($H182="","",INDEX(tblFacturasRecibidas[Concepto],$H182))</f>
        <v/>
      </c>
      <c r="C182" t="str" cm="1">
        <f t="array" ref="C182">IF($H182="","",INDEX(tblFacturasRecibidas[Proveedor],$H182))</f>
        <v/>
      </c>
      <c r="D182" t="str" cm="1">
        <f t="array" ref="D182">IF($H182="","",INDEX(tblFacturasRecibidas[Categoría],$H182))</f>
        <v/>
      </c>
      <c r="E182" s="2" t="str" cm="1">
        <f t="array" ref="E182">IF($H182="","",INDEX(tblFacturasRecibidas[Base imponible (€)],$H182))</f>
        <v/>
      </c>
      <c r="F182" s="2" t="str" cm="1">
        <f t="array" ref="F182">IF($H182="","",IFERROR(INDEX(tblFacturasRecibidas[IVA (€)],$H182),0))</f>
        <v/>
      </c>
      <c r="G182" s="2" t="str" cm="1">
        <f t="array" ref="G182">IF($H182="","",IFERROR(INDEX(tblFacturasRecibidas[Total (€)],$H182),INDEX(tblFacturasRecibidas[Base imponible (€)],$H182)))</f>
        <v/>
      </c>
      <c r="H182" t="str" cm="1">
        <f t="array" ref="H1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GASTOS],tblCategorias[Tipo],"")="Inversión")),ROWS($H$5:H182)),"")</f>
        <v/>
      </c>
    </row>
    <row r="183" spans="1:8" x14ac:dyDescent="0.35">
      <c r="A183" s="1" t="str" cm="1">
        <f t="array" ref="A183">IF($H183="","",INDEX(tblFacturasRecibidas[Fecha factura],$H183))</f>
        <v/>
      </c>
      <c r="B183" t="str" cm="1">
        <f t="array" ref="B183">IF($H183="","",INDEX(tblFacturasRecibidas[Concepto],$H183))</f>
        <v/>
      </c>
      <c r="C183" t="str" cm="1">
        <f t="array" ref="C183">IF($H183="","",INDEX(tblFacturasRecibidas[Proveedor],$H183))</f>
        <v/>
      </c>
      <c r="D183" t="str" cm="1">
        <f t="array" ref="D183">IF($H183="","",INDEX(tblFacturasRecibidas[Categoría],$H183))</f>
        <v/>
      </c>
      <c r="E183" s="2" t="str" cm="1">
        <f t="array" ref="E183">IF($H183="","",INDEX(tblFacturasRecibidas[Base imponible (€)],$H183))</f>
        <v/>
      </c>
      <c r="F183" s="2" t="str" cm="1">
        <f t="array" ref="F183">IF($H183="","",IFERROR(INDEX(tblFacturasRecibidas[IVA (€)],$H183),0))</f>
        <v/>
      </c>
      <c r="G183" s="2" t="str" cm="1">
        <f t="array" ref="G183">IF($H183="","",IFERROR(INDEX(tblFacturasRecibidas[Total (€)],$H183),INDEX(tblFacturasRecibidas[Base imponible (€)],$H183)))</f>
        <v/>
      </c>
      <c r="H183" t="str" cm="1">
        <f t="array" ref="H1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GASTOS],tblCategorias[Tipo],"")="Inversión")),ROWS($H$5:H183)),"")</f>
        <v/>
      </c>
    </row>
    <row r="184" spans="1:8" x14ac:dyDescent="0.35">
      <c r="A184" s="1" t="str" cm="1">
        <f t="array" ref="A184">IF($H184="","",INDEX(tblFacturasRecibidas[Fecha factura],$H184))</f>
        <v/>
      </c>
      <c r="B184" t="str" cm="1">
        <f t="array" ref="B184">IF($H184="","",INDEX(tblFacturasRecibidas[Concepto],$H184))</f>
        <v/>
      </c>
      <c r="C184" t="str" cm="1">
        <f t="array" ref="C184">IF($H184="","",INDEX(tblFacturasRecibidas[Proveedor],$H184))</f>
        <v/>
      </c>
      <c r="D184" t="str" cm="1">
        <f t="array" ref="D184">IF($H184="","",INDEX(tblFacturasRecibidas[Categoría],$H184))</f>
        <v/>
      </c>
      <c r="E184" s="2" t="str" cm="1">
        <f t="array" ref="E184">IF($H184="","",INDEX(tblFacturasRecibidas[Base imponible (€)],$H184))</f>
        <v/>
      </c>
      <c r="F184" s="2" t="str" cm="1">
        <f t="array" ref="F184">IF($H184="","",IFERROR(INDEX(tblFacturasRecibidas[IVA (€)],$H184),0))</f>
        <v/>
      </c>
      <c r="G184" s="2" t="str" cm="1">
        <f t="array" ref="G184">IF($H184="","",IFERROR(INDEX(tblFacturasRecibidas[Total (€)],$H184),INDEX(tblFacturasRecibidas[Base imponible (€)],$H184)))</f>
        <v/>
      </c>
      <c r="H184" t="str" cm="1">
        <f t="array" ref="H1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GASTOS],tblCategorias[Tipo],"")="Inversión")),ROWS($H$5:H184)),"")</f>
        <v/>
      </c>
    </row>
    <row r="185" spans="1:8" x14ac:dyDescent="0.35">
      <c r="A185" s="1" t="str" cm="1">
        <f t="array" ref="A185">IF($H185="","",INDEX(tblFacturasRecibidas[Fecha factura],$H185))</f>
        <v/>
      </c>
      <c r="B185" t="str" cm="1">
        <f t="array" ref="B185">IF($H185="","",INDEX(tblFacturasRecibidas[Concepto],$H185))</f>
        <v/>
      </c>
      <c r="C185" t="str" cm="1">
        <f t="array" ref="C185">IF($H185="","",INDEX(tblFacturasRecibidas[Proveedor],$H185))</f>
        <v/>
      </c>
      <c r="D185" t="str" cm="1">
        <f t="array" ref="D185">IF($H185="","",INDEX(tblFacturasRecibidas[Categoría],$H185))</f>
        <v/>
      </c>
      <c r="E185" s="2" t="str" cm="1">
        <f t="array" ref="E185">IF($H185="","",INDEX(tblFacturasRecibidas[Base imponible (€)],$H185))</f>
        <v/>
      </c>
      <c r="F185" s="2" t="str" cm="1">
        <f t="array" ref="F185">IF($H185="","",IFERROR(INDEX(tblFacturasRecibidas[IVA (€)],$H185),0))</f>
        <v/>
      </c>
      <c r="G185" s="2" t="str" cm="1">
        <f t="array" ref="G185">IF($H185="","",IFERROR(INDEX(tblFacturasRecibidas[Total (€)],$H185),INDEX(tblFacturasRecibidas[Base imponible (€)],$H185)))</f>
        <v/>
      </c>
      <c r="H185" t="str" cm="1">
        <f t="array" ref="H1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GASTOS],tblCategorias[Tipo],"")="Inversión")),ROWS($H$5:H185)),"")</f>
        <v/>
      </c>
    </row>
    <row r="186" spans="1:8" x14ac:dyDescent="0.35">
      <c r="A186" s="1" t="str" cm="1">
        <f t="array" ref="A186">IF($H186="","",INDEX(tblFacturasRecibidas[Fecha factura],$H186))</f>
        <v/>
      </c>
      <c r="B186" t="str" cm="1">
        <f t="array" ref="B186">IF($H186="","",INDEX(tblFacturasRecibidas[Concepto],$H186))</f>
        <v/>
      </c>
      <c r="C186" t="str" cm="1">
        <f t="array" ref="C186">IF($H186="","",INDEX(tblFacturasRecibidas[Proveedor],$H186))</f>
        <v/>
      </c>
      <c r="D186" t="str" cm="1">
        <f t="array" ref="D186">IF($H186="","",INDEX(tblFacturasRecibidas[Categoría],$H186))</f>
        <v/>
      </c>
      <c r="E186" s="2" t="str" cm="1">
        <f t="array" ref="E186">IF($H186="","",INDEX(tblFacturasRecibidas[Base imponible (€)],$H186))</f>
        <v/>
      </c>
      <c r="F186" s="2" t="str" cm="1">
        <f t="array" ref="F186">IF($H186="","",IFERROR(INDEX(tblFacturasRecibidas[IVA (€)],$H186),0))</f>
        <v/>
      </c>
      <c r="G186" s="2" t="str" cm="1">
        <f t="array" ref="G186">IF($H186="","",IFERROR(INDEX(tblFacturasRecibidas[Total (€)],$H186),INDEX(tblFacturasRecibidas[Base imponible (€)],$H186)))</f>
        <v/>
      </c>
      <c r="H186" t="str" cm="1">
        <f t="array" ref="H1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GASTOS],tblCategorias[Tipo],"")="Inversión")),ROWS($H$5:H186)),"")</f>
        <v/>
      </c>
    </row>
    <row r="187" spans="1:8" x14ac:dyDescent="0.35">
      <c r="A187" s="1" t="str" cm="1">
        <f t="array" ref="A187">IF($H187="","",INDEX(tblFacturasRecibidas[Fecha factura],$H187))</f>
        <v/>
      </c>
      <c r="B187" t="str" cm="1">
        <f t="array" ref="B187">IF($H187="","",INDEX(tblFacturasRecibidas[Concepto],$H187))</f>
        <v/>
      </c>
      <c r="C187" t="str" cm="1">
        <f t="array" ref="C187">IF($H187="","",INDEX(tblFacturasRecibidas[Proveedor],$H187))</f>
        <v/>
      </c>
      <c r="D187" t="str" cm="1">
        <f t="array" ref="D187">IF($H187="","",INDEX(tblFacturasRecibidas[Categoría],$H187))</f>
        <v/>
      </c>
      <c r="E187" s="2" t="str" cm="1">
        <f t="array" ref="E187">IF($H187="","",INDEX(tblFacturasRecibidas[Base imponible (€)],$H187))</f>
        <v/>
      </c>
      <c r="F187" s="2" t="str" cm="1">
        <f t="array" ref="F187">IF($H187="","",IFERROR(INDEX(tblFacturasRecibidas[IVA (€)],$H187),0))</f>
        <v/>
      </c>
      <c r="G187" s="2" t="str" cm="1">
        <f t="array" ref="G187">IF($H187="","",IFERROR(INDEX(tblFacturasRecibidas[Total (€)],$H187),INDEX(tblFacturasRecibidas[Base imponible (€)],$H187)))</f>
        <v/>
      </c>
      <c r="H187" t="str" cm="1">
        <f t="array" ref="H1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GASTOS],tblCategorias[Tipo],"")="Inversión")),ROWS($H$5:H187)),"")</f>
        <v/>
      </c>
    </row>
    <row r="188" spans="1:8" x14ac:dyDescent="0.35">
      <c r="A188" s="1" t="str" cm="1">
        <f t="array" ref="A188">IF($H188="","",INDEX(tblFacturasRecibidas[Fecha factura],$H188))</f>
        <v/>
      </c>
      <c r="B188" t="str" cm="1">
        <f t="array" ref="B188">IF($H188="","",INDEX(tblFacturasRecibidas[Concepto],$H188))</f>
        <v/>
      </c>
      <c r="C188" t="str" cm="1">
        <f t="array" ref="C188">IF($H188="","",INDEX(tblFacturasRecibidas[Proveedor],$H188))</f>
        <v/>
      </c>
      <c r="D188" t="str" cm="1">
        <f t="array" ref="D188">IF($H188="","",INDEX(tblFacturasRecibidas[Categoría],$H188))</f>
        <v/>
      </c>
      <c r="E188" s="2" t="str" cm="1">
        <f t="array" ref="E188">IF($H188="","",INDEX(tblFacturasRecibidas[Base imponible (€)],$H188))</f>
        <v/>
      </c>
      <c r="F188" s="2" t="str" cm="1">
        <f t="array" ref="F188">IF($H188="","",IFERROR(INDEX(tblFacturasRecibidas[IVA (€)],$H188),0))</f>
        <v/>
      </c>
      <c r="G188" s="2" t="str" cm="1">
        <f t="array" ref="G188">IF($H188="","",IFERROR(INDEX(tblFacturasRecibidas[Total (€)],$H188),INDEX(tblFacturasRecibidas[Base imponible (€)],$H188)))</f>
        <v/>
      </c>
      <c r="H188" t="str" cm="1">
        <f t="array" ref="H1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GASTOS],tblCategorias[Tipo],"")="Inversión")),ROWS($H$5:H188)),"")</f>
        <v/>
      </c>
    </row>
    <row r="189" spans="1:8" x14ac:dyDescent="0.35">
      <c r="A189" s="1" t="str" cm="1">
        <f t="array" ref="A189">IF($H189="","",INDEX(tblFacturasRecibidas[Fecha factura],$H189))</f>
        <v/>
      </c>
      <c r="B189" t="str" cm="1">
        <f t="array" ref="B189">IF($H189="","",INDEX(tblFacturasRecibidas[Concepto],$H189))</f>
        <v/>
      </c>
      <c r="C189" t="str" cm="1">
        <f t="array" ref="C189">IF($H189="","",INDEX(tblFacturasRecibidas[Proveedor],$H189))</f>
        <v/>
      </c>
      <c r="D189" t="str" cm="1">
        <f t="array" ref="D189">IF($H189="","",INDEX(tblFacturasRecibidas[Categoría],$H189))</f>
        <v/>
      </c>
      <c r="E189" s="2" t="str" cm="1">
        <f t="array" ref="E189">IF($H189="","",INDEX(tblFacturasRecibidas[Base imponible (€)],$H189))</f>
        <v/>
      </c>
      <c r="F189" s="2" t="str" cm="1">
        <f t="array" ref="F189">IF($H189="","",IFERROR(INDEX(tblFacturasRecibidas[IVA (€)],$H189),0))</f>
        <v/>
      </c>
      <c r="G189" s="2" t="str" cm="1">
        <f t="array" ref="G189">IF($H189="","",IFERROR(INDEX(tblFacturasRecibidas[Total (€)],$H189),INDEX(tblFacturasRecibidas[Base imponible (€)],$H189)))</f>
        <v/>
      </c>
      <c r="H189" t="str" cm="1">
        <f t="array" ref="H1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GASTOS],tblCategorias[Tipo],"")="Inversión")),ROWS($H$5:H189)),"")</f>
        <v/>
      </c>
    </row>
    <row r="190" spans="1:8" x14ac:dyDescent="0.35">
      <c r="A190" s="1" t="str" cm="1">
        <f t="array" ref="A190">IF($H190="","",INDEX(tblFacturasRecibidas[Fecha factura],$H190))</f>
        <v/>
      </c>
      <c r="B190" t="str" cm="1">
        <f t="array" ref="B190">IF($H190="","",INDEX(tblFacturasRecibidas[Concepto],$H190))</f>
        <v/>
      </c>
      <c r="C190" t="str" cm="1">
        <f t="array" ref="C190">IF($H190="","",INDEX(tblFacturasRecibidas[Proveedor],$H190))</f>
        <v/>
      </c>
      <c r="D190" t="str" cm="1">
        <f t="array" ref="D190">IF($H190="","",INDEX(tblFacturasRecibidas[Categoría],$H190))</f>
        <v/>
      </c>
      <c r="E190" s="2" t="str" cm="1">
        <f t="array" ref="E190">IF($H190="","",INDEX(tblFacturasRecibidas[Base imponible (€)],$H190))</f>
        <v/>
      </c>
      <c r="F190" s="2" t="str" cm="1">
        <f t="array" ref="F190">IF($H190="","",IFERROR(INDEX(tblFacturasRecibidas[IVA (€)],$H190),0))</f>
        <v/>
      </c>
      <c r="G190" s="2" t="str" cm="1">
        <f t="array" ref="G190">IF($H190="","",IFERROR(INDEX(tblFacturasRecibidas[Total (€)],$H190),INDEX(tblFacturasRecibidas[Base imponible (€)],$H190)))</f>
        <v/>
      </c>
      <c r="H190" t="str" cm="1">
        <f t="array" ref="H1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GASTOS],tblCategorias[Tipo],"")="Inversión")),ROWS($H$5:H190)),"")</f>
        <v/>
      </c>
    </row>
    <row r="191" spans="1:8" x14ac:dyDescent="0.35">
      <c r="A191" s="1" t="str" cm="1">
        <f t="array" ref="A191">IF($H191="","",INDEX(tblFacturasRecibidas[Fecha factura],$H191))</f>
        <v/>
      </c>
      <c r="B191" t="str" cm="1">
        <f t="array" ref="B191">IF($H191="","",INDEX(tblFacturasRecibidas[Concepto],$H191))</f>
        <v/>
      </c>
      <c r="C191" t="str" cm="1">
        <f t="array" ref="C191">IF($H191="","",INDEX(tblFacturasRecibidas[Proveedor],$H191))</f>
        <v/>
      </c>
      <c r="D191" t="str" cm="1">
        <f t="array" ref="D191">IF($H191="","",INDEX(tblFacturasRecibidas[Categoría],$H191))</f>
        <v/>
      </c>
      <c r="E191" s="2" t="str" cm="1">
        <f t="array" ref="E191">IF($H191="","",INDEX(tblFacturasRecibidas[Base imponible (€)],$H191))</f>
        <v/>
      </c>
      <c r="F191" s="2" t="str" cm="1">
        <f t="array" ref="F191">IF($H191="","",IFERROR(INDEX(tblFacturasRecibidas[IVA (€)],$H191),0))</f>
        <v/>
      </c>
      <c r="G191" s="2" t="str" cm="1">
        <f t="array" ref="G191">IF($H191="","",IFERROR(INDEX(tblFacturasRecibidas[Total (€)],$H191),INDEX(tblFacturasRecibidas[Base imponible (€)],$H191)))</f>
        <v/>
      </c>
      <c r="H191" t="str" cm="1">
        <f t="array" ref="H1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GASTOS],tblCategorias[Tipo],"")="Inversión")),ROWS($H$5:H191)),"")</f>
        <v/>
      </c>
    </row>
    <row r="192" spans="1:8" x14ac:dyDescent="0.35">
      <c r="A192" s="1" t="str" cm="1">
        <f t="array" ref="A192">IF($H192="","",INDEX(tblFacturasRecibidas[Fecha factura],$H192))</f>
        <v/>
      </c>
      <c r="B192" t="str" cm="1">
        <f t="array" ref="B192">IF($H192="","",INDEX(tblFacturasRecibidas[Concepto],$H192))</f>
        <v/>
      </c>
      <c r="C192" t="str" cm="1">
        <f t="array" ref="C192">IF($H192="","",INDEX(tblFacturasRecibidas[Proveedor],$H192))</f>
        <v/>
      </c>
      <c r="D192" t="str" cm="1">
        <f t="array" ref="D192">IF($H192="","",INDEX(tblFacturasRecibidas[Categoría],$H192))</f>
        <v/>
      </c>
      <c r="E192" s="2" t="str" cm="1">
        <f t="array" ref="E192">IF($H192="","",INDEX(tblFacturasRecibidas[Base imponible (€)],$H192))</f>
        <v/>
      </c>
      <c r="F192" s="2" t="str" cm="1">
        <f t="array" ref="F192">IF($H192="","",IFERROR(INDEX(tblFacturasRecibidas[IVA (€)],$H192),0))</f>
        <v/>
      </c>
      <c r="G192" s="2" t="str" cm="1">
        <f t="array" ref="G192">IF($H192="","",IFERROR(INDEX(tblFacturasRecibidas[Total (€)],$H192),INDEX(tblFacturasRecibidas[Base imponible (€)],$H192)))</f>
        <v/>
      </c>
      <c r="H192" t="str" cm="1">
        <f t="array" ref="H1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GASTOS],tblCategorias[Tipo],"")="Inversión")),ROWS($H$5:H192)),"")</f>
        <v/>
      </c>
    </row>
    <row r="193" spans="1:8" x14ac:dyDescent="0.35">
      <c r="A193" s="1" t="str" cm="1">
        <f t="array" ref="A193">IF($H193="","",INDEX(tblFacturasRecibidas[Fecha factura],$H193))</f>
        <v/>
      </c>
      <c r="B193" t="str" cm="1">
        <f t="array" ref="B193">IF($H193="","",INDEX(tblFacturasRecibidas[Concepto],$H193))</f>
        <v/>
      </c>
      <c r="C193" t="str" cm="1">
        <f t="array" ref="C193">IF($H193="","",INDEX(tblFacturasRecibidas[Proveedor],$H193))</f>
        <v/>
      </c>
      <c r="D193" t="str" cm="1">
        <f t="array" ref="D193">IF($H193="","",INDEX(tblFacturasRecibidas[Categoría],$H193))</f>
        <v/>
      </c>
      <c r="E193" s="2" t="str" cm="1">
        <f t="array" ref="E193">IF($H193="","",INDEX(tblFacturasRecibidas[Base imponible (€)],$H193))</f>
        <v/>
      </c>
      <c r="F193" s="2" t="str" cm="1">
        <f t="array" ref="F193">IF($H193="","",IFERROR(INDEX(tblFacturasRecibidas[IVA (€)],$H193),0))</f>
        <v/>
      </c>
      <c r="G193" s="2" t="str" cm="1">
        <f t="array" ref="G193">IF($H193="","",IFERROR(INDEX(tblFacturasRecibidas[Total (€)],$H193),INDEX(tblFacturasRecibidas[Base imponible (€)],$H193)))</f>
        <v/>
      </c>
      <c r="H193" t="str" cm="1">
        <f t="array" ref="H1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GASTOS],tblCategorias[Tipo],"")="Inversión")),ROWS($H$5:H193)),"")</f>
        <v/>
      </c>
    </row>
    <row r="194" spans="1:8" x14ac:dyDescent="0.35">
      <c r="A194" s="1" t="str" cm="1">
        <f t="array" ref="A194">IF($H194="","",INDEX(tblFacturasRecibidas[Fecha factura],$H194))</f>
        <v/>
      </c>
      <c r="B194" t="str" cm="1">
        <f t="array" ref="B194">IF($H194="","",INDEX(tblFacturasRecibidas[Concepto],$H194))</f>
        <v/>
      </c>
      <c r="C194" t="str" cm="1">
        <f t="array" ref="C194">IF($H194="","",INDEX(tblFacturasRecibidas[Proveedor],$H194))</f>
        <v/>
      </c>
      <c r="D194" t="str" cm="1">
        <f t="array" ref="D194">IF($H194="","",INDEX(tblFacturasRecibidas[Categoría],$H194))</f>
        <v/>
      </c>
      <c r="E194" s="2" t="str" cm="1">
        <f t="array" ref="E194">IF($H194="","",INDEX(tblFacturasRecibidas[Base imponible (€)],$H194))</f>
        <v/>
      </c>
      <c r="F194" s="2" t="str" cm="1">
        <f t="array" ref="F194">IF($H194="","",IFERROR(INDEX(tblFacturasRecibidas[IVA (€)],$H194),0))</f>
        <v/>
      </c>
      <c r="G194" s="2" t="str" cm="1">
        <f t="array" ref="G194">IF($H194="","",IFERROR(INDEX(tblFacturasRecibidas[Total (€)],$H194),INDEX(tblFacturasRecibidas[Base imponible (€)],$H194)))</f>
        <v/>
      </c>
      <c r="H194" t="str" cm="1">
        <f t="array" ref="H1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GASTOS],tblCategorias[Tipo],"")="Inversión")),ROWS($H$5:H194)),"")</f>
        <v/>
      </c>
    </row>
    <row r="195" spans="1:8" x14ac:dyDescent="0.35">
      <c r="A195" s="1" t="str" cm="1">
        <f t="array" ref="A195">IF($H195="","",INDEX(tblFacturasRecibidas[Fecha factura],$H195))</f>
        <v/>
      </c>
      <c r="B195" t="str" cm="1">
        <f t="array" ref="B195">IF($H195="","",INDEX(tblFacturasRecibidas[Concepto],$H195))</f>
        <v/>
      </c>
      <c r="C195" t="str" cm="1">
        <f t="array" ref="C195">IF($H195="","",INDEX(tblFacturasRecibidas[Proveedor],$H195))</f>
        <v/>
      </c>
      <c r="D195" t="str" cm="1">
        <f t="array" ref="D195">IF($H195="","",INDEX(tblFacturasRecibidas[Categoría],$H195))</f>
        <v/>
      </c>
      <c r="E195" s="2" t="str" cm="1">
        <f t="array" ref="E195">IF($H195="","",INDEX(tblFacturasRecibidas[Base imponible (€)],$H195))</f>
        <v/>
      </c>
      <c r="F195" s="2" t="str" cm="1">
        <f t="array" ref="F195">IF($H195="","",IFERROR(INDEX(tblFacturasRecibidas[IVA (€)],$H195),0))</f>
        <v/>
      </c>
      <c r="G195" s="2" t="str" cm="1">
        <f t="array" ref="G195">IF($H195="","",IFERROR(INDEX(tblFacturasRecibidas[Total (€)],$H195),INDEX(tblFacturasRecibidas[Base imponible (€)],$H195)))</f>
        <v/>
      </c>
      <c r="H195" t="str" cm="1">
        <f t="array" ref="H1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GASTOS],tblCategorias[Tipo],"")="Inversión")),ROWS($H$5:H195)),"")</f>
        <v/>
      </c>
    </row>
    <row r="196" spans="1:8" x14ac:dyDescent="0.35">
      <c r="A196" s="1" t="str" cm="1">
        <f t="array" ref="A196">IF($H196="","",INDEX(tblFacturasRecibidas[Fecha factura],$H196))</f>
        <v/>
      </c>
      <c r="B196" t="str" cm="1">
        <f t="array" ref="B196">IF($H196="","",INDEX(tblFacturasRecibidas[Concepto],$H196))</f>
        <v/>
      </c>
      <c r="C196" t="str" cm="1">
        <f t="array" ref="C196">IF($H196="","",INDEX(tblFacturasRecibidas[Proveedor],$H196))</f>
        <v/>
      </c>
      <c r="D196" t="str" cm="1">
        <f t="array" ref="D196">IF($H196="","",INDEX(tblFacturasRecibidas[Categoría],$H196))</f>
        <v/>
      </c>
      <c r="E196" s="2" t="str" cm="1">
        <f t="array" ref="E196">IF($H196="","",INDEX(tblFacturasRecibidas[Base imponible (€)],$H196))</f>
        <v/>
      </c>
      <c r="F196" s="2" t="str" cm="1">
        <f t="array" ref="F196">IF($H196="","",IFERROR(INDEX(tblFacturasRecibidas[IVA (€)],$H196),0))</f>
        <v/>
      </c>
      <c r="G196" s="2" t="str" cm="1">
        <f t="array" ref="G196">IF($H196="","",IFERROR(INDEX(tblFacturasRecibidas[Total (€)],$H196),INDEX(tblFacturasRecibidas[Base imponible (€)],$H196)))</f>
        <v/>
      </c>
      <c r="H196" t="str" cm="1">
        <f t="array" ref="H1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GASTOS],tblCategorias[Tipo],"")="Inversión")),ROWS($H$5:H196)),"")</f>
        <v/>
      </c>
    </row>
    <row r="197" spans="1:8" x14ac:dyDescent="0.35">
      <c r="A197" s="1" t="str" cm="1">
        <f t="array" ref="A197">IF($H197="","",INDEX(tblFacturasRecibidas[Fecha factura],$H197))</f>
        <v/>
      </c>
      <c r="B197" t="str" cm="1">
        <f t="array" ref="B197">IF($H197="","",INDEX(tblFacturasRecibidas[Concepto],$H197))</f>
        <v/>
      </c>
      <c r="C197" t="str" cm="1">
        <f t="array" ref="C197">IF($H197="","",INDEX(tblFacturasRecibidas[Proveedor],$H197))</f>
        <v/>
      </c>
      <c r="D197" t="str" cm="1">
        <f t="array" ref="D197">IF($H197="","",INDEX(tblFacturasRecibidas[Categoría],$H197))</f>
        <v/>
      </c>
      <c r="E197" s="2" t="str" cm="1">
        <f t="array" ref="E197">IF($H197="","",INDEX(tblFacturasRecibidas[Base imponible (€)],$H197))</f>
        <v/>
      </c>
      <c r="F197" s="2" t="str" cm="1">
        <f t="array" ref="F197">IF($H197="","",IFERROR(INDEX(tblFacturasRecibidas[IVA (€)],$H197),0))</f>
        <v/>
      </c>
      <c r="G197" s="2" t="str" cm="1">
        <f t="array" ref="G197">IF($H197="","",IFERROR(INDEX(tblFacturasRecibidas[Total (€)],$H197),INDEX(tblFacturasRecibidas[Base imponible (€)],$H197)))</f>
        <v/>
      </c>
      <c r="H197" t="str" cm="1">
        <f t="array" ref="H1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GASTOS],tblCategorias[Tipo],"")="Inversión")),ROWS($H$5:H197)),"")</f>
        <v/>
      </c>
    </row>
    <row r="198" spans="1:8" x14ac:dyDescent="0.35">
      <c r="A198" s="1" t="str" cm="1">
        <f t="array" ref="A198">IF($H198="","",INDEX(tblFacturasRecibidas[Fecha factura],$H198))</f>
        <v/>
      </c>
      <c r="B198" t="str" cm="1">
        <f t="array" ref="B198">IF($H198="","",INDEX(tblFacturasRecibidas[Concepto],$H198))</f>
        <v/>
      </c>
      <c r="C198" t="str" cm="1">
        <f t="array" ref="C198">IF($H198="","",INDEX(tblFacturasRecibidas[Proveedor],$H198))</f>
        <v/>
      </c>
      <c r="D198" t="str" cm="1">
        <f t="array" ref="D198">IF($H198="","",INDEX(tblFacturasRecibidas[Categoría],$H198))</f>
        <v/>
      </c>
      <c r="F198" s="2" t="str" cm="1">
        <f t="array" ref="F198">IF($H198="","",IFERROR(INDEX(tblFacturasRecibidas[IVA (€)],$H198),0))</f>
        <v/>
      </c>
      <c r="G198" s="2" t="str" cm="1">
        <f t="array" ref="G198">IF($H198="","",IFERROR(INDEX(tblFacturasRecibidas[Total (€)],$H198),INDEX(tblFacturasRecibidas[Base imponible (€)],$H198)))</f>
        <v/>
      </c>
      <c r="H198" t="str" cm="1">
        <f t="array" ref="H1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GASTOS],tblCategorias[Tipo],"")="Inversión")),ROWS($H$5:H198)),"")</f>
        <v/>
      </c>
    </row>
    <row r="199" spans="1:8" x14ac:dyDescent="0.35">
      <c r="A199" s="1" t="str" cm="1">
        <f t="array" ref="A199">IF($H199="","",INDEX(tblFacturasRecibidas[Fecha factura],$H199))</f>
        <v/>
      </c>
      <c r="B199" t="str" cm="1">
        <f t="array" ref="B199">IF($H199="","",INDEX(tblFacturasRecibidas[Concepto],$H199))</f>
        <v/>
      </c>
      <c r="C199" t="str" cm="1">
        <f t="array" ref="C199">IF($H199="","",INDEX(tblFacturasRecibidas[Proveedor],$H199))</f>
        <v/>
      </c>
      <c r="D199" t="str" cm="1">
        <f t="array" ref="D199">IF($H199="","",INDEX(tblFacturasRecibidas[Categoría],$H199))</f>
        <v/>
      </c>
      <c r="F199" s="2" t="str" cm="1">
        <f t="array" ref="F199">IF($H199="","",IFERROR(INDEX(tblFacturasRecibidas[IVA (€)],$H199),0))</f>
        <v/>
      </c>
      <c r="G199" s="2" t="str" cm="1">
        <f t="array" ref="G199">IF($H199="","",IFERROR(INDEX(tblFacturasRecibidas[Total (€)],$H199),INDEX(tblFacturasRecibidas[Base imponible (€)],$H199)))</f>
        <v/>
      </c>
      <c r="H199" t="str" cm="1">
        <f t="array" ref="H1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GASTOS],tblCategorias[Tipo],"")="Inversión")),ROWS($H$5:H199)),"")</f>
        <v/>
      </c>
    </row>
    <row r="200" spans="1:8" x14ac:dyDescent="0.35">
      <c r="A200" s="1" t="str" cm="1">
        <f t="array" ref="A200">IF($H200="","",INDEX(tblFacturasRecibidas[Fecha factura],$H200))</f>
        <v/>
      </c>
      <c r="B200" t="str" cm="1">
        <f t="array" ref="B200">IF($H200="","",INDEX(tblFacturasRecibidas[Concepto],$H200))</f>
        <v/>
      </c>
      <c r="C200" t="str" cm="1">
        <f t="array" ref="C200">IF($H200="","",INDEX(tblFacturasRecibidas[Proveedor],$H200))</f>
        <v/>
      </c>
      <c r="D200" t="str" cm="1">
        <f t="array" ref="D200">IF($H200="","",INDEX(tblFacturasRecibidas[Categoría],$H200))</f>
        <v/>
      </c>
      <c r="F200" s="2" t="str" cm="1">
        <f t="array" ref="F200">IF($H200="","",IFERROR(INDEX(tblFacturasRecibidas[IVA (€)],$H200),0))</f>
        <v/>
      </c>
      <c r="G200" s="2" t="str" cm="1">
        <f t="array" ref="G200">IF($H200="","",IFERROR(INDEX(tblFacturasRecibidas[Total (€)],$H200),INDEX(tblFacturasRecibidas[Base imponible (€)],$H200)))</f>
        <v/>
      </c>
      <c r="H200" t="str" cm="1">
        <f t="array" ref="H2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GASTOS],tblCategorias[Tipo],"")="Inversión")),ROWS($H$5:H200)),"")</f>
        <v/>
      </c>
    </row>
    <row r="201" spans="1:8" x14ac:dyDescent="0.35">
      <c r="A201" s="1" t="str" cm="1">
        <f t="array" ref="A201">IF($H201="","",INDEX(tblFacturasRecibidas[Fecha factura],$H201))</f>
        <v/>
      </c>
      <c r="B201" t="str" cm="1">
        <f t="array" ref="B201">IF($H201="","",INDEX(tblFacturasRecibidas[Concepto],$H201))</f>
        <v/>
      </c>
      <c r="C201" t="str" cm="1">
        <f t="array" ref="C201">IF($H201="","",INDEX(tblFacturasRecibidas[Proveedor],$H201))</f>
        <v/>
      </c>
      <c r="D201" t="str" cm="1">
        <f t="array" ref="D201">IF($H201="","",INDEX(tblFacturasRecibidas[Categoría],$H201))</f>
        <v/>
      </c>
      <c r="F201" s="2" t="str" cm="1">
        <f t="array" ref="F201">IF($H201="","",IFERROR(INDEX(tblFacturasRecibidas[IVA (€)],$H201),0))</f>
        <v/>
      </c>
      <c r="G201" s="2" t="str" cm="1">
        <f t="array" ref="G201">IF($H201="","",IFERROR(INDEX(tblFacturasRecibidas[Total (€)],$H201),INDEX(tblFacturasRecibidas[Base imponible (€)],$H201)))</f>
        <v/>
      </c>
      <c r="H201" t="str" cm="1">
        <f t="array" ref="H2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GASTOS],tblCategorias[Tipo],"")="Inversión")),ROWS($H$5:H201)),"")</f>
        <v/>
      </c>
    </row>
    <row r="202" spans="1:8" x14ac:dyDescent="0.35">
      <c r="A202" s="1" t="str" cm="1">
        <f t="array" ref="A202">IF($H202="","",INDEX(tblFacturasRecibidas[Fecha factura],$H202))</f>
        <v/>
      </c>
      <c r="B202" t="str" cm="1">
        <f t="array" ref="B202">IF($H202="","",INDEX(tblFacturasRecibidas[Concepto],$H202))</f>
        <v/>
      </c>
      <c r="C202" t="str" cm="1">
        <f t="array" ref="C202">IF($H202="","",INDEX(tblFacturasRecibidas[Proveedor],$H202))</f>
        <v/>
      </c>
      <c r="D202" t="str" cm="1">
        <f t="array" ref="D202">IF($H202="","",INDEX(tblFacturasRecibidas[Categoría],$H202))</f>
        <v/>
      </c>
      <c r="F202" s="2" t="str" cm="1">
        <f t="array" ref="F202">IF($H202="","",IFERROR(INDEX(tblFacturasRecibidas[IVA (€)],$H202),0))</f>
        <v/>
      </c>
      <c r="G202" s="2" t="str" cm="1">
        <f t="array" ref="G202">IF($H202="","",IFERROR(INDEX(tblFacturasRecibidas[Total (€)],$H202),INDEX(tblFacturasRecibidas[Base imponible (€)],$H202)))</f>
        <v/>
      </c>
      <c r="H202" t="str" cm="1">
        <f t="array" ref="H2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GASTOS],tblCategorias[Tipo],"")="Inversión")),ROWS($H$5:H202)),"")</f>
        <v/>
      </c>
    </row>
    <row r="203" spans="1:8" x14ac:dyDescent="0.35">
      <c r="A203" s="1" t="str" cm="1">
        <f t="array" ref="A203">IF($H203="","",INDEX(tblFacturasRecibidas[Fecha factura],$H203))</f>
        <v/>
      </c>
      <c r="B203" t="str" cm="1">
        <f t="array" ref="B203">IF($H203="","",INDEX(tblFacturasRecibidas[Concepto],$H203))</f>
        <v/>
      </c>
      <c r="C203" t="str" cm="1">
        <f t="array" ref="C203">IF($H203="","",INDEX(tblFacturasRecibidas[Proveedor],$H203))</f>
        <v/>
      </c>
      <c r="D203" t="str" cm="1">
        <f t="array" ref="D203">IF($H203="","",INDEX(tblFacturasRecibidas[Categoría],$H203))</f>
        <v/>
      </c>
      <c r="F203" s="2" t="str" cm="1">
        <f t="array" ref="F203">IF($H203="","",IFERROR(INDEX(tblFacturasRecibidas[IVA (€)],$H203),0))</f>
        <v/>
      </c>
      <c r="G203" s="2" t="str" cm="1">
        <f t="array" ref="G203">IF($H203="","",IFERROR(INDEX(tblFacturasRecibidas[Total (€)],$H203),INDEX(tblFacturasRecibidas[Base imponible (€)],$H203)))</f>
        <v/>
      </c>
      <c r="H203" t="str" cm="1">
        <f t="array" ref="H2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GASTOS],tblCategorias[Tipo],"")="Inversión")),ROWS($H$5:H203)),"")</f>
        <v/>
      </c>
    </row>
    <row r="204" spans="1:8" x14ac:dyDescent="0.35">
      <c r="A204" s="1" t="str" cm="1">
        <f t="array" ref="A204">IF($H204="","",INDEX(tblFacturasRecibidas[Fecha factura],$H204))</f>
        <v/>
      </c>
      <c r="B204" t="str" cm="1">
        <f t="array" ref="B204">IF($H204="","",INDEX(tblFacturasRecibidas[Concepto],$H204))</f>
        <v/>
      </c>
      <c r="C204" t="str" cm="1">
        <f t="array" ref="C204">IF($H204="","",INDEX(tblFacturasRecibidas[Proveedor],$H204))</f>
        <v/>
      </c>
      <c r="D204" t="str" cm="1">
        <f t="array" ref="D204">IF($H204="","",INDEX(tblFacturasRecibidas[Categoría],$H204))</f>
        <v/>
      </c>
      <c r="F204" s="2" t="str" cm="1">
        <f t="array" ref="F204">IF($H204="","",IFERROR(INDEX(tblFacturasRecibidas[IVA (€)],$H204),0))</f>
        <v/>
      </c>
      <c r="G204" s="2" t="str" cm="1">
        <f t="array" ref="G204">IF($H204="","",IFERROR(INDEX(tblFacturasRecibidas[Total (€)],$H204),INDEX(tblFacturasRecibidas[Base imponible (€)],$H204)))</f>
        <v/>
      </c>
      <c r="H204" t="str" cm="1">
        <f t="array" ref="H2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GASTOS],tblCategorias[Tipo],"")="Inversión")),ROWS($H$5:H204)),"")</f>
        <v/>
      </c>
    </row>
    <row r="205" spans="1:8" x14ac:dyDescent="0.35">
      <c r="A205" s="1" t="str" cm="1">
        <f t="array" ref="A205">IF($H205="","",INDEX(tblFacturasRecibidas[Fecha factura],$H205))</f>
        <v/>
      </c>
      <c r="B205" t="str" cm="1">
        <f t="array" ref="B205">IF($H205="","",INDEX(tblFacturasRecibidas[Concepto],$H205))</f>
        <v/>
      </c>
      <c r="C205" t="str" cm="1">
        <f t="array" ref="C205">IF($H205="","",INDEX(tblFacturasRecibidas[Proveedor],$H205))</f>
        <v/>
      </c>
      <c r="D205" t="str" cm="1">
        <f t="array" ref="D205">IF($H205="","",INDEX(tblFacturasRecibidas[Categoría],$H205))</f>
        <v/>
      </c>
      <c r="F205" s="2" t="str" cm="1">
        <f t="array" ref="F205">IF($H205="","",IFERROR(INDEX(tblFacturasRecibidas[IVA (€)],$H205),0))</f>
        <v/>
      </c>
      <c r="G205" s="2" t="str" cm="1">
        <f t="array" ref="G205">IF($H205="","",IFERROR(INDEX(tblFacturasRecibidas[Total (€)],$H205),INDEX(tblFacturasRecibidas[Base imponible (€)],$H205)))</f>
        <v/>
      </c>
      <c r="H205" t="str" cm="1">
        <f t="array" ref="H2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GASTOS],tblCategorias[Tipo],"")="Inversión")),ROWS($H$5:H205)),"")</f>
        <v/>
      </c>
    </row>
    <row r="206" spans="1:8" x14ac:dyDescent="0.35">
      <c r="A206" s="1" t="str" cm="1">
        <f t="array" ref="A206">IF($H206="","",INDEX(tblFacturasRecibidas[Fecha factura],$H206))</f>
        <v/>
      </c>
      <c r="B206" t="str" cm="1">
        <f t="array" ref="B206">IF($H206="","",INDEX(tblFacturasRecibidas[Concepto],$H206))</f>
        <v/>
      </c>
      <c r="C206" t="str" cm="1">
        <f t="array" ref="C206">IF($H206="","",INDEX(tblFacturasRecibidas[Proveedor],$H206))</f>
        <v/>
      </c>
      <c r="D206" t="str" cm="1">
        <f t="array" ref="D206">IF($H206="","",INDEX(tblFacturasRecibidas[Categoría],$H206))</f>
        <v/>
      </c>
      <c r="F206" s="2" t="str" cm="1">
        <f t="array" ref="F206">IF($H206="","",IFERROR(INDEX(tblFacturasRecibidas[IVA (€)],$H206),0))</f>
        <v/>
      </c>
      <c r="G206" s="2" t="str" cm="1">
        <f t="array" ref="G206">IF($H206="","",IFERROR(INDEX(tblFacturasRecibidas[Total (€)],$H206),INDEX(tblFacturasRecibidas[Base imponible (€)],$H206)))</f>
        <v/>
      </c>
      <c r="H206" t="str" cm="1">
        <f t="array" ref="H2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GASTOS],tblCategorias[Tipo],"")="Inversión")),ROWS($H$5:H206)),"")</f>
        <v/>
      </c>
    </row>
    <row r="207" spans="1:8" x14ac:dyDescent="0.35">
      <c r="A207" s="1" t="str" cm="1">
        <f t="array" ref="A207">IF($H207="","",INDEX(tblFacturasRecibidas[Fecha factura],$H207))</f>
        <v/>
      </c>
      <c r="B207" t="str" cm="1">
        <f t="array" ref="B207">IF($H207="","",INDEX(tblFacturasRecibidas[Concepto],$H207))</f>
        <v/>
      </c>
      <c r="C207" t="str" cm="1">
        <f t="array" ref="C207">IF($H207="","",INDEX(tblFacturasRecibidas[Proveedor],$H207))</f>
        <v/>
      </c>
      <c r="D207" t="str" cm="1">
        <f t="array" ref="D207">IF($H207="","",INDEX(tblFacturasRecibidas[Categoría],$H207))</f>
        <v/>
      </c>
      <c r="F207" s="2" t="str" cm="1">
        <f t="array" ref="F207">IF($H207="","",IFERROR(INDEX(tblFacturasRecibidas[IVA (€)],$H207),0))</f>
        <v/>
      </c>
      <c r="G207" s="2" t="str" cm="1">
        <f t="array" ref="G207">IF($H207="","",IFERROR(INDEX(tblFacturasRecibidas[Total (€)],$H207),INDEX(tblFacturasRecibidas[Base imponible (€)],$H207)))</f>
        <v/>
      </c>
      <c r="H207" t="str" cm="1">
        <f t="array" ref="H2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GASTOS],tblCategorias[Tipo],"")="Inversión")),ROWS($H$5:H207)),"")</f>
        <v/>
      </c>
    </row>
    <row r="208" spans="1:8" x14ac:dyDescent="0.35">
      <c r="A208" s="1" t="str" cm="1">
        <f t="array" ref="A208">IF($H208="","",INDEX(tblFacturasRecibidas[Fecha factura],$H208))</f>
        <v/>
      </c>
      <c r="B208" t="str" cm="1">
        <f t="array" ref="B208">IF($H208="","",INDEX(tblFacturasRecibidas[Concepto],$H208))</f>
        <v/>
      </c>
      <c r="C208" t="str" cm="1">
        <f t="array" ref="C208">IF($H208="","",INDEX(tblFacturasRecibidas[Proveedor],$H208))</f>
        <v/>
      </c>
      <c r="D208" t="str" cm="1">
        <f t="array" ref="D208">IF($H208="","",INDEX(tblFacturasRecibidas[Categoría],$H208))</f>
        <v/>
      </c>
      <c r="F208" s="2" t="str" cm="1">
        <f t="array" ref="F208">IF($H208="","",IFERROR(INDEX(tblFacturasRecibidas[IVA (€)],$H208),0))</f>
        <v/>
      </c>
      <c r="G208" s="2" t="str" cm="1">
        <f t="array" ref="G208">IF($H208="","",IFERROR(INDEX(tblFacturasRecibidas[Total (€)],$H208),INDEX(tblFacturasRecibidas[Base imponible (€)],$H208)))</f>
        <v/>
      </c>
      <c r="H208" t="str" cm="1">
        <f t="array" ref="H2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GASTOS],tblCategorias[Tipo],"")="Inversión")),ROWS($H$5:H208)),"")</f>
        <v/>
      </c>
    </row>
    <row r="209" spans="1:8" x14ac:dyDescent="0.35">
      <c r="A209" s="1" t="str" cm="1">
        <f t="array" ref="A209">IF($H209="","",INDEX(tblFacturasRecibidas[Fecha factura],$H209))</f>
        <v/>
      </c>
      <c r="B209" t="str" cm="1">
        <f t="array" ref="B209">IF($H209="","",INDEX(tblFacturasRecibidas[Concepto],$H209))</f>
        <v/>
      </c>
      <c r="C209" t="str" cm="1">
        <f t="array" ref="C209">IF($H209="","",INDEX(tblFacturasRecibidas[Proveedor],$H209))</f>
        <v/>
      </c>
      <c r="D209" t="str" cm="1">
        <f t="array" ref="D209">IF($H209="","",INDEX(tblFacturasRecibidas[Categoría],$H209))</f>
        <v/>
      </c>
      <c r="F209" s="2" t="str" cm="1">
        <f t="array" ref="F209">IF($H209="","",IFERROR(INDEX(tblFacturasRecibidas[IVA (€)],$H209),0))</f>
        <v/>
      </c>
      <c r="G209" s="2" t="str" cm="1">
        <f t="array" ref="G209">IF($H209="","",IFERROR(INDEX(tblFacturasRecibidas[Total (€)],$H209),INDEX(tblFacturasRecibidas[Base imponible (€)],$H209)))</f>
        <v/>
      </c>
      <c r="H209" t="str" cm="1">
        <f t="array" ref="H2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GASTOS],tblCategorias[Tipo],"")="Inversión")),ROWS($H$5:H209)),"")</f>
        <v/>
      </c>
    </row>
    <row r="210" spans="1:8" x14ac:dyDescent="0.35">
      <c r="A210" s="1" t="str" cm="1">
        <f t="array" ref="A210">IF($H210="","",INDEX(tblFacturasRecibidas[Fecha factura],$H210))</f>
        <v/>
      </c>
      <c r="B210" t="str" cm="1">
        <f t="array" ref="B210">IF($H210="","",INDEX(tblFacturasRecibidas[Concepto],$H210))</f>
        <v/>
      </c>
      <c r="C210" t="str" cm="1">
        <f t="array" ref="C210">IF($H210="","",INDEX(tblFacturasRecibidas[Proveedor],$H210))</f>
        <v/>
      </c>
      <c r="D210" t="str" cm="1">
        <f t="array" ref="D210">IF($H210="","",INDEX(tblFacturasRecibidas[Categoría],$H210))</f>
        <v/>
      </c>
      <c r="F210" s="2" t="str" cm="1">
        <f t="array" ref="F210">IF($H210="","",IFERROR(INDEX(tblFacturasRecibidas[IVA (€)],$H210),0))</f>
        <v/>
      </c>
      <c r="G210" s="2" t="str" cm="1">
        <f t="array" ref="G210">IF($H210="","",IFERROR(INDEX(tblFacturasRecibidas[Total (€)],$H210),INDEX(tblFacturasRecibidas[Base imponible (€)],$H210)))</f>
        <v/>
      </c>
      <c r="H210" t="str" cm="1">
        <f t="array" ref="H2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GASTOS],tblCategorias[Tipo],"")="Inversión")),ROWS($H$5:H210)),"")</f>
        <v/>
      </c>
    </row>
    <row r="211" spans="1:8" x14ac:dyDescent="0.35">
      <c r="A211" s="1" t="str" cm="1">
        <f t="array" ref="A211">IF($H211="","",INDEX(tblFacturasRecibidas[Fecha factura],$H211))</f>
        <v/>
      </c>
      <c r="B211" t="str" cm="1">
        <f t="array" ref="B211">IF($H211="","",INDEX(tblFacturasRecibidas[Concepto],$H211))</f>
        <v/>
      </c>
      <c r="C211" t="str" cm="1">
        <f t="array" ref="C211">IF($H211="","",INDEX(tblFacturasRecibidas[Proveedor],$H211))</f>
        <v/>
      </c>
      <c r="D211" t="str" cm="1">
        <f t="array" ref="D211">IF($H211="","",INDEX(tblFacturasRecibidas[Categoría],$H211))</f>
        <v/>
      </c>
      <c r="F211" s="2" t="str" cm="1">
        <f t="array" ref="F211">IF($H211="","",IFERROR(INDEX(tblFacturasRecibidas[IVA (€)],$H211),0))</f>
        <v/>
      </c>
      <c r="G211" s="2" t="str" cm="1">
        <f t="array" ref="G211">IF($H211="","",IFERROR(INDEX(tblFacturasRecibidas[Total (€)],$H211),INDEX(tblFacturasRecibidas[Base imponible (€)],$H211)))</f>
        <v/>
      </c>
      <c r="H211" t="str" cm="1">
        <f t="array" ref="H2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GASTOS],tblCategorias[Tipo],"")="Inversión")),ROWS($H$5:H211)),"")</f>
        <v/>
      </c>
    </row>
    <row r="212" spans="1:8" x14ac:dyDescent="0.35">
      <c r="A212" s="1" t="str" cm="1">
        <f t="array" ref="A212">IF($H212="","",INDEX(tblFacturasRecibidas[Fecha factura],$H212))</f>
        <v/>
      </c>
      <c r="B212" t="str" cm="1">
        <f t="array" ref="B212">IF($H212="","",INDEX(tblFacturasRecibidas[Concepto],$H212))</f>
        <v/>
      </c>
      <c r="C212" t="str" cm="1">
        <f t="array" ref="C212">IF($H212="","",INDEX(tblFacturasRecibidas[Proveedor],$H212))</f>
        <v/>
      </c>
      <c r="D212" t="str" cm="1">
        <f t="array" ref="D212">IF($H212="","",INDEX(tblFacturasRecibidas[Categoría],$H212))</f>
        <v/>
      </c>
      <c r="F212" s="2" t="str" cm="1">
        <f t="array" ref="F212">IF($H212="","",IFERROR(INDEX(tblFacturasRecibidas[IVA (€)],$H212),0))</f>
        <v/>
      </c>
      <c r="G212" s="2" t="str" cm="1">
        <f t="array" ref="G212">IF($H212="","",IFERROR(INDEX(tblFacturasRecibidas[Total (€)],$H212),INDEX(tblFacturasRecibidas[Base imponible (€)],$H212)))</f>
        <v/>
      </c>
      <c r="H212" t="str" cm="1">
        <f t="array" ref="H2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GASTOS],tblCategorias[Tipo],"")="Inversión")),ROWS($H$5:H212)),"")</f>
        <v/>
      </c>
    </row>
    <row r="213" spans="1:8" x14ac:dyDescent="0.35">
      <c r="A213" s="1" t="str" cm="1">
        <f t="array" ref="A213">IF($H213="","",INDEX(tblFacturasRecibidas[Fecha factura],$H213))</f>
        <v/>
      </c>
      <c r="B213" t="str" cm="1">
        <f t="array" ref="B213">IF($H213="","",INDEX(tblFacturasRecibidas[Concepto],$H213))</f>
        <v/>
      </c>
      <c r="C213" t="str" cm="1">
        <f t="array" ref="C213">IF($H213="","",INDEX(tblFacturasRecibidas[Proveedor],$H213))</f>
        <v/>
      </c>
      <c r="D213" t="str" cm="1">
        <f t="array" ref="D213">IF($H213="","",INDEX(tblFacturasRecibidas[Categoría],$H213))</f>
        <v/>
      </c>
      <c r="F213" s="2" t="str" cm="1">
        <f t="array" ref="F213">IF($H213="","",IFERROR(INDEX(tblFacturasRecibidas[IVA (€)],$H213),0))</f>
        <v/>
      </c>
      <c r="G213" s="2" t="str" cm="1">
        <f t="array" ref="G213">IF($H213="","",IFERROR(INDEX(tblFacturasRecibidas[Total (€)],$H213),INDEX(tblFacturasRecibidas[Base imponible (€)],$H213)))</f>
        <v/>
      </c>
      <c r="H213" t="str" cm="1">
        <f t="array" ref="H2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GASTOS],tblCategorias[Tipo],"")="Inversión")),ROWS($H$5:H213)),"")</f>
        <v/>
      </c>
    </row>
    <row r="214" spans="1:8" x14ac:dyDescent="0.35">
      <c r="A214" s="1" t="str" cm="1">
        <f t="array" ref="A214">IF($H214="","",INDEX(tblFacturasRecibidas[Fecha factura],$H214))</f>
        <v/>
      </c>
      <c r="B214" t="str" cm="1">
        <f t="array" ref="B214">IF($H214="","",INDEX(tblFacturasRecibidas[Concepto],$H214))</f>
        <v/>
      </c>
      <c r="C214" t="str" cm="1">
        <f t="array" ref="C214">IF($H214="","",INDEX(tblFacturasRecibidas[Proveedor],$H214))</f>
        <v/>
      </c>
      <c r="D214" t="str" cm="1">
        <f t="array" ref="D214">IF($H214="","",INDEX(tblFacturasRecibidas[Categoría],$H214))</f>
        <v/>
      </c>
      <c r="F214" s="2" t="str" cm="1">
        <f t="array" ref="F214">IF($H214="","",IFERROR(INDEX(tblFacturasRecibidas[IVA (€)],$H214),0))</f>
        <v/>
      </c>
      <c r="G214" s="2" t="str" cm="1">
        <f t="array" ref="G214">IF($H214="","",IFERROR(INDEX(tblFacturasRecibidas[Total (€)],$H214),INDEX(tblFacturasRecibidas[Base imponible (€)],$H214)))</f>
        <v/>
      </c>
      <c r="H214" t="str" cm="1">
        <f t="array" ref="H2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GASTOS],tblCategorias[Tipo],"")="Inversión")),ROWS($H$5:H214)),"")</f>
        <v/>
      </c>
    </row>
    <row r="215" spans="1:8" x14ac:dyDescent="0.35">
      <c r="A215" s="1" t="str" cm="1">
        <f t="array" ref="A215">IF($H215="","",INDEX(tblFacturasRecibidas[Fecha factura],$H215))</f>
        <v/>
      </c>
      <c r="B215" t="str" cm="1">
        <f t="array" ref="B215">IF($H215="","",INDEX(tblFacturasRecibidas[Concepto],$H215))</f>
        <v/>
      </c>
      <c r="C215" t="str" cm="1">
        <f t="array" ref="C215">IF($H215="","",INDEX(tblFacturasRecibidas[Proveedor],$H215))</f>
        <v/>
      </c>
      <c r="D215" t="str" cm="1">
        <f t="array" ref="D215">IF($H215="","",INDEX(tblFacturasRecibidas[Categoría],$H215))</f>
        <v/>
      </c>
      <c r="F215" s="2" t="str" cm="1">
        <f t="array" ref="F215">IF($H215="","",IFERROR(INDEX(tblFacturasRecibidas[IVA (€)],$H215),0))</f>
        <v/>
      </c>
      <c r="G215" s="2" t="str" cm="1">
        <f t="array" ref="G215">IF($H215="","",IFERROR(INDEX(tblFacturasRecibidas[Total (€)],$H215),INDEX(tblFacturasRecibidas[Base imponible (€)],$H215)))</f>
        <v/>
      </c>
      <c r="H215" t="str" cm="1">
        <f t="array" ref="H2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GASTOS],tblCategorias[Tipo],"")="Inversión")),ROWS($H$5:H215)),"")</f>
        <v/>
      </c>
    </row>
    <row r="216" spans="1:8" x14ac:dyDescent="0.35">
      <c r="A216" s="1" t="str" cm="1">
        <f t="array" ref="A216">IF($H216="","",INDEX(tblFacturasRecibidas[Fecha factura],$H216))</f>
        <v/>
      </c>
      <c r="B216" t="str" cm="1">
        <f t="array" ref="B216">IF($H216="","",INDEX(tblFacturasRecibidas[Concepto],$H216))</f>
        <v/>
      </c>
      <c r="C216" t="str" cm="1">
        <f t="array" ref="C216">IF($H216="","",INDEX(tblFacturasRecibidas[Proveedor],$H216))</f>
        <v/>
      </c>
      <c r="D216" t="str" cm="1">
        <f t="array" ref="D216">IF($H216="","",INDEX(tblFacturasRecibidas[Categoría],$H216))</f>
        <v/>
      </c>
      <c r="F216" s="2" t="str" cm="1">
        <f t="array" ref="F216">IF($H216="","",IFERROR(INDEX(tblFacturasRecibidas[IVA (€)],$H216),0))</f>
        <v/>
      </c>
      <c r="G216" s="2" t="str" cm="1">
        <f t="array" ref="G216">IF($H216="","",IFERROR(INDEX(tblFacturasRecibidas[Total (€)],$H216),INDEX(tblFacturasRecibidas[Base imponible (€)],$H216)))</f>
        <v/>
      </c>
      <c r="H216" t="str" cm="1">
        <f t="array" ref="H2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GASTOS],tblCategorias[Tipo],"")="Inversión")),ROWS($H$5:H216)),"")</f>
        <v/>
      </c>
    </row>
    <row r="217" spans="1:8" x14ac:dyDescent="0.35">
      <c r="A217" s="1" t="str" cm="1">
        <f t="array" ref="A217">IF($H217="","",INDEX(tblFacturasRecibidas[Fecha factura],$H217))</f>
        <v/>
      </c>
      <c r="B217" t="str" cm="1">
        <f t="array" ref="B217">IF($H217="","",INDEX(tblFacturasRecibidas[Concepto],$H217))</f>
        <v/>
      </c>
      <c r="C217" t="str" cm="1">
        <f t="array" ref="C217">IF($H217="","",INDEX(tblFacturasRecibidas[Proveedor],$H217))</f>
        <v/>
      </c>
      <c r="D217" t="str" cm="1">
        <f t="array" ref="D217">IF($H217="","",INDEX(tblFacturasRecibidas[Categoría],$H217))</f>
        <v/>
      </c>
      <c r="F217" s="2" t="str" cm="1">
        <f t="array" ref="F217">IF($H217="","",IFERROR(INDEX(tblFacturasRecibidas[IVA (€)],$H217),0))</f>
        <v/>
      </c>
      <c r="G217" s="2" t="str" cm="1">
        <f t="array" ref="G217">IF($H217="","",IFERROR(INDEX(tblFacturasRecibidas[Total (€)],$H217),INDEX(tblFacturasRecibidas[Base imponible (€)],$H217)))</f>
        <v/>
      </c>
      <c r="H217" t="str" cm="1">
        <f t="array" ref="H2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GASTOS],tblCategorias[Tipo],"")="Inversión")),ROWS($H$5:H217)),"")</f>
        <v/>
      </c>
    </row>
    <row r="218" spans="1:8" x14ac:dyDescent="0.35">
      <c r="A218" s="1" t="str" cm="1">
        <f t="array" ref="A218">IF($H218="","",INDEX(tblFacturasRecibidas[Fecha factura],$H218))</f>
        <v/>
      </c>
      <c r="B218" t="str" cm="1">
        <f t="array" ref="B218">IF($H218="","",INDEX(tblFacturasRecibidas[Concepto],$H218))</f>
        <v/>
      </c>
      <c r="C218" t="str" cm="1">
        <f t="array" ref="C218">IF($H218="","",INDEX(tblFacturasRecibidas[Proveedor],$H218))</f>
        <v/>
      </c>
      <c r="D218" t="str" cm="1">
        <f t="array" ref="D218">IF($H218="","",INDEX(tblFacturasRecibidas[Categoría],$H218))</f>
        <v/>
      </c>
      <c r="F218" s="2" t="str" cm="1">
        <f t="array" ref="F218">IF($H218="","",IFERROR(INDEX(tblFacturasRecibidas[IVA (€)],$H218),0))</f>
        <v/>
      </c>
      <c r="G218" s="2" t="str" cm="1">
        <f t="array" ref="G218">IF($H218="","",IFERROR(INDEX(tblFacturasRecibidas[Total (€)],$H218),INDEX(tblFacturasRecibidas[Base imponible (€)],$H218)))</f>
        <v/>
      </c>
      <c r="H218" t="str" cm="1">
        <f t="array" ref="H2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GASTOS],tblCategorias[Tipo],"")="Inversión")),ROWS($H$5:H218)),"")</f>
        <v/>
      </c>
    </row>
    <row r="219" spans="1:8" x14ac:dyDescent="0.35">
      <c r="A219" s="1" t="str" cm="1">
        <f t="array" ref="A219">IF($H219="","",INDEX(tblFacturasRecibidas[Fecha factura],$H219))</f>
        <v/>
      </c>
      <c r="B219" t="str" cm="1">
        <f t="array" ref="B219">IF($H219="","",INDEX(tblFacturasRecibidas[Concepto],$H219))</f>
        <v/>
      </c>
      <c r="C219" t="str" cm="1">
        <f t="array" ref="C219">IF($H219="","",INDEX(tblFacturasRecibidas[Proveedor],$H219))</f>
        <v/>
      </c>
      <c r="D219" t="str" cm="1">
        <f t="array" ref="D219">IF($H219="","",INDEX(tblFacturasRecibidas[Categoría],$H219))</f>
        <v/>
      </c>
      <c r="F219" s="2" t="str" cm="1">
        <f t="array" ref="F219">IF($H219="","",IFERROR(INDEX(tblFacturasRecibidas[IVA (€)],$H219),0))</f>
        <v/>
      </c>
      <c r="G219" s="2" t="str" cm="1">
        <f t="array" ref="G219">IF($H219="","",IFERROR(INDEX(tblFacturasRecibidas[Total (€)],$H219),INDEX(tblFacturasRecibidas[Base imponible (€)],$H219)))</f>
        <v/>
      </c>
      <c r="H219" t="str" cm="1">
        <f t="array" ref="H2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GASTOS],tblCategorias[Tipo],"")="Inversión")),ROWS($H$5:H219)),"")</f>
        <v/>
      </c>
    </row>
    <row r="220" spans="1:8" x14ac:dyDescent="0.35">
      <c r="A220" s="1" t="str" cm="1">
        <f t="array" ref="A220">IF($H220="","",INDEX(tblFacturasRecibidas[Fecha factura],$H220))</f>
        <v/>
      </c>
      <c r="B220" t="str" cm="1">
        <f t="array" ref="B220">IF($H220="","",INDEX(tblFacturasRecibidas[Concepto],$H220))</f>
        <v/>
      </c>
      <c r="C220" t="str" cm="1">
        <f t="array" ref="C220">IF($H220="","",INDEX(tblFacturasRecibidas[Proveedor],$H220))</f>
        <v/>
      </c>
      <c r="D220" t="str" cm="1">
        <f t="array" ref="D220">IF($H220="","",INDEX(tblFacturasRecibidas[Categoría],$H220))</f>
        <v/>
      </c>
      <c r="F220" s="2" t="str" cm="1">
        <f t="array" ref="F220">IF($H220="","",IFERROR(INDEX(tblFacturasRecibidas[IVA (€)],$H220),0))</f>
        <v/>
      </c>
      <c r="G220" s="2" t="str" cm="1">
        <f t="array" ref="G220">IF($H220="","",IFERROR(INDEX(tblFacturasRecibidas[Total (€)],$H220),INDEX(tblFacturasRecibidas[Base imponible (€)],$H220)))</f>
        <v/>
      </c>
      <c r="H220" t="str" cm="1">
        <f t="array" ref="H2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GASTOS],tblCategorias[Tipo],"")="Inversión")),ROWS($H$5:H220)),"")</f>
        <v/>
      </c>
    </row>
    <row r="221" spans="1:8" x14ac:dyDescent="0.35">
      <c r="A221" s="1" t="str" cm="1">
        <f t="array" ref="A221">IF($H221="","",INDEX(tblFacturasRecibidas[Fecha factura],$H221))</f>
        <v/>
      </c>
      <c r="B221" t="str" cm="1">
        <f t="array" ref="B221">IF($H221="","",INDEX(tblFacturasRecibidas[Concepto],$H221))</f>
        <v/>
      </c>
      <c r="C221" t="str" cm="1">
        <f t="array" ref="C221">IF($H221="","",INDEX(tblFacturasRecibidas[Proveedor],$H221))</f>
        <v/>
      </c>
      <c r="D221" t="str" cm="1">
        <f t="array" ref="D221">IF($H221="","",INDEX(tblFacturasRecibidas[Categoría],$H221))</f>
        <v/>
      </c>
      <c r="F221" s="2" t="str" cm="1">
        <f t="array" ref="F221">IF($H221="","",IFERROR(INDEX(tblFacturasRecibidas[IVA (€)],$H221),0))</f>
        <v/>
      </c>
      <c r="G221" s="2" t="str" cm="1">
        <f t="array" ref="G221">IF($H221="","",IFERROR(INDEX(tblFacturasRecibidas[Total (€)],$H221),INDEX(tblFacturasRecibidas[Base imponible (€)],$H221)))</f>
        <v/>
      </c>
      <c r="H221" t="str" cm="1">
        <f t="array" ref="H2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GASTOS],tblCategorias[Tipo],"")="Inversión")),ROWS($H$5:H221)),"")</f>
        <v/>
      </c>
    </row>
    <row r="222" spans="1:8" x14ac:dyDescent="0.35">
      <c r="A222" s="1" t="str" cm="1">
        <f t="array" ref="A222">IF($H222="","",INDEX(tblFacturasRecibidas[Fecha factura],$H222))</f>
        <v/>
      </c>
      <c r="B222" t="str" cm="1">
        <f t="array" ref="B222">IF($H222="","",INDEX(tblFacturasRecibidas[Concepto],$H222))</f>
        <v/>
      </c>
      <c r="C222" t="str" cm="1">
        <f t="array" ref="C222">IF($H222="","",INDEX(tblFacturasRecibidas[Proveedor],$H222))</f>
        <v/>
      </c>
      <c r="D222" t="str" cm="1">
        <f t="array" ref="D222">IF($H222="","",INDEX(tblFacturasRecibidas[Categoría],$H222))</f>
        <v/>
      </c>
      <c r="F222" s="2" t="str" cm="1">
        <f t="array" ref="F222">IF($H222="","",IFERROR(INDEX(tblFacturasRecibidas[IVA (€)],$H222),0))</f>
        <v/>
      </c>
      <c r="G222" s="2" t="str" cm="1">
        <f t="array" ref="G222">IF($H222="","",IFERROR(INDEX(tblFacturasRecibidas[Total (€)],$H222),INDEX(tblFacturasRecibidas[Base imponible (€)],$H222)))</f>
        <v/>
      </c>
      <c r="H222" t="str" cm="1">
        <f t="array" ref="H2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GASTOS],tblCategorias[Tipo],"")="Inversión")),ROWS($H$5:H222)),"")</f>
        <v/>
      </c>
    </row>
    <row r="223" spans="1:8" x14ac:dyDescent="0.35">
      <c r="A223" s="1" t="str" cm="1">
        <f t="array" ref="A223">IF($H223="","",INDEX(tblFacturasRecibidas[Fecha factura],$H223))</f>
        <v/>
      </c>
      <c r="B223" t="str" cm="1">
        <f t="array" ref="B223">IF($H223="","",INDEX(tblFacturasRecibidas[Concepto],$H223))</f>
        <v/>
      </c>
      <c r="C223" t="str" cm="1">
        <f t="array" ref="C223">IF($H223="","",INDEX(tblFacturasRecibidas[Proveedor],$H223))</f>
        <v/>
      </c>
      <c r="D223" t="str" cm="1">
        <f t="array" ref="D223">IF($H223="","",INDEX(tblFacturasRecibidas[Categoría],$H223))</f>
        <v/>
      </c>
      <c r="F223" s="2" t="str" cm="1">
        <f t="array" ref="F223">IF($H223="","",IFERROR(INDEX(tblFacturasRecibidas[IVA (€)],$H223),0))</f>
        <v/>
      </c>
      <c r="G223" s="2" t="str" cm="1">
        <f t="array" ref="G223">IF($H223="","",IFERROR(INDEX(tblFacturasRecibidas[Total (€)],$H223),INDEX(tblFacturasRecibidas[Base imponible (€)],$H223)))</f>
        <v/>
      </c>
      <c r="H223" t="str" cm="1">
        <f t="array" ref="H2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GASTOS],tblCategorias[Tipo],"")="Inversión")),ROWS($H$5:H223)),"")</f>
        <v/>
      </c>
    </row>
    <row r="224" spans="1:8" x14ac:dyDescent="0.35">
      <c r="A224" s="1" t="str" cm="1">
        <f t="array" ref="A224">IF($H224="","",INDEX(tblFacturasRecibidas[Fecha factura],$H224))</f>
        <v/>
      </c>
      <c r="B224" t="str" cm="1">
        <f t="array" ref="B224">IF($H224="","",INDEX(tblFacturasRecibidas[Concepto],$H224))</f>
        <v/>
      </c>
      <c r="C224" t="str" cm="1">
        <f t="array" ref="C224">IF($H224="","",INDEX(tblFacturasRecibidas[Proveedor],$H224))</f>
        <v/>
      </c>
      <c r="D224" t="str" cm="1">
        <f t="array" ref="D224">IF($H224="","",INDEX(tblFacturasRecibidas[Categoría],$H224))</f>
        <v/>
      </c>
      <c r="F224" s="2" t="str" cm="1">
        <f t="array" ref="F224">IF($H224="","",IFERROR(INDEX(tblFacturasRecibidas[IVA (€)],$H224),0))</f>
        <v/>
      </c>
      <c r="G224" s="2" t="str" cm="1">
        <f t="array" ref="G224">IF($H224="","",IFERROR(INDEX(tblFacturasRecibidas[Total (€)],$H224),INDEX(tblFacturasRecibidas[Base imponible (€)],$H224)))</f>
        <v/>
      </c>
      <c r="H224" t="str" cm="1">
        <f t="array" ref="H2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GASTOS],tblCategorias[Tipo],"")="Inversión")),ROWS($H$5:H224)),"")</f>
        <v/>
      </c>
    </row>
    <row r="225" spans="1:8" x14ac:dyDescent="0.35">
      <c r="A225" s="1" t="str" cm="1">
        <f t="array" ref="A225">IF($H225="","",INDEX(tblFacturasRecibidas[Fecha factura],$H225))</f>
        <v/>
      </c>
      <c r="B225" t="str" cm="1">
        <f t="array" ref="B225">IF($H225="","",INDEX(tblFacturasRecibidas[Concepto],$H225))</f>
        <v/>
      </c>
      <c r="C225" t="str" cm="1">
        <f t="array" ref="C225">IF($H225="","",INDEX(tblFacturasRecibidas[Proveedor],$H225))</f>
        <v/>
      </c>
      <c r="D225" t="str" cm="1">
        <f t="array" ref="D225">IF($H225="","",INDEX(tblFacturasRecibidas[Categoría],$H225))</f>
        <v/>
      </c>
      <c r="F225" s="2" t="str" cm="1">
        <f t="array" ref="F225">IF($H225="","",IFERROR(INDEX(tblFacturasRecibidas[IVA (€)],$H225),0))</f>
        <v/>
      </c>
      <c r="G225" s="2" t="str" cm="1">
        <f t="array" ref="G225">IF($H225="","",IFERROR(INDEX(tblFacturasRecibidas[Total (€)],$H225),INDEX(tblFacturasRecibidas[Base imponible (€)],$H225)))</f>
        <v/>
      </c>
      <c r="H225" t="str" cm="1">
        <f t="array" ref="H2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GASTOS],tblCategorias[Tipo],"")="Inversión")),ROWS($H$5:H225)),"")</f>
        <v/>
      </c>
    </row>
    <row r="226" spans="1:8" x14ac:dyDescent="0.35">
      <c r="A226" s="1" t="str" cm="1">
        <f t="array" ref="A226">IF($H226="","",INDEX(tblFacturasRecibidas[Fecha factura],$H226))</f>
        <v/>
      </c>
      <c r="B226" t="str" cm="1">
        <f t="array" ref="B226">IF($H226="","",INDEX(tblFacturasRecibidas[Concepto],$H226))</f>
        <v/>
      </c>
      <c r="C226" t="str" cm="1">
        <f t="array" ref="C226">IF($H226="","",INDEX(tblFacturasRecibidas[Proveedor],$H226))</f>
        <v/>
      </c>
      <c r="D226" t="str" cm="1">
        <f t="array" ref="D226">IF($H226="","",INDEX(tblFacturasRecibidas[Categoría],$H226))</f>
        <v/>
      </c>
      <c r="F226" s="2" t="str" cm="1">
        <f t="array" ref="F226">IF($H226="","",IFERROR(INDEX(tblFacturasRecibidas[IVA (€)],$H226),0))</f>
        <v/>
      </c>
      <c r="G226" s="2" t="str" cm="1">
        <f t="array" ref="G226">IF($H226="","",IFERROR(INDEX(tblFacturasRecibidas[Total (€)],$H226),INDEX(tblFacturasRecibidas[Base imponible (€)],$H226)))</f>
        <v/>
      </c>
      <c r="H226" t="str" cm="1">
        <f t="array" ref="H2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GASTOS],tblCategorias[Tipo],"")="Inversión")),ROWS($H$5:H226)),"")</f>
        <v/>
      </c>
    </row>
    <row r="227" spans="1:8" x14ac:dyDescent="0.35">
      <c r="A227" s="1" t="str" cm="1">
        <f t="array" ref="A227">IF($H227="","",INDEX(tblFacturasRecibidas[Fecha factura],$H227))</f>
        <v/>
      </c>
      <c r="B227" t="str" cm="1">
        <f t="array" ref="B227">IF($H227="","",INDEX(tblFacturasRecibidas[Concepto],$H227))</f>
        <v/>
      </c>
      <c r="C227" t="str" cm="1">
        <f t="array" ref="C227">IF($H227="","",INDEX(tblFacturasRecibidas[Proveedor],$H227))</f>
        <v/>
      </c>
      <c r="D227" t="str" cm="1">
        <f t="array" ref="D227">IF($H227="","",INDEX(tblFacturasRecibidas[Categoría],$H227))</f>
        <v/>
      </c>
      <c r="F227" s="2" t="str" cm="1">
        <f t="array" ref="F227">IF($H227="","",IFERROR(INDEX(tblFacturasRecibidas[IVA (€)],$H227),0))</f>
        <v/>
      </c>
      <c r="G227" s="2" t="str" cm="1">
        <f t="array" ref="G227">IF($H227="","",IFERROR(INDEX(tblFacturasRecibidas[Total (€)],$H227),INDEX(tblFacturasRecibidas[Base imponible (€)],$H227)))</f>
        <v/>
      </c>
      <c r="H227" t="str" cm="1">
        <f t="array" ref="H2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GASTOS],tblCategorias[Tipo],"")="Inversión")),ROWS($H$5:H227)),"")</f>
        <v/>
      </c>
    </row>
    <row r="228" spans="1:8" x14ac:dyDescent="0.35">
      <c r="A228" s="1" t="str" cm="1">
        <f t="array" ref="A228">IF($H228="","",INDEX(tblFacturasRecibidas[Fecha factura],$H228))</f>
        <v/>
      </c>
      <c r="B228" t="str" cm="1">
        <f t="array" ref="B228">IF($H228="","",INDEX(tblFacturasRecibidas[Concepto],$H228))</f>
        <v/>
      </c>
      <c r="C228" t="str" cm="1">
        <f t="array" ref="C228">IF($H228="","",INDEX(tblFacturasRecibidas[Proveedor],$H228))</f>
        <v/>
      </c>
      <c r="D228" t="str" cm="1">
        <f t="array" ref="D228">IF($H228="","",INDEX(tblFacturasRecibidas[Categoría],$H228))</f>
        <v/>
      </c>
      <c r="F228" s="2" t="str" cm="1">
        <f t="array" ref="F228">IF($H228="","",IFERROR(INDEX(tblFacturasRecibidas[IVA (€)],$H228),0))</f>
        <v/>
      </c>
      <c r="G228" s="2" t="str" cm="1">
        <f t="array" ref="G228">IF($H228="","",IFERROR(INDEX(tblFacturasRecibidas[Total (€)],$H228),INDEX(tblFacturasRecibidas[Base imponible (€)],$H228)))</f>
        <v/>
      </c>
      <c r="H228" t="str" cm="1">
        <f t="array" ref="H2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GASTOS],tblCategorias[Tipo],"")="Inversión")),ROWS($H$5:H228)),"")</f>
        <v/>
      </c>
    </row>
    <row r="229" spans="1:8" x14ac:dyDescent="0.35">
      <c r="A229" s="1" t="str" cm="1">
        <f t="array" ref="A229">IF($H229="","",INDEX(tblFacturasRecibidas[Fecha factura],$H229))</f>
        <v/>
      </c>
      <c r="B229" t="str" cm="1">
        <f t="array" ref="B229">IF($H229="","",INDEX(tblFacturasRecibidas[Concepto],$H229))</f>
        <v/>
      </c>
      <c r="C229" t="str" cm="1">
        <f t="array" ref="C229">IF($H229="","",INDEX(tblFacturasRecibidas[Proveedor],$H229))</f>
        <v/>
      </c>
      <c r="D229" t="str" cm="1">
        <f t="array" ref="D229">IF($H229="","",INDEX(tblFacturasRecibidas[Categoría],$H229))</f>
        <v/>
      </c>
      <c r="F229" s="2" t="str" cm="1">
        <f t="array" ref="F229">IF($H229="","",IFERROR(INDEX(tblFacturasRecibidas[IVA (€)],$H229),0))</f>
        <v/>
      </c>
      <c r="G229" s="2" t="str" cm="1">
        <f t="array" ref="G229">IF($H229="","",IFERROR(INDEX(tblFacturasRecibidas[Total (€)],$H229),INDEX(tblFacturasRecibidas[Base imponible (€)],$H229)))</f>
        <v/>
      </c>
      <c r="H229" t="str" cm="1">
        <f t="array" ref="H2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GASTOS],tblCategorias[Tipo],"")="Inversión")),ROWS($H$5:H229)),"")</f>
        <v/>
      </c>
    </row>
    <row r="230" spans="1:8" x14ac:dyDescent="0.35">
      <c r="A230" s="1" t="str" cm="1">
        <f t="array" ref="A230">IF($H230="","",INDEX(tblFacturasRecibidas[Fecha factura],$H230))</f>
        <v/>
      </c>
      <c r="B230" t="str" cm="1">
        <f t="array" ref="B230">IF($H230="","",INDEX(tblFacturasRecibidas[Concepto],$H230))</f>
        <v/>
      </c>
      <c r="C230" t="str" cm="1">
        <f t="array" ref="C230">IF($H230="","",INDEX(tblFacturasRecibidas[Proveedor],$H230))</f>
        <v/>
      </c>
      <c r="D230" t="str" cm="1">
        <f t="array" ref="D230">IF($H230="","",INDEX(tblFacturasRecibidas[Categoría],$H230))</f>
        <v/>
      </c>
      <c r="F230" s="2" t="str" cm="1">
        <f t="array" ref="F230">IF($H230="","",IFERROR(INDEX(tblFacturasRecibidas[IVA (€)],$H230),0))</f>
        <v/>
      </c>
      <c r="G230" s="2" t="str" cm="1">
        <f t="array" ref="G230">IF($H230="","",IFERROR(INDEX(tblFacturasRecibidas[Total (€)],$H230),INDEX(tblFacturasRecibidas[Base imponible (€)],$H230)))</f>
        <v/>
      </c>
      <c r="H230" t="str" cm="1">
        <f t="array" ref="H2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GASTOS],tblCategorias[Tipo],"")="Inversión")),ROWS($H$5:H230)),"")</f>
        <v/>
      </c>
    </row>
    <row r="231" spans="1:8" x14ac:dyDescent="0.35">
      <c r="A231" s="1" t="str" cm="1">
        <f t="array" ref="A231">IF($H231="","",INDEX(tblFacturasRecibidas[Fecha factura],$H231))</f>
        <v/>
      </c>
      <c r="B231" t="str" cm="1">
        <f t="array" ref="B231">IF($H231="","",INDEX(tblFacturasRecibidas[Concepto],$H231))</f>
        <v/>
      </c>
      <c r="C231" t="str" cm="1">
        <f t="array" ref="C231">IF($H231="","",INDEX(tblFacturasRecibidas[Proveedor],$H231))</f>
        <v/>
      </c>
      <c r="D231" t="str" cm="1">
        <f t="array" ref="D231">IF($H231="","",INDEX(tblFacturasRecibidas[Categoría],$H231))</f>
        <v/>
      </c>
      <c r="F231" s="2" t="str" cm="1">
        <f t="array" ref="F231">IF($H231="","",IFERROR(INDEX(tblFacturasRecibidas[IVA (€)],$H231),0))</f>
        <v/>
      </c>
      <c r="G231" s="2" t="str" cm="1">
        <f t="array" ref="G231">IF($H231="","",IFERROR(INDEX(tblFacturasRecibidas[Total (€)],$H231),INDEX(tblFacturasRecibidas[Base imponible (€)],$H231)))</f>
        <v/>
      </c>
      <c r="H231" t="str" cm="1">
        <f t="array" ref="H2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GASTOS],tblCategorias[Tipo],"")="Inversión")),ROWS($H$5:H231)),"")</f>
        <v/>
      </c>
    </row>
    <row r="232" spans="1:8" x14ac:dyDescent="0.35">
      <c r="A232" s="1" t="str" cm="1">
        <f t="array" ref="A232">IF($H232="","",INDEX(tblFacturasRecibidas[Fecha factura],$H232))</f>
        <v/>
      </c>
      <c r="B232" t="str" cm="1">
        <f t="array" ref="B232">IF($H232="","",INDEX(tblFacturasRecibidas[Concepto],$H232))</f>
        <v/>
      </c>
      <c r="C232" t="str" cm="1">
        <f t="array" ref="C232">IF($H232="","",INDEX(tblFacturasRecibidas[Proveedor],$H232))</f>
        <v/>
      </c>
      <c r="D232" t="str" cm="1">
        <f t="array" ref="D232">IF($H232="","",INDEX(tblFacturasRecibidas[Categoría],$H232))</f>
        <v/>
      </c>
      <c r="F232" s="2" t="str" cm="1">
        <f t="array" ref="F232">IF($H232="","",IFERROR(INDEX(tblFacturasRecibidas[IVA (€)],$H232),0))</f>
        <v/>
      </c>
      <c r="G232" s="2" t="str" cm="1">
        <f t="array" ref="G232">IF($H232="","",IFERROR(INDEX(tblFacturasRecibidas[Total (€)],$H232),INDEX(tblFacturasRecibidas[Base imponible (€)],$H232)))</f>
        <v/>
      </c>
      <c r="H232" t="str" cm="1">
        <f t="array" ref="H2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GASTOS],tblCategorias[Tipo],"")="Inversión")),ROWS($H$5:H232)),"")</f>
        <v/>
      </c>
    </row>
    <row r="233" spans="1:8" x14ac:dyDescent="0.35">
      <c r="A233" s="1" t="str" cm="1">
        <f t="array" ref="A233">IF($H233="","",INDEX(tblFacturasRecibidas[Fecha factura],$H233))</f>
        <v/>
      </c>
      <c r="B233" t="str" cm="1">
        <f t="array" ref="B233">IF($H233="","",INDEX(tblFacturasRecibidas[Concepto],$H233))</f>
        <v/>
      </c>
      <c r="C233" t="str" cm="1">
        <f t="array" ref="C233">IF($H233="","",INDEX(tblFacturasRecibidas[Proveedor],$H233))</f>
        <v/>
      </c>
      <c r="D233" t="str" cm="1">
        <f t="array" ref="D233">IF($H233="","",INDEX(tblFacturasRecibidas[Categoría],$H233))</f>
        <v/>
      </c>
      <c r="F233" s="2" t="str" cm="1">
        <f t="array" ref="F233">IF($H233="","",IFERROR(INDEX(tblFacturasRecibidas[IVA (€)],$H233),0))</f>
        <v/>
      </c>
      <c r="G233" s="2" t="str" cm="1">
        <f t="array" ref="G233">IF($H233="","",IFERROR(INDEX(tblFacturasRecibidas[Total (€)],$H233),INDEX(tblFacturasRecibidas[Base imponible (€)],$H233)))</f>
        <v/>
      </c>
      <c r="H233" t="str" cm="1">
        <f t="array" ref="H2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GASTOS],tblCategorias[Tipo],"")="Inversión")),ROWS($H$5:H233)),"")</f>
        <v/>
      </c>
    </row>
    <row r="234" spans="1:8" x14ac:dyDescent="0.35">
      <c r="A234" s="1" t="str" cm="1">
        <f t="array" ref="A234">IF($H234="","",INDEX(tblFacturasRecibidas[Fecha factura],$H234))</f>
        <v/>
      </c>
      <c r="B234" t="str" cm="1">
        <f t="array" ref="B234">IF($H234="","",INDEX(tblFacturasRecibidas[Concepto],$H234))</f>
        <v/>
      </c>
      <c r="C234" t="str" cm="1">
        <f t="array" ref="C234">IF($H234="","",INDEX(tblFacturasRecibidas[Proveedor],$H234))</f>
        <v/>
      </c>
      <c r="D234" t="str" cm="1">
        <f t="array" ref="D234">IF($H234="","",INDEX(tblFacturasRecibidas[Categoría],$H234))</f>
        <v/>
      </c>
      <c r="F234" s="2" t="str" cm="1">
        <f t="array" ref="F234">IF($H234="","",IFERROR(INDEX(tblFacturasRecibidas[IVA (€)],$H234),0))</f>
        <v/>
      </c>
      <c r="G234" s="2" t="str" cm="1">
        <f t="array" ref="G234">IF($H234="","",IFERROR(INDEX(tblFacturasRecibidas[Total (€)],$H234),INDEX(tblFacturasRecibidas[Base imponible (€)],$H234)))</f>
        <v/>
      </c>
      <c r="H234" t="str" cm="1">
        <f t="array" ref="H2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GASTOS],tblCategorias[Tipo],"")="Inversión")),ROWS($H$5:H234)),"")</f>
        <v/>
      </c>
    </row>
    <row r="235" spans="1:8" x14ac:dyDescent="0.35">
      <c r="A235" s="1" t="str" cm="1">
        <f t="array" ref="A235">IF($H235="","",INDEX(tblFacturasRecibidas[Fecha factura],$H235))</f>
        <v/>
      </c>
      <c r="B235" t="str" cm="1">
        <f t="array" ref="B235">IF($H235="","",INDEX(tblFacturasRecibidas[Concepto],$H235))</f>
        <v/>
      </c>
      <c r="C235" t="str" cm="1">
        <f t="array" ref="C235">IF($H235="","",INDEX(tblFacturasRecibidas[Proveedor],$H235))</f>
        <v/>
      </c>
      <c r="D235" t="str" cm="1">
        <f t="array" ref="D235">IF($H235="","",INDEX(tblFacturasRecibidas[Categoría],$H235))</f>
        <v/>
      </c>
      <c r="F235" s="2" t="str" cm="1">
        <f t="array" ref="F235">IF($H235="","",IFERROR(INDEX(tblFacturasRecibidas[IVA (€)],$H235),0))</f>
        <v/>
      </c>
      <c r="G235" s="2" t="str" cm="1">
        <f t="array" ref="G235">IF($H235="","",IFERROR(INDEX(tblFacturasRecibidas[Total (€)],$H235),INDEX(tblFacturasRecibidas[Base imponible (€)],$H235)))</f>
        <v/>
      </c>
      <c r="H235" t="str" cm="1">
        <f t="array" ref="H2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GASTOS],tblCategorias[Tipo],"")="Inversión")),ROWS($H$5:H235)),"")</f>
        <v/>
      </c>
    </row>
    <row r="236" spans="1:8" x14ac:dyDescent="0.35">
      <c r="A236" s="1" t="str" cm="1">
        <f t="array" ref="A236">IF($H236="","",INDEX(tblFacturasRecibidas[Fecha factura],$H236))</f>
        <v/>
      </c>
      <c r="B236" t="str" cm="1">
        <f t="array" ref="B236">IF($H236="","",INDEX(tblFacturasRecibidas[Concepto],$H236))</f>
        <v/>
      </c>
      <c r="C236" t="str" cm="1">
        <f t="array" ref="C236">IF($H236="","",INDEX(tblFacturasRecibidas[Proveedor],$H236))</f>
        <v/>
      </c>
      <c r="D236" t="str" cm="1">
        <f t="array" ref="D236">IF($H236="","",INDEX(tblFacturasRecibidas[Categoría],$H236))</f>
        <v/>
      </c>
      <c r="F236" s="2" t="str" cm="1">
        <f t="array" ref="F236">IF($H236="","",IFERROR(INDEX(tblFacturasRecibidas[IVA (€)],$H236),0))</f>
        <v/>
      </c>
      <c r="G236" s="2" t="str" cm="1">
        <f t="array" ref="G236">IF($H236="","",IFERROR(INDEX(tblFacturasRecibidas[Total (€)],$H236),INDEX(tblFacturasRecibidas[Base imponible (€)],$H236)))</f>
        <v/>
      </c>
      <c r="H236" t="str" cm="1">
        <f t="array" ref="H2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GASTOS],tblCategorias[Tipo],"")="Inversión")),ROWS($H$5:H236)),"")</f>
        <v/>
      </c>
    </row>
    <row r="237" spans="1:8" x14ac:dyDescent="0.35">
      <c r="A237" s="1" t="str" cm="1">
        <f t="array" ref="A237">IF($H237="","",INDEX(tblFacturasRecibidas[Fecha factura],$H237))</f>
        <v/>
      </c>
      <c r="B237" t="str" cm="1">
        <f t="array" ref="B237">IF($H237="","",INDEX(tblFacturasRecibidas[Concepto],$H237))</f>
        <v/>
      </c>
      <c r="C237" t="str" cm="1">
        <f t="array" ref="C237">IF($H237="","",INDEX(tblFacturasRecibidas[Proveedor],$H237))</f>
        <v/>
      </c>
      <c r="D237" t="str" cm="1">
        <f t="array" ref="D237">IF($H237="","",INDEX(tblFacturasRecibidas[Categoría],$H237))</f>
        <v/>
      </c>
      <c r="F237" s="2" t="str" cm="1">
        <f t="array" ref="F237">IF($H237="","",IFERROR(INDEX(tblFacturasRecibidas[IVA (€)],$H237),0))</f>
        <v/>
      </c>
      <c r="G237" s="2" t="str" cm="1">
        <f t="array" ref="G237">IF($H237="","",IFERROR(INDEX(tblFacturasRecibidas[Total (€)],$H237),INDEX(tblFacturasRecibidas[Base imponible (€)],$H237)))</f>
        <v/>
      </c>
      <c r="H237" t="str" cm="1">
        <f t="array" ref="H2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GASTOS],tblCategorias[Tipo],"")="Inversión")),ROWS($H$5:H237)),"")</f>
        <v/>
      </c>
    </row>
    <row r="238" spans="1:8" x14ac:dyDescent="0.35">
      <c r="A238" s="1" t="str" cm="1">
        <f t="array" ref="A238">IF($H238="","",INDEX(tblFacturasRecibidas[Fecha factura],$H238))</f>
        <v/>
      </c>
      <c r="B238" t="str" cm="1">
        <f t="array" ref="B238">IF($H238="","",INDEX(tblFacturasRecibidas[Concepto],$H238))</f>
        <v/>
      </c>
      <c r="C238" t="str" cm="1">
        <f t="array" ref="C238">IF($H238="","",INDEX(tblFacturasRecibidas[Proveedor],$H238))</f>
        <v/>
      </c>
      <c r="D238" t="str" cm="1">
        <f t="array" ref="D238">IF($H238="","",INDEX(tblFacturasRecibidas[Categoría],$H238))</f>
        <v/>
      </c>
      <c r="F238" s="2" t="str" cm="1">
        <f t="array" ref="F238">IF($H238="","",IFERROR(INDEX(tblFacturasRecibidas[IVA (€)],$H238),0))</f>
        <v/>
      </c>
      <c r="G238" s="2" t="str" cm="1">
        <f t="array" ref="G238">IF($H238="","",IFERROR(INDEX(tblFacturasRecibidas[Total (€)],$H238),INDEX(tblFacturasRecibidas[Base imponible (€)],$H238)))</f>
        <v/>
      </c>
      <c r="H238" t="str" cm="1">
        <f t="array" ref="H2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GASTOS],tblCategorias[Tipo],"")="Inversión")),ROWS($H$5:H238)),"")</f>
        <v/>
      </c>
    </row>
    <row r="239" spans="1:8" x14ac:dyDescent="0.35">
      <c r="A239" s="1" t="str" cm="1">
        <f t="array" ref="A239">IF($H239="","",INDEX(tblFacturasRecibidas[Fecha factura],$H239))</f>
        <v/>
      </c>
      <c r="B239" t="str" cm="1">
        <f t="array" ref="B239">IF($H239="","",INDEX(tblFacturasRecibidas[Concepto],$H239))</f>
        <v/>
      </c>
      <c r="C239" t="str" cm="1">
        <f t="array" ref="C239">IF($H239="","",INDEX(tblFacturasRecibidas[Proveedor],$H239))</f>
        <v/>
      </c>
      <c r="D239" t="str" cm="1">
        <f t="array" ref="D239">IF($H239="","",INDEX(tblFacturasRecibidas[Categoría],$H239))</f>
        <v/>
      </c>
      <c r="F239" s="2" t="str" cm="1">
        <f t="array" ref="F239">IF($H239="","",IFERROR(INDEX(tblFacturasRecibidas[IVA (€)],$H239),0))</f>
        <v/>
      </c>
      <c r="G239" s="2" t="str" cm="1">
        <f t="array" ref="G239">IF($H239="","",IFERROR(INDEX(tblFacturasRecibidas[Total (€)],$H239),INDEX(tblFacturasRecibidas[Base imponible (€)],$H239)))</f>
        <v/>
      </c>
      <c r="H239" t="str" cm="1">
        <f t="array" ref="H2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GASTOS],tblCategorias[Tipo],"")="Inversión")),ROWS($H$5:H239)),"")</f>
        <v/>
      </c>
    </row>
    <row r="240" spans="1:8" x14ac:dyDescent="0.35">
      <c r="A240" s="1" t="str" cm="1">
        <f t="array" ref="A240">IF($H240="","",INDEX(tblFacturasRecibidas[Fecha factura],$H240))</f>
        <v/>
      </c>
      <c r="B240" t="str" cm="1">
        <f t="array" ref="B240">IF($H240="","",INDEX(tblFacturasRecibidas[Concepto],$H240))</f>
        <v/>
      </c>
      <c r="C240" t="str" cm="1">
        <f t="array" ref="C240">IF($H240="","",INDEX(tblFacturasRecibidas[Proveedor],$H240))</f>
        <v/>
      </c>
      <c r="D240" t="str" cm="1">
        <f t="array" ref="D240">IF($H240="","",INDEX(tblFacturasRecibidas[Categoría],$H240))</f>
        <v/>
      </c>
      <c r="F240" s="2" t="str" cm="1">
        <f t="array" ref="F240">IF($H240="","",IFERROR(INDEX(tblFacturasRecibidas[IVA (€)],$H240),0))</f>
        <v/>
      </c>
      <c r="G240" s="2" t="str" cm="1">
        <f t="array" ref="G240">IF($H240="","",IFERROR(INDEX(tblFacturasRecibidas[Total (€)],$H240),INDEX(tblFacturasRecibidas[Base imponible (€)],$H240)))</f>
        <v/>
      </c>
      <c r="H240" t="str" cm="1">
        <f t="array" ref="H2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GASTOS],tblCategorias[Tipo],"")="Inversión")),ROWS($H$5:H240)),"")</f>
        <v/>
      </c>
    </row>
    <row r="241" spans="1:8" x14ac:dyDescent="0.35">
      <c r="A241" s="1" t="str" cm="1">
        <f t="array" ref="A241">IF($H241="","",INDEX(tblFacturasRecibidas[Fecha factura],$H241))</f>
        <v/>
      </c>
      <c r="B241" t="str" cm="1">
        <f t="array" ref="B241">IF($H241="","",INDEX(tblFacturasRecibidas[Concepto],$H241))</f>
        <v/>
      </c>
      <c r="C241" t="str" cm="1">
        <f t="array" ref="C241">IF($H241="","",INDEX(tblFacturasRecibidas[Proveedor],$H241))</f>
        <v/>
      </c>
      <c r="D241" t="str" cm="1">
        <f t="array" ref="D241">IF($H241="","",INDEX(tblFacturasRecibidas[Categoría],$H241))</f>
        <v/>
      </c>
      <c r="F241" s="2" t="str" cm="1">
        <f t="array" ref="F241">IF($H241="","",IFERROR(INDEX(tblFacturasRecibidas[IVA (€)],$H241),0))</f>
        <v/>
      </c>
      <c r="G241" s="2" t="str" cm="1">
        <f t="array" ref="G241">IF($H241="","",IFERROR(INDEX(tblFacturasRecibidas[Total (€)],$H241),INDEX(tblFacturasRecibidas[Base imponible (€)],$H241)))</f>
        <v/>
      </c>
      <c r="H241" t="str" cm="1">
        <f t="array" ref="H2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GASTOS],tblCategorias[Tipo],"")="Inversión")),ROWS($H$5:H241)),"")</f>
        <v/>
      </c>
    </row>
    <row r="242" spans="1:8" x14ac:dyDescent="0.35">
      <c r="A242" s="1" t="str" cm="1">
        <f t="array" ref="A242">IF($H242="","",INDEX(tblFacturasRecibidas[Fecha factura],$H242))</f>
        <v/>
      </c>
      <c r="B242" t="str" cm="1">
        <f t="array" ref="B242">IF($H242="","",INDEX(tblFacturasRecibidas[Concepto],$H242))</f>
        <v/>
      </c>
      <c r="C242" t="str" cm="1">
        <f t="array" ref="C242">IF($H242="","",INDEX(tblFacturasRecibidas[Proveedor],$H242))</f>
        <v/>
      </c>
      <c r="D242" t="str" cm="1">
        <f t="array" ref="D242">IF($H242="","",INDEX(tblFacturasRecibidas[Categoría],$H242))</f>
        <v/>
      </c>
      <c r="F242" s="2" t="str" cm="1">
        <f t="array" ref="F242">IF($H242="","",IFERROR(INDEX(tblFacturasRecibidas[IVA (€)],$H242),0))</f>
        <v/>
      </c>
      <c r="G242" s="2" t="str" cm="1">
        <f t="array" ref="G242">IF($H242="","",IFERROR(INDEX(tblFacturasRecibidas[Total (€)],$H242),INDEX(tblFacturasRecibidas[Base imponible (€)],$H242)))</f>
        <v/>
      </c>
      <c r="H242" t="str" cm="1">
        <f t="array" ref="H2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GASTOS],tblCategorias[Tipo],"")="Inversión")),ROWS($H$5:H242)),"")</f>
        <v/>
      </c>
    </row>
    <row r="243" spans="1:8" x14ac:dyDescent="0.35">
      <c r="A243" s="1" t="str" cm="1">
        <f t="array" ref="A243">IF($H243="","",INDEX(tblFacturasRecibidas[Fecha factura],$H243))</f>
        <v/>
      </c>
      <c r="B243" t="str" cm="1">
        <f t="array" ref="B243">IF($H243="","",INDEX(tblFacturasRecibidas[Concepto],$H243))</f>
        <v/>
      </c>
      <c r="C243" t="str" cm="1">
        <f t="array" ref="C243">IF($H243="","",INDEX(tblFacturasRecibidas[Proveedor],$H243))</f>
        <v/>
      </c>
      <c r="D243" t="str" cm="1">
        <f t="array" ref="D243">IF($H243="","",INDEX(tblFacturasRecibidas[Categoría],$H243))</f>
        <v/>
      </c>
      <c r="F243" s="2" t="str" cm="1">
        <f t="array" ref="F243">IF($H243="","",IFERROR(INDEX(tblFacturasRecibidas[IVA (€)],$H243),0))</f>
        <v/>
      </c>
      <c r="G243" s="2" t="str" cm="1">
        <f t="array" ref="G243">IF($H243="","",IFERROR(INDEX(tblFacturasRecibidas[Total (€)],$H243),INDEX(tblFacturasRecibidas[Base imponible (€)],$H243)))</f>
        <v/>
      </c>
      <c r="H243" t="str" cm="1">
        <f t="array" ref="H2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GASTOS],tblCategorias[Tipo],"")="Inversión")),ROWS($H$5:H243)),"")</f>
        <v/>
      </c>
    </row>
    <row r="244" spans="1:8" x14ac:dyDescent="0.35">
      <c r="A244" s="1" t="str" cm="1">
        <f t="array" ref="A244">IF($H244="","",INDEX(tblFacturasRecibidas[Fecha factura],$H244))</f>
        <v/>
      </c>
      <c r="B244" t="str" cm="1">
        <f t="array" ref="B244">IF($H244="","",INDEX(tblFacturasRecibidas[Concepto],$H244))</f>
        <v/>
      </c>
      <c r="C244" t="str" cm="1">
        <f t="array" ref="C244">IF($H244="","",INDEX(tblFacturasRecibidas[Proveedor],$H244))</f>
        <v/>
      </c>
      <c r="D244" t="str" cm="1">
        <f t="array" ref="D244">IF($H244="","",INDEX(tblFacturasRecibidas[Categoría],$H244))</f>
        <v/>
      </c>
      <c r="F244" s="2" t="str" cm="1">
        <f t="array" ref="F244">IF($H244="","",IFERROR(INDEX(tblFacturasRecibidas[IVA (€)],$H244),0))</f>
        <v/>
      </c>
      <c r="G244" s="2" t="str" cm="1">
        <f t="array" ref="G244">IF($H244="","",IFERROR(INDEX(tblFacturasRecibidas[Total (€)],$H244),INDEX(tblFacturasRecibidas[Base imponible (€)],$H244)))</f>
        <v/>
      </c>
      <c r="H244" t="str" cm="1">
        <f t="array" ref="H2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GASTOS],tblCategorias[Tipo],"")="Inversión")),ROWS($H$5:H244)),"")</f>
        <v/>
      </c>
    </row>
    <row r="245" spans="1:8" x14ac:dyDescent="0.35">
      <c r="A245" s="1" t="str" cm="1">
        <f t="array" ref="A245">IF($H245="","",INDEX(tblFacturasRecibidas[Fecha factura],$H245))</f>
        <v/>
      </c>
      <c r="B245" t="str" cm="1">
        <f t="array" ref="B245">IF($H245="","",INDEX(tblFacturasRecibidas[Concepto],$H245))</f>
        <v/>
      </c>
      <c r="C245" t="str" cm="1">
        <f t="array" ref="C245">IF($H245="","",INDEX(tblFacturasRecibidas[Proveedor],$H245))</f>
        <v/>
      </c>
      <c r="D245" t="str" cm="1">
        <f t="array" ref="D245">IF($H245="","",INDEX(tblFacturasRecibidas[Categoría],$H245))</f>
        <v/>
      </c>
      <c r="F245" s="2" t="str" cm="1">
        <f t="array" ref="F245">IF($H245="","",IFERROR(INDEX(tblFacturasRecibidas[IVA (€)],$H245),0))</f>
        <v/>
      </c>
      <c r="G245" s="2" t="str" cm="1">
        <f t="array" ref="G245">IF($H245="","",IFERROR(INDEX(tblFacturasRecibidas[Total (€)],$H245),INDEX(tblFacturasRecibidas[Base imponible (€)],$H245)))</f>
        <v/>
      </c>
      <c r="H245" t="str" cm="1">
        <f t="array" ref="H2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GASTOS],tblCategorias[Tipo],"")="Inversión")),ROWS($H$5:H245)),"")</f>
        <v/>
      </c>
    </row>
    <row r="246" spans="1:8" x14ac:dyDescent="0.35">
      <c r="A246" s="1" t="str" cm="1">
        <f t="array" ref="A246">IF($H246="","",INDEX(tblFacturasRecibidas[Fecha factura],$H246))</f>
        <v/>
      </c>
      <c r="B246" t="str" cm="1">
        <f t="array" ref="B246">IF($H246="","",INDEX(tblFacturasRecibidas[Concepto],$H246))</f>
        <v/>
      </c>
      <c r="C246" t="str" cm="1">
        <f t="array" ref="C246">IF($H246="","",INDEX(tblFacturasRecibidas[Proveedor],$H246))</f>
        <v/>
      </c>
      <c r="D246" t="str" cm="1">
        <f t="array" ref="D246">IF($H246="","",INDEX(tblFacturasRecibidas[Categoría],$H246))</f>
        <v/>
      </c>
      <c r="F246" s="2" t="str" cm="1">
        <f t="array" ref="F246">IF($H246="","",IFERROR(INDEX(tblFacturasRecibidas[IVA (€)],$H246),0))</f>
        <v/>
      </c>
      <c r="G246" s="2" t="str" cm="1">
        <f t="array" ref="G246">IF($H246="","",IFERROR(INDEX(tblFacturasRecibidas[Total (€)],$H246),INDEX(tblFacturasRecibidas[Base imponible (€)],$H246)))</f>
        <v/>
      </c>
      <c r="H246" t="str" cm="1">
        <f t="array" ref="H2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GASTOS],tblCategorias[Tipo],"")="Inversión")),ROWS($H$5:H246)),"")</f>
        <v/>
      </c>
    </row>
    <row r="247" spans="1:8" x14ac:dyDescent="0.35">
      <c r="A247" s="1" t="str" cm="1">
        <f t="array" ref="A247">IF($H247="","",INDEX(tblFacturasRecibidas[Fecha factura],$H247))</f>
        <v/>
      </c>
      <c r="B247" t="str" cm="1">
        <f t="array" ref="B247">IF($H247="","",INDEX(tblFacturasRecibidas[Concepto],$H247))</f>
        <v/>
      </c>
      <c r="C247" t="str" cm="1">
        <f t="array" ref="C247">IF($H247="","",INDEX(tblFacturasRecibidas[Proveedor],$H247))</f>
        <v/>
      </c>
      <c r="D247" t="str" cm="1">
        <f t="array" ref="D247">IF($H247="","",INDEX(tblFacturasRecibidas[Categoría],$H247))</f>
        <v/>
      </c>
      <c r="F247" s="2" t="str" cm="1">
        <f t="array" ref="F247">IF($H247="","",IFERROR(INDEX(tblFacturasRecibidas[IVA (€)],$H247),0))</f>
        <v/>
      </c>
      <c r="G247" s="2" t="str" cm="1">
        <f t="array" ref="G247">IF($H247="","",IFERROR(INDEX(tblFacturasRecibidas[Total (€)],$H247),INDEX(tblFacturasRecibidas[Base imponible (€)],$H247)))</f>
        <v/>
      </c>
      <c r="H247" t="str" cm="1">
        <f t="array" ref="H2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GASTOS],tblCategorias[Tipo],"")="Inversión")),ROWS($H$5:H247)),"")</f>
        <v/>
      </c>
    </row>
    <row r="248" spans="1:8" x14ac:dyDescent="0.35">
      <c r="A248" s="1" t="str" cm="1">
        <f t="array" ref="A248">IF($H248="","",INDEX(tblFacturasRecibidas[Fecha factura],$H248))</f>
        <v/>
      </c>
      <c r="B248" t="str" cm="1">
        <f t="array" ref="B248">IF($H248="","",INDEX(tblFacturasRecibidas[Concepto],$H248))</f>
        <v/>
      </c>
      <c r="C248" t="str" cm="1">
        <f t="array" ref="C248">IF($H248="","",INDEX(tblFacturasRecibidas[Proveedor],$H248))</f>
        <v/>
      </c>
      <c r="D248" t="str" cm="1">
        <f t="array" ref="D248">IF($H248="","",INDEX(tblFacturasRecibidas[Categoría],$H248))</f>
        <v/>
      </c>
      <c r="F248" s="2" t="str" cm="1">
        <f t="array" ref="F248">IF($H248="","",IFERROR(INDEX(tblFacturasRecibidas[IVA (€)],$H248),0))</f>
        <v/>
      </c>
      <c r="G248" s="2" t="str" cm="1">
        <f t="array" ref="G248">IF($H248="","",IFERROR(INDEX(tblFacturasRecibidas[Total (€)],$H248),INDEX(tblFacturasRecibidas[Base imponible (€)],$H248)))</f>
        <v/>
      </c>
      <c r="H248" t="str" cm="1">
        <f t="array" ref="H2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GASTOS],tblCategorias[Tipo],"")="Inversión")),ROWS($H$5:H248)),"")</f>
        <v/>
      </c>
    </row>
    <row r="249" spans="1:8" x14ac:dyDescent="0.35">
      <c r="A249" s="1" t="str" cm="1">
        <f t="array" ref="A249">IF($H249="","",INDEX(tblFacturasRecibidas[Fecha factura],$H249))</f>
        <v/>
      </c>
      <c r="B249" t="str" cm="1">
        <f t="array" ref="B249">IF($H249="","",INDEX(tblFacturasRecibidas[Concepto],$H249))</f>
        <v/>
      </c>
      <c r="C249" t="str" cm="1">
        <f t="array" ref="C249">IF($H249="","",INDEX(tblFacturasRecibidas[Proveedor],$H249))</f>
        <v/>
      </c>
      <c r="D249" t="str" cm="1">
        <f t="array" ref="D249">IF($H249="","",INDEX(tblFacturasRecibidas[Categoría],$H249))</f>
        <v/>
      </c>
      <c r="F249" s="2" t="str" cm="1">
        <f t="array" ref="F249">IF($H249="","",IFERROR(INDEX(tblFacturasRecibidas[IVA (€)],$H249),0))</f>
        <v/>
      </c>
      <c r="G249" s="2" t="str" cm="1">
        <f t="array" ref="G249">IF($H249="","",IFERROR(INDEX(tblFacturasRecibidas[Total (€)],$H249),INDEX(tblFacturasRecibidas[Base imponible (€)],$H249)))</f>
        <v/>
      </c>
      <c r="H249" t="str" cm="1">
        <f t="array" ref="H2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GASTOS],tblCategorias[Tipo],"")="Inversión")),ROWS($H$5:H249)),"")</f>
        <v/>
      </c>
    </row>
    <row r="250" spans="1:8" x14ac:dyDescent="0.35">
      <c r="A250" s="1" t="str" cm="1">
        <f t="array" ref="A250">IF($H250="","",INDEX(tblFacturasRecibidas[Fecha factura],$H250))</f>
        <v/>
      </c>
      <c r="B250" t="str" cm="1">
        <f t="array" ref="B250">IF($H250="","",INDEX(tblFacturasRecibidas[Concepto],$H250))</f>
        <v/>
      </c>
      <c r="C250" t="str" cm="1">
        <f t="array" ref="C250">IF($H250="","",INDEX(tblFacturasRecibidas[Proveedor],$H250))</f>
        <v/>
      </c>
      <c r="D250" t="str" cm="1">
        <f t="array" ref="D250">IF($H250="","",INDEX(tblFacturasRecibidas[Categoría],$H250))</f>
        <v/>
      </c>
      <c r="F250" s="2" t="str" cm="1">
        <f t="array" ref="F250">IF($H250="","",IFERROR(INDEX(tblFacturasRecibidas[IVA (€)],$H250),0))</f>
        <v/>
      </c>
      <c r="G250" s="2" t="str" cm="1">
        <f t="array" ref="G250">IF($H250="","",IFERROR(INDEX(tblFacturasRecibidas[Total (€)],$H250),INDEX(tblFacturasRecibidas[Base imponible (€)],$H250)))</f>
        <v/>
      </c>
      <c r="H250" t="str" cm="1">
        <f t="array" ref="H2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GASTOS],tblCategorias[Tipo],"")="Inversión")),ROWS($H$5:H250)),"")</f>
        <v/>
      </c>
    </row>
    <row r="251" spans="1:8" x14ac:dyDescent="0.35">
      <c r="A251" s="1" t="str" cm="1">
        <f t="array" ref="A251">IF($H251="","",INDEX(tblFacturasRecibidas[Fecha factura],$H251))</f>
        <v/>
      </c>
      <c r="B251" t="str" cm="1">
        <f t="array" ref="B251">IF($H251="","",INDEX(tblFacturasRecibidas[Concepto],$H251))</f>
        <v/>
      </c>
      <c r="C251" t="str" cm="1">
        <f t="array" ref="C251">IF($H251="","",INDEX(tblFacturasRecibidas[Proveedor],$H251))</f>
        <v/>
      </c>
      <c r="D251" t="str" cm="1">
        <f t="array" ref="D251">IF($H251="","",INDEX(tblFacturasRecibidas[Categoría],$H251))</f>
        <v/>
      </c>
      <c r="F251" s="2" t="str" cm="1">
        <f t="array" ref="F251">IF($H251="","",IFERROR(INDEX(tblFacturasRecibidas[IVA (€)],$H251),0))</f>
        <v/>
      </c>
      <c r="G251" s="2" t="str" cm="1">
        <f t="array" ref="G251">IF($H251="","",IFERROR(INDEX(tblFacturasRecibidas[Total (€)],$H251),INDEX(tblFacturasRecibidas[Base imponible (€)],$H251)))</f>
        <v/>
      </c>
      <c r="H251" t="str" cm="1">
        <f t="array" ref="H2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GASTOS],tblCategorias[Tipo],"")="Inversión")),ROWS($H$5:H251)),"")</f>
        <v/>
      </c>
    </row>
    <row r="252" spans="1:8" x14ac:dyDescent="0.35">
      <c r="A252" s="1" t="str" cm="1">
        <f t="array" ref="A252">IF($H252="","",INDEX(tblFacturasRecibidas[Fecha factura],$H252))</f>
        <v/>
      </c>
      <c r="B252" t="str" cm="1">
        <f t="array" ref="B252">IF($H252="","",INDEX(tblFacturasRecibidas[Concepto],$H252))</f>
        <v/>
      </c>
      <c r="C252" t="str" cm="1">
        <f t="array" ref="C252">IF($H252="","",INDEX(tblFacturasRecibidas[Proveedor],$H252))</f>
        <v/>
      </c>
      <c r="D252" t="str" cm="1">
        <f t="array" ref="D252">IF($H252="","",INDEX(tblFacturasRecibidas[Categoría],$H252))</f>
        <v/>
      </c>
      <c r="F252" s="2" t="str" cm="1">
        <f t="array" ref="F252">IF($H252="","",IFERROR(INDEX(tblFacturasRecibidas[IVA (€)],$H252),0))</f>
        <v/>
      </c>
      <c r="G252" s="2" t="str" cm="1">
        <f t="array" ref="G252">IF($H252="","",IFERROR(INDEX(tblFacturasRecibidas[Total (€)],$H252),INDEX(tblFacturasRecibidas[Base imponible (€)],$H252)))</f>
        <v/>
      </c>
      <c r="H252" t="str" cm="1">
        <f t="array" ref="H2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GASTOS],tblCategorias[Tipo],"")="Inversión")),ROWS($H$5:H252)),"")</f>
        <v/>
      </c>
    </row>
    <row r="253" spans="1:8" x14ac:dyDescent="0.35">
      <c r="A253" s="1" t="str" cm="1">
        <f t="array" ref="A253">IF($H253="","",INDEX(tblFacturasRecibidas[Fecha factura],$H253))</f>
        <v/>
      </c>
      <c r="B253" t="str" cm="1">
        <f t="array" ref="B253">IF($H253="","",INDEX(tblFacturasRecibidas[Concepto],$H253))</f>
        <v/>
      </c>
      <c r="C253" t="str" cm="1">
        <f t="array" ref="C253">IF($H253="","",INDEX(tblFacturasRecibidas[Proveedor],$H253))</f>
        <v/>
      </c>
      <c r="D253" t="str" cm="1">
        <f t="array" ref="D253">IF($H253="","",INDEX(tblFacturasRecibidas[Categoría],$H253))</f>
        <v/>
      </c>
      <c r="F253" s="2" t="str" cm="1">
        <f t="array" ref="F253">IF($H253="","",IFERROR(INDEX(tblFacturasRecibidas[IVA (€)],$H253),0))</f>
        <v/>
      </c>
      <c r="G253" s="2" t="str" cm="1">
        <f t="array" ref="G253">IF($H253="","",IFERROR(INDEX(tblFacturasRecibidas[Total (€)],$H253),INDEX(tblFacturasRecibidas[Base imponible (€)],$H253)))</f>
        <v/>
      </c>
      <c r="H253" t="str" cm="1">
        <f t="array" ref="H2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GASTOS],tblCategorias[Tipo],"")="Inversión")),ROWS($H$5:H253)),"")</f>
        <v/>
      </c>
    </row>
    <row r="254" spans="1:8" x14ac:dyDescent="0.35">
      <c r="A254" s="1" t="str" cm="1">
        <f t="array" ref="A254">IF($H254="","",INDEX(tblFacturasRecibidas[Fecha factura],$H254))</f>
        <v/>
      </c>
      <c r="B254" t="str" cm="1">
        <f t="array" ref="B254">IF($H254="","",INDEX(tblFacturasRecibidas[Concepto],$H254))</f>
        <v/>
      </c>
      <c r="C254" t="str" cm="1">
        <f t="array" ref="C254">IF($H254="","",INDEX(tblFacturasRecibidas[Proveedor],$H254))</f>
        <v/>
      </c>
      <c r="D254" t="str" cm="1">
        <f t="array" ref="D254">IF($H254="","",INDEX(tblFacturasRecibidas[Categoría],$H254))</f>
        <v/>
      </c>
      <c r="F254" s="2" t="str" cm="1">
        <f t="array" ref="F254">IF($H254="","",IFERROR(INDEX(tblFacturasRecibidas[IVA (€)],$H254),0))</f>
        <v/>
      </c>
      <c r="G254" s="2" t="str" cm="1">
        <f t="array" ref="G254">IF($H254="","",IFERROR(INDEX(tblFacturasRecibidas[Total (€)],$H254),INDEX(tblFacturasRecibidas[Base imponible (€)],$H254)))</f>
        <v/>
      </c>
      <c r="H254" t="str" cm="1">
        <f t="array" ref="H2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GASTOS],tblCategorias[Tipo],"")="Inversión")),ROWS($H$5:H254)),"")</f>
        <v/>
      </c>
    </row>
    <row r="255" spans="1:8" x14ac:dyDescent="0.35">
      <c r="A255" s="1" t="str" cm="1">
        <f t="array" ref="A255">IF($H255="","",INDEX(tblFacturasRecibidas[Fecha factura],$H255))</f>
        <v/>
      </c>
      <c r="B255" t="str" cm="1">
        <f t="array" ref="B255">IF($H255="","",INDEX(tblFacturasRecibidas[Concepto],$H255))</f>
        <v/>
      </c>
      <c r="C255" t="str" cm="1">
        <f t="array" ref="C255">IF($H255="","",INDEX(tblFacturasRecibidas[Proveedor],$H255))</f>
        <v/>
      </c>
      <c r="D255" t="str" cm="1">
        <f t="array" ref="D255">IF($H255="","",INDEX(tblFacturasRecibidas[Categoría],$H255))</f>
        <v/>
      </c>
      <c r="F255" s="2" t="str" cm="1">
        <f t="array" ref="F255">IF($H255="","",IFERROR(INDEX(tblFacturasRecibidas[IVA (€)],$H255),0))</f>
        <v/>
      </c>
      <c r="G255" s="2" t="str" cm="1">
        <f t="array" ref="G255">IF($H255="","",IFERROR(INDEX(tblFacturasRecibidas[Total (€)],$H255),INDEX(tblFacturasRecibidas[Base imponible (€)],$H255)))</f>
        <v/>
      </c>
      <c r="H255" t="str" cm="1">
        <f t="array" ref="H2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GASTOS],tblCategorias[Tipo],"")="Inversión")),ROWS($H$5:H255)),"")</f>
        <v/>
      </c>
    </row>
    <row r="256" spans="1:8" x14ac:dyDescent="0.35">
      <c r="A256" s="1" t="str" cm="1">
        <f t="array" ref="A256">IF($H256="","",INDEX(tblFacturasRecibidas[Fecha factura],$H256))</f>
        <v/>
      </c>
      <c r="B256" t="str" cm="1">
        <f t="array" ref="B256">IF($H256="","",INDEX(tblFacturasRecibidas[Concepto],$H256))</f>
        <v/>
      </c>
      <c r="C256" t="str" cm="1">
        <f t="array" ref="C256">IF($H256="","",INDEX(tblFacturasRecibidas[Proveedor],$H256))</f>
        <v/>
      </c>
      <c r="D256" t="str" cm="1">
        <f t="array" ref="D256">IF($H256="","",INDEX(tblFacturasRecibidas[Categoría],$H256))</f>
        <v/>
      </c>
      <c r="F256" s="2" t="str" cm="1">
        <f t="array" ref="F256">IF($H256="","",IFERROR(INDEX(tblFacturasRecibidas[IVA (€)],$H256),0))</f>
        <v/>
      </c>
      <c r="G256" s="2" t="str" cm="1">
        <f t="array" ref="G256">IF($H256="","",IFERROR(INDEX(tblFacturasRecibidas[Total (€)],$H256),INDEX(tblFacturasRecibidas[Base imponible (€)],$H256)))</f>
        <v/>
      </c>
      <c r="H256" t="str" cm="1">
        <f t="array" ref="H2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GASTOS],tblCategorias[Tipo],"")="Inversión")),ROWS($H$5:H256)),"")</f>
        <v/>
      </c>
    </row>
    <row r="257" spans="1:8" x14ac:dyDescent="0.35">
      <c r="A257" s="1" t="str" cm="1">
        <f t="array" ref="A257">IF($H257="","",INDEX(tblFacturasRecibidas[Fecha factura],$H257))</f>
        <v/>
      </c>
      <c r="B257" t="str" cm="1">
        <f t="array" ref="B257">IF($H257="","",INDEX(tblFacturasRecibidas[Concepto],$H257))</f>
        <v/>
      </c>
      <c r="C257" t="str" cm="1">
        <f t="array" ref="C257">IF($H257="","",INDEX(tblFacturasRecibidas[Proveedor],$H257))</f>
        <v/>
      </c>
      <c r="D257" t="str" cm="1">
        <f t="array" ref="D257">IF($H257="","",INDEX(tblFacturasRecibidas[Categoría],$H257))</f>
        <v/>
      </c>
      <c r="F257" s="2" t="str" cm="1">
        <f t="array" ref="F257">IF($H257="","",IFERROR(INDEX(tblFacturasRecibidas[IVA (€)],$H257),0))</f>
        <v/>
      </c>
      <c r="G257" s="2" t="str" cm="1">
        <f t="array" ref="G257">IF($H257="","",IFERROR(INDEX(tblFacturasRecibidas[Total (€)],$H257),INDEX(tblFacturasRecibidas[Base imponible (€)],$H257)))</f>
        <v/>
      </c>
      <c r="H257" t="str" cm="1">
        <f t="array" ref="H2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GASTOS],tblCategorias[Tipo],"")="Inversión")),ROWS($H$5:H257)),"")</f>
        <v/>
      </c>
    </row>
    <row r="258" spans="1:8" x14ac:dyDescent="0.35">
      <c r="A258" s="1" t="str" cm="1">
        <f t="array" ref="A258">IF($H258="","",INDEX(tblFacturasRecibidas[Fecha factura],$H258))</f>
        <v/>
      </c>
      <c r="B258" t="str" cm="1">
        <f t="array" ref="B258">IF($H258="","",INDEX(tblFacturasRecibidas[Concepto],$H258))</f>
        <v/>
      </c>
      <c r="C258" t="str" cm="1">
        <f t="array" ref="C258">IF($H258="","",INDEX(tblFacturasRecibidas[Proveedor],$H258))</f>
        <v/>
      </c>
      <c r="D258" t="str" cm="1">
        <f t="array" ref="D258">IF($H258="","",INDEX(tblFacturasRecibidas[Categoría],$H258))</f>
        <v/>
      </c>
      <c r="F258" s="2" t="str" cm="1">
        <f t="array" ref="F258">IF($H258="","",IFERROR(INDEX(tblFacturasRecibidas[IVA (€)],$H258),0))</f>
        <v/>
      </c>
      <c r="G258" s="2" t="str" cm="1">
        <f t="array" ref="G258">IF($H258="","",IFERROR(INDEX(tblFacturasRecibidas[Total (€)],$H258),INDEX(tblFacturasRecibidas[Base imponible (€)],$H258)))</f>
        <v/>
      </c>
      <c r="H258" t="str" cm="1">
        <f t="array" ref="H2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GASTOS],tblCategorias[Tipo],"")="Inversión")),ROWS($H$5:H258)),"")</f>
        <v/>
      </c>
    </row>
    <row r="259" spans="1:8" x14ac:dyDescent="0.35">
      <c r="A259" s="1" t="str" cm="1">
        <f t="array" ref="A259">IF($H259="","",INDEX(tblFacturasRecibidas[Fecha factura],$H259))</f>
        <v/>
      </c>
      <c r="B259" t="str" cm="1">
        <f t="array" ref="B259">IF($H259="","",INDEX(tblFacturasRecibidas[Concepto],$H259))</f>
        <v/>
      </c>
      <c r="C259" t="str" cm="1">
        <f t="array" ref="C259">IF($H259="","",INDEX(tblFacturasRecibidas[Proveedor],$H259))</f>
        <v/>
      </c>
      <c r="D259" t="str" cm="1">
        <f t="array" ref="D259">IF($H259="","",INDEX(tblFacturasRecibidas[Categoría],$H259))</f>
        <v/>
      </c>
      <c r="F259" s="2" t="str" cm="1">
        <f t="array" ref="F259">IF($H259="","",IFERROR(INDEX(tblFacturasRecibidas[IVA (€)],$H259),0))</f>
        <v/>
      </c>
      <c r="G259" s="2" t="str" cm="1">
        <f t="array" ref="G259">IF($H259="","",IFERROR(INDEX(tblFacturasRecibidas[Total (€)],$H259),INDEX(tblFacturasRecibidas[Base imponible (€)],$H259)))</f>
        <v/>
      </c>
      <c r="H259" t="str" cm="1">
        <f t="array" ref="H2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GASTOS],tblCategorias[Tipo],"")="Inversión")),ROWS($H$5:H259)),"")</f>
        <v/>
      </c>
    </row>
    <row r="260" spans="1:8" x14ac:dyDescent="0.35">
      <c r="A260" s="1" t="str" cm="1">
        <f t="array" ref="A260">IF($H260="","",INDEX(tblFacturasRecibidas[Fecha factura],$H260))</f>
        <v/>
      </c>
      <c r="B260" t="str" cm="1">
        <f t="array" ref="B260">IF($H260="","",INDEX(tblFacturasRecibidas[Concepto],$H260))</f>
        <v/>
      </c>
      <c r="C260" t="str" cm="1">
        <f t="array" ref="C260">IF($H260="","",INDEX(tblFacturasRecibidas[Proveedor],$H260))</f>
        <v/>
      </c>
      <c r="D260" t="str" cm="1">
        <f t="array" ref="D260">IF($H260="","",INDEX(tblFacturasRecibidas[Categoría],$H260))</f>
        <v/>
      </c>
      <c r="F260" s="2" t="str" cm="1">
        <f t="array" ref="F260">IF($H260="","",IFERROR(INDEX(tblFacturasRecibidas[IVA (€)],$H260),0))</f>
        <v/>
      </c>
      <c r="G260" s="2" t="str" cm="1">
        <f t="array" ref="G260">IF($H260="","",IFERROR(INDEX(tblFacturasRecibidas[Total (€)],$H260),INDEX(tblFacturasRecibidas[Base imponible (€)],$H260)))</f>
        <v/>
      </c>
      <c r="H260" t="str" cm="1">
        <f t="array" ref="H2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GASTOS],tblCategorias[Tipo],"")="Inversión")),ROWS($H$5:H260)),"")</f>
        <v/>
      </c>
    </row>
    <row r="261" spans="1:8" x14ac:dyDescent="0.35">
      <c r="A261" s="1" t="str" cm="1">
        <f t="array" ref="A261">IF($H261="","",INDEX(tblFacturasRecibidas[Fecha factura],$H261))</f>
        <v/>
      </c>
      <c r="B261" t="str" cm="1">
        <f t="array" ref="B261">IF($H261="","",INDEX(tblFacturasRecibidas[Concepto],$H261))</f>
        <v/>
      </c>
      <c r="C261" t="str" cm="1">
        <f t="array" ref="C261">IF($H261="","",INDEX(tblFacturasRecibidas[Proveedor],$H261))</f>
        <v/>
      </c>
      <c r="D261" t="str" cm="1">
        <f t="array" ref="D261">IF($H261="","",INDEX(tblFacturasRecibidas[Categoría],$H261))</f>
        <v/>
      </c>
      <c r="F261" s="2" t="str" cm="1">
        <f t="array" ref="F261">IF($H261="","",IFERROR(INDEX(tblFacturasRecibidas[IVA (€)],$H261),0))</f>
        <v/>
      </c>
      <c r="G261" s="2" t="str" cm="1">
        <f t="array" ref="G261">IF($H261="","",IFERROR(INDEX(tblFacturasRecibidas[Total (€)],$H261),INDEX(tblFacturasRecibidas[Base imponible (€)],$H261)))</f>
        <v/>
      </c>
      <c r="H261" t="str" cm="1">
        <f t="array" ref="H2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GASTOS],tblCategorias[Tipo],"")="Inversión")),ROWS($H$5:H261)),"")</f>
        <v/>
      </c>
    </row>
    <row r="262" spans="1:8" x14ac:dyDescent="0.35">
      <c r="A262" s="1" t="str" cm="1">
        <f t="array" ref="A262">IF($H262="","",INDEX(tblFacturasRecibidas[Fecha factura],$H262))</f>
        <v/>
      </c>
      <c r="B262" t="str" cm="1">
        <f t="array" ref="B262">IF($H262="","",INDEX(tblFacturasRecibidas[Concepto],$H262))</f>
        <v/>
      </c>
      <c r="C262" t="str" cm="1">
        <f t="array" ref="C262">IF($H262="","",INDEX(tblFacturasRecibidas[Proveedor],$H262))</f>
        <v/>
      </c>
      <c r="D262" t="str" cm="1">
        <f t="array" ref="D262">IF($H262="","",INDEX(tblFacturasRecibidas[Categoría],$H262))</f>
        <v/>
      </c>
      <c r="G262" s="2" t="str" cm="1">
        <f t="array" ref="G262">IF($H262="","",IFERROR(INDEX(tblFacturasRecibidas[Total (€)],$H262),INDEX(tblFacturasRecibidas[Base imponible (€)],$H262)))</f>
        <v/>
      </c>
      <c r="H262" t="str" cm="1">
        <f t="array" ref="H2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GASTOS],tblCategorias[Tipo],"")="Inversión")),ROWS($H$5:H262)),"")</f>
        <v/>
      </c>
    </row>
    <row r="263" spans="1:8" x14ac:dyDescent="0.35">
      <c r="A263" s="1" t="str" cm="1">
        <f t="array" ref="A263">IF($H263="","",INDEX(tblFacturasRecibidas[Fecha factura],$H263))</f>
        <v/>
      </c>
      <c r="B263" t="str" cm="1">
        <f t="array" ref="B263">IF($H263="","",INDEX(tblFacturasRecibidas[Concepto],$H263))</f>
        <v/>
      </c>
      <c r="C263" t="str" cm="1">
        <f t="array" ref="C263">IF($H263="","",INDEX(tblFacturasRecibidas[Proveedor],$H263))</f>
        <v/>
      </c>
      <c r="D263" t="str" cm="1">
        <f t="array" ref="D263">IF($H263="","",INDEX(tblFacturasRecibidas[Categoría],$H263))</f>
        <v/>
      </c>
      <c r="G263" s="2" t="str" cm="1">
        <f t="array" ref="G263">IF($H263="","",IFERROR(INDEX(tblFacturasRecibidas[Total (€)],$H263),INDEX(tblFacturasRecibidas[Base imponible (€)],$H263)))</f>
        <v/>
      </c>
      <c r="H263" t="str" cm="1">
        <f t="array" ref="H2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GASTOS],tblCategorias[Tipo],"")="Inversión")),ROWS($H$5:H263)),"")</f>
        <v/>
      </c>
    </row>
    <row r="264" spans="1:8" x14ac:dyDescent="0.35">
      <c r="A264" s="1" t="str" cm="1">
        <f t="array" ref="A264">IF($H264="","",INDEX(tblFacturasRecibidas[Fecha factura],$H264))</f>
        <v/>
      </c>
      <c r="B264" t="str" cm="1">
        <f t="array" ref="B264">IF($H264="","",INDEX(tblFacturasRecibidas[Concepto],$H264))</f>
        <v/>
      </c>
      <c r="C264" t="str" cm="1">
        <f t="array" ref="C264">IF($H264="","",INDEX(tblFacturasRecibidas[Proveedor],$H264))</f>
        <v/>
      </c>
      <c r="D264" t="str" cm="1">
        <f t="array" ref="D264">IF($H264="","",INDEX(tblFacturasRecibidas[Categoría],$H264))</f>
        <v/>
      </c>
      <c r="G264" s="2" t="str" cm="1">
        <f t="array" ref="G264">IF($H264="","",IFERROR(INDEX(tblFacturasRecibidas[Total (€)],$H264),INDEX(tblFacturasRecibidas[Base imponible (€)],$H264)))</f>
        <v/>
      </c>
      <c r="H264" t="str" cm="1">
        <f t="array" ref="H2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GASTOS],tblCategorias[Tipo],"")="Inversión")),ROWS($H$5:H264)),"")</f>
        <v/>
      </c>
    </row>
    <row r="265" spans="1:8" x14ac:dyDescent="0.35">
      <c r="A265" s="1" t="str" cm="1">
        <f t="array" ref="A265">IF($H265="","",INDEX(tblFacturasRecibidas[Fecha factura],$H265))</f>
        <v/>
      </c>
      <c r="B265" t="str" cm="1">
        <f t="array" ref="B265">IF($H265="","",INDEX(tblFacturasRecibidas[Concepto],$H265))</f>
        <v/>
      </c>
      <c r="C265" t="str" cm="1">
        <f t="array" ref="C265">IF($H265="","",INDEX(tblFacturasRecibidas[Proveedor],$H265))</f>
        <v/>
      </c>
      <c r="D265" t="str" cm="1">
        <f t="array" ref="D265">IF($H265="","",INDEX(tblFacturasRecibidas[Categoría],$H265))</f>
        <v/>
      </c>
      <c r="H265" t="str" cm="1">
        <f t="array" ref="H2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GASTOS],tblCategorias[Tipo],"")="Inversión")),ROWS($H$5:H265)),"")</f>
        <v/>
      </c>
    </row>
    <row r="266" spans="1:8" x14ac:dyDescent="0.35">
      <c r="A266" s="1" t="str" cm="1">
        <f t="array" ref="A266">IF($H266="","",INDEX(tblFacturasRecibidas[Fecha factura],$H266))</f>
        <v/>
      </c>
      <c r="B266" t="str" cm="1">
        <f t="array" ref="B266">IF($H266="","",INDEX(tblFacturasRecibidas[Concepto],$H266))</f>
        <v/>
      </c>
      <c r="C266" t="str" cm="1">
        <f t="array" ref="C266">IF($H266="","",INDEX(tblFacturasRecibidas[Proveedor],$H266))</f>
        <v/>
      </c>
      <c r="D266" t="str" cm="1">
        <f t="array" ref="D266">IF($H266="","",INDEX(tblFacturasRecibidas[Categoría],$H266))</f>
        <v/>
      </c>
      <c r="H266" t="str" cm="1">
        <f t="array" ref="H2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GASTOS],tblCategorias[Tipo],"")="Inversión")),ROWS($H$5:H266)),"")</f>
        <v/>
      </c>
    </row>
    <row r="267" spans="1:8" x14ac:dyDescent="0.35">
      <c r="A267" s="1" t="str" cm="1">
        <f t="array" ref="A267">IF($H267="","",INDEX(tblFacturasRecibidas[Fecha factura],$H267))</f>
        <v/>
      </c>
      <c r="B267" t="str" cm="1">
        <f t="array" ref="B267">IF($H267="","",INDEX(tblFacturasRecibidas[Concepto],$H267))</f>
        <v/>
      </c>
      <c r="C267" t="str" cm="1">
        <f t="array" ref="C267">IF($H267="","",INDEX(tblFacturasRecibidas[Proveedor],$H267))</f>
        <v/>
      </c>
      <c r="D267" t="str" cm="1">
        <f t="array" ref="D267">IF($H267="","",INDEX(tblFacturasRecibidas[Categoría],$H267))</f>
        <v/>
      </c>
      <c r="H267" t="str" cm="1">
        <f t="array" ref="H2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GASTOS],tblCategorias[Tipo],"")="Inversión")),ROWS($H$5:H267)),"")</f>
        <v/>
      </c>
    </row>
    <row r="268" spans="1:8" x14ac:dyDescent="0.35">
      <c r="A268" s="1" t="str" cm="1">
        <f t="array" ref="A268">IF($H268="","",INDEX(tblFacturasRecibidas[Fecha factura],$H268))</f>
        <v/>
      </c>
      <c r="B268" t="str" cm="1">
        <f t="array" ref="B268">IF($H268="","",INDEX(tblFacturasRecibidas[Concepto],$H268))</f>
        <v/>
      </c>
      <c r="C268" t="str" cm="1">
        <f t="array" ref="C268">IF($H268="","",INDEX(tblFacturasRecibidas[Proveedor],$H268))</f>
        <v/>
      </c>
      <c r="D268" t="str" cm="1">
        <f t="array" ref="D268">IF($H268="","",INDEX(tblFacturasRecibidas[Categoría],$H268))</f>
        <v/>
      </c>
      <c r="H268" t="str" cm="1">
        <f t="array" ref="H2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GASTOS],tblCategorias[Tipo],"")="Inversión")),ROWS($H$5:H268)),"")</f>
        <v/>
      </c>
    </row>
    <row r="269" spans="1:8" x14ac:dyDescent="0.35">
      <c r="A269" s="1" t="str" cm="1">
        <f t="array" ref="A269">IF($H269="","",INDEX(tblFacturasRecibidas[Fecha factura],$H269))</f>
        <v/>
      </c>
      <c r="B269" t="str" cm="1">
        <f t="array" ref="B269">IF($H269="","",INDEX(tblFacturasRecibidas[Concepto],$H269))</f>
        <v/>
      </c>
      <c r="C269" t="str" cm="1">
        <f t="array" ref="C269">IF($H269="","",INDEX(tblFacturasRecibidas[Proveedor],$H269))</f>
        <v/>
      </c>
      <c r="D269" t="str" cm="1">
        <f t="array" ref="D269">IF($H269="","",INDEX(tblFacturasRecibidas[Categoría],$H269))</f>
        <v/>
      </c>
      <c r="H269" t="str" cm="1">
        <f t="array" ref="H2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GASTOS],tblCategorias[Tipo],"")="Inversión")),ROWS($H$5:H269)),"")</f>
        <v/>
      </c>
    </row>
    <row r="270" spans="1:8" x14ac:dyDescent="0.35">
      <c r="A270" s="1" t="str" cm="1">
        <f t="array" ref="A270">IF($H270="","",INDEX(tblFacturasRecibidas[Fecha factura],$H270))</f>
        <v/>
      </c>
      <c r="B270" t="str" cm="1">
        <f t="array" ref="B270">IF($H270="","",INDEX(tblFacturasRecibidas[Concepto],$H270))</f>
        <v/>
      </c>
      <c r="C270" t="str" cm="1">
        <f t="array" ref="C270">IF($H270="","",INDEX(tblFacturasRecibidas[Proveedor],$H270))</f>
        <v/>
      </c>
      <c r="D270" t="str" cm="1">
        <f t="array" ref="D270">IF($H270="","",INDEX(tblFacturasRecibidas[Categoría],$H270))</f>
        <v/>
      </c>
      <c r="H270" t="str" cm="1">
        <f t="array" ref="H2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GASTOS],tblCategorias[Tipo],"")="Inversión")),ROWS($H$5:H270)),"")</f>
        <v/>
      </c>
    </row>
    <row r="271" spans="1:8" x14ac:dyDescent="0.35">
      <c r="A271" s="1" t="str" cm="1">
        <f t="array" ref="A271">IF($H271="","",INDEX(tblFacturasRecibidas[Fecha factura],$H271))</f>
        <v/>
      </c>
      <c r="B271" t="str" cm="1">
        <f t="array" ref="B271">IF($H271="","",INDEX(tblFacturasRecibidas[Concepto],$H271))</f>
        <v/>
      </c>
      <c r="C271" t="str" cm="1">
        <f t="array" ref="C271">IF($H271="","",INDEX(tblFacturasRecibidas[Proveedor],$H271))</f>
        <v/>
      </c>
      <c r="D271" t="str" cm="1">
        <f t="array" ref="D271">IF($H271="","",INDEX(tblFacturasRecibidas[Categoría],$H271))</f>
        <v/>
      </c>
      <c r="H271" t="str" cm="1">
        <f t="array" ref="H2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GASTOS],tblCategorias[Tipo],"")="Inversión")),ROWS($H$5:H271)),"")</f>
        <v/>
      </c>
    </row>
    <row r="272" spans="1:8" x14ac:dyDescent="0.35">
      <c r="A272" s="1" t="str" cm="1">
        <f t="array" ref="A272">IF($H272="","",INDEX(tblFacturasRecibidas[Fecha factura],$H272))</f>
        <v/>
      </c>
      <c r="B272" t="str" cm="1">
        <f t="array" ref="B272">IF($H272="","",INDEX(tblFacturasRecibidas[Concepto],$H272))</f>
        <v/>
      </c>
      <c r="C272" t="str" cm="1">
        <f t="array" ref="C272">IF($H272="","",INDEX(tblFacturasRecibidas[Proveedor],$H272))</f>
        <v/>
      </c>
      <c r="D272" t="str" cm="1">
        <f t="array" ref="D272">IF($H272="","",INDEX(tblFacturasRecibidas[Categoría],$H272))</f>
        <v/>
      </c>
      <c r="H272" t="str" cm="1">
        <f t="array" ref="H2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GASTOS],tblCategorias[Tipo],"")="Inversión")),ROWS($H$5:H272)),"")</f>
        <v/>
      </c>
    </row>
    <row r="273" spans="1:8" x14ac:dyDescent="0.35">
      <c r="A273" s="1" t="str" cm="1">
        <f t="array" ref="A273">IF($H273="","",INDEX(tblFacturasRecibidas[Fecha factura],$H273))</f>
        <v/>
      </c>
      <c r="B273" t="str" cm="1">
        <f t="array" ref="B273">IF($H273="","",INDEX(tblFacturasRecibidas[Concepto],$H273))</f>
        <v/>
      </c>
      <c r="C273" t="str" cm="1">
        <f t="array" ref="C273">IF($H273="","",INDEX(tblFacturasRecibidas[Proveedor],$H273))</f>
        <v/>
      </c>
      <c r="D273" t="str" cm="1">
        <f t="array" ref="D273">IF($H273="","",INDEX(tblFacturasRecibidas[Categoría],$H273))</f>
        <v/>
      </c>
      <c r="H273" t="str" cm="1">
        <f t="array" ref="H2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GASTOS],tblCategorias[Tipo],"")="Inversión")),ROWS($H$5:H273)),"")</f>
        <v/>
      </c>
    </row>
    <row r="274" spans="1:8" x14ac:dyDescent="0.35">
      <c r="A274" s="1" t="str" cm="1">
        <f t="array" ref="A274">IF($H274="","",INDEX(tblFacturasRecibidas[Fecha factura],$H274))</f>
        <v/>
      </c>
      <c r="B274" t="str" cm="1">
        <f t="array" ref="B274">IF($H274="","",INDEX(tblFacturasRecibidas[Concepto],$H274))</f>
        <v/>
      </c>
      <c r="C274" t="str" cm="1">
        <f t="array" ref="C274">IF($H274="","",INDEX(tblFacturasRecibidas[Proveedor],$H274))</f>
        <v/>
      </c>
      <c r="D274" t="str" cm="1">
        <f t="array" ref="D274">IF($H274="","",INDEX(tblFacturasRecibidas[Categoría],$H274))</f>
        <v/>
      </c>
      <c r="H274" t="str" cm="1">
        <f t="array" ref="H2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GASTOS],tblCategorias[Tipo],"")="Inversión")),ROWS($H$5:H274)),"")</f>
        <v/>
      </c>
    </row>
    <row r="275" spans="1:8" x14ac:dyDescent="0.35">
      <c r="A275" s="1" t="str" cm="1">
        <f t="array" ref="A275">IF($H275="","",INDEX(tblFacturasRecibidas[Fecha factura],$H275))</f>
        <v/>
      </c>
      <c r="B275" t="str" cm="1">
        <f t="array" ref="B275">IF($H275="","",INDEX(tblFacturasRecibidas[Concepto],$H275))</f>
        <v/>
      </c>
      <c r="C275" t="str" cm="1">
        <f t="array" ref="C275">IF($H275="","",INDEX(tblFacturasRecibidas[Proveedor],$H275))</f>
        <v/>
      </c>
      <c r="D275" t="str" cm="1">
        <f t="array" ref="D275">IF($H275="","",INDEX(tblFacturasRecibidas[Categoría],$H275))</f>
        <v/>
      </c>
      <c r="H275" t="str" cm="1">
        <f t="array" ref="H2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GASTOS],tblCategorias[Tipo],"")="Inversión")),ROWS($H$5:H275)),"")</f>
        <v/>
      </c>
    </row>
    <row r="276" spans="1:8" x14ac:dyDescent="0.35">
      <c r="A276" s="1" t="str" cm="1">
        <f t="array" ref="A276">IF($H276="","",INDEX(tblFacturasRecibidas[Fecha factura],$H276))</f>
        <v/>
      </c>
      <c r="B276" t="str" cm="1">
        <f t="array" ref="B276">IF($H276="","",INDEX(tblFacturasRecibidas[Concepto],$H276))</f>
        <v/>
      </c>
      <c r="C276" t="str" cm="1">
        <f t="array" ref="C276">IF($H276="","",INDEX(tblFacturasRecibidas[Proveedor],$H276))</f>
        <v/>
      </c>
      <c r="D276" t="str" cm="1">
        <f t="array" ref="D276">IF($H276="","",INDEX(tblFacturasRecibidas[Categoría],$H276))</f>
        <v/>
      </c>
      <c r="H276" t="str" cm="1">
        <f t="array" ref="H2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GASTOS],tblCategorias[Tipo],"")="Inversión")),ROWS($H$5:H276)),"")</f>
        <v/>
      </c>
    </row>
    <row r="277" spans="1:8" x14ac:dyDescent="0.35">
      <c r="A277" s="1" t="str" cm="1">
        <f t="array" ref="A277">IF($H277="","",INDEX(tblFacturasRecibidas[Fecha factura],$H277))</f>
        <v/>
      </c>
      <c r="B277" t="str" cm="1">
        <f t="array" ref="B277">IF($H277="","",INDEX(tblFacturasRecibidas[Concepto],$H277))</f>
        <v/>
      </c>
      <c r="C277" t="str" cm="1">
        <f t="array" ref="C277">IF($H277="","",INDEX(tblFacturasRecibidas[Proveedor],$H277))</f>
        <v/>
      </c>
      <c r="D277" t="str" cm="1">
        <f t="array" ref="D277">IF($H277="","",INDEX(tblFacturasRecibidas[Categoría],$H277))</f>
        <v/>
      </c>
      <c r="H277" t="str" cm="1">
        <f t="array" ref="H2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GASTOS],tblCategorias[Tipo],"")="Inversión")),ROWS($H$5:H277)),"")</f>
        <v/>
      </c>
    </row>
    <row r="278" spans="1:8" x14ac:dyDescent="0.35">
      <c r="A278" s="1" t="str" cm="1">
        <f t="array" ref="A278">IF($H278="","",INDEX(tblFacturasRecibidas[Fecha factura],$H278))</f>
        <v/>
      </c>
      <c r="B278" t="str" cm="1">
        <f t="array" ref="B278">IF($H278="","",INDEX(tblFacturasRecibidas[Concepto],$H278))</f>
        <v/>
      </c>
      <c r="C278" t="str" cm="1">
        <f t="array" ref="C278">IF($H278="","",INDEX(tblFacturasRecibidas[Proveedor],$H278))</f>
        <v/>
      </c>
      <c r="D278" t="str" cm="1">
        <f t="array" ref="D278">IF($H278="","",INDEX(tblFacturasRecibidas[Categoría],$H278))</f>
        <v/>
      </c>
      <c r="H278" t="str" cm="1">
        <f t="array" ref="H2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GASTOS],tblCategorias[Tipo],"")="Inversión")),ROWS($H$5:H278)),"")</f>
        <v/>
      </c>
    </row>
    <row r="279" spans="1:8" x14ac:dyDescent="0.35">
      <c r="A279" s="1" t="str" cm="1">
        <f t="array" ref="A279">IF($H279="","",INDEX(tblFacturasRecibidas[Fecha factura],$H279))</f>
        <v/>
      </c>
      <c r="B279" t="str" cm="1">
        <f t="array" ref="B279">IF($H279="","",INDEX(tblFacturasRecibidas[Concepto],$H279))</f>
        <v/>
      </c>
      <c r="C279" t="str" cm="1">
        <f t="array" ref="C279">IF($H279="","",INDEX(tblFacturasRecibidas[Proveedor],$H279))</f>
        <v/>
      </c>
      <c r="D279" t="str" cm="1">
        <f t="array" ref="D279">IF($H279="","",INDEX(tblFacturasRecibidas[Categoría],$H279))</f>
        <v/>
      </c>
      <c r="H279" t="str" cm="1">
        <f t="array" ref="H2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GASTOS],tblCategorias[Tipo],"")="Inversión")),ROWS($H$5:H279)),"")</f>
        <v/>
      </c>
    </row>
    <row r="280" spans="1:8" x14ac:dyDescent="0.35">
      <c r="A280" s="1" t="str" cm="1">
        <f t="array" ref="A280">IF($H280="","",INDEX(tblFacturasRecibidas[Fecha factura],$H280))</f>
        <v/>
      </c>
      <c r="B280" t="str" cm="1">
        <f t="array" ref="B280">IF($H280="","",INDEX(tblFacturasRecibidas[Concepto],$H280))</f>
        <v/>
      </c>
      <c r="C280" t="str" cm="1">
        <f t="array" ref="C280">IF($H280="","",INDEX(tblFacturasRecibidas[Proveedor],$H280))</f>
        <v/>
      </c>
      <c r="D280" t="str" cm="1">
        <f t="array" ref="D280">IF($H280="","",INDEX(tblFacturasRecibidas[Categoría],$H280))</f>
        <v/>
      </c>
      <c r="H280" t="str" cm="1">
        <f t="array" ref="H2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GASTOS],tblCategorias[Tipo],"")="Inversión")),ROWS($H$5:H280)),"")</f>
        <v/>
      </c>
    </row>
    <row r="281" spans="1:8" x14ac:dyDescent="0.35">
      <c r="A281" s="1" t="str" cm="1">
        <f t="array" ref="A281">IF($H281="","",INDEX(tblFacturasRecibidas[Fecha factura],$H281))</f>
        <v/>
      </c>
      <c r="B281" t="str" cm="1">
        <f t="array" ref="B281">IF($H281="","",INDEX(tblFacturasRecibidas[Concepto],$H281))</f>
        <v/>
      </c>
      <c r="C281" t="str" cm="1">
        <f t="array" ref="C281">IF($H281="","",INDEX(tblFacturasRecibidas[Proveedor],$H281))</f>
        <v/>
      </c>
      <c r="D281" t="str" cm="1">
        <f t="array" ref="D281">IF($H281="","",INDEX(tblFacturasRecibidas[Categoría],$H281))</f>
        <v/>
      </c>
      <c r="H281" t="str" cm="1">
        <f t="array" ref="H2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GASTOS],tblCategorias[Tipo],"")="Inversión")),ROWS($H$5:H281)),"")</f>
        <v/>
      </c>
    </row>
    <row r="282" spans="1:8" x14ac:dyDescent="0.35">
      <c r="A282" s="1" t="str" cm="1">
        <f t="array" ref="A282">IF($H282="","",INDEX(tblFacturasRecibidas[Fecha factura],$H282))</f>
        <v/>
      </c>
      <c r="B282" t="str" cm="1">
        <f t="array" ref="B282">IF($H282="","",INDEX(tblFacturasRecibidas[Concepto],$H282))</f>
        <v/>
      </c>
      <c r="C282" t="str" cm="1">
        <f t="array" ref="C282">IF($H282="","",INDEX(tblFacturasRecibidas[Proveedor],$H282))</f>
        <v/>
      </c>
      <c r="D282" t="str" cm="1">
        <f t="array" ref="D282">IF($H282="","",INDEX(tblFacturasRecibidas[Categoría],$H282))</f>
        <v/>
      </c>
      <c r="H282" t="str" cm="1">
        <f t="array" ref="H2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GASTOS],tblCategorias[Tipo],"")="Inversión")),ROWS($H$5:H282)),"")</f>
        <v/>
      </c>
    </row>
    <row r="283" spans="1:8" x14ac:dyDescent="0.35">
      <c r="A283" s="1" t="str" cm="1">
        <f t="array" ref="A283">IF($H283="","",INDEX(tblFacturasRecibidas[Fecha factura],$H283))</f>
        <v/>
      </c>
      <c r="B283" t="str" cm="1">
        <f t="array" ref="B283">IF($H283="","",INDEX(tblFacturasRecibidas[Concepto],$H283))</f>
        <v/>
      </c>
      <c r="C283" t="str" cm="1">
        <f t="array" ref="C283">IF($H283="","",INDEX(tblFacturasRecibidas[Proveedor],$H283))</f>
        <v/>
      </c>
      <c r="D283" t="str" cm="1">
        <f t="array" ref="D283">IF($H283="","",INDEX(tblFacturasRecibidas[Categoría],$H283))</f>
        <v/>
      </c>
      <c r="H283" t="str" cm="1">
        <f t="array" ref="H2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GASTOS],tblCategorias[Tipo],"")="Inversión")),ROWS($H$5:H283)),"")</f>
        <v/>
      </c>
    </row>
    <row r="284" spans="1:8" x14ac:dyDescent="0.35">
      <c r="A284" s="1" t="str" cm="1">
        <f t="array" ref="A284">IF($H284="","",INDEX(tblFacturasRecibidas[Fecha factura],$H284))</f>
        <v/>
      </c>
      <c r="B284" t="str" cm="1">
        <f t="array" ref="B284">IF($H284="","",INDEX(tblFacturasRecibidas[Concepto],$H284))</f>
        <v/>
      </c>
      <c r="C284" t="str" cm="1">
        <f t="array" ref="C284">IF($H284="","",INDEX(tblFacturasRecibidas[Proveedor],$H284))</f>
        <v/>
      </c>
      <c r="D284" t="str" cm="1">
        <f t="array" ref="D284">IF($H284="","",INDEX(tblFacturasRecibidas[Categoría],$H284))</f>
        <v/>
      </c>
      <c r="H284" t="str" cm="1">
        <f t="array" ref="H2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GASTOS],tblCategorias[Tipo],"")="Inversión")),ROWS($H$5:H284)),"")</f>
        <v/>
      </c>
    </row>
    <row r="285" spans="1:8" x14ac:dyDescent="0.35">
      <c r="A285" s="1" t="str" cm="1">
        <f t="array" ref="A285">IF($H285="","",INDEX(tblFacturasRecibidas[Fecha factura],$H285))</f>
        <v/>
      </c>
      <c r="B285" t="str" cm="1">
        <f t="array" ref="B285">IF($H285="","",INDEX(tblFacturasRecibidas[Concepto],$H285))</f>
        <v/>
      </c>
      <c r="C285" t="str" cm="1">
        <f t="array" ref="C285">IF($H285="","",INDEX(tblFacturasRecibidas[Proveedor],$H285))</f>
        <v/>
      </c>
      <c r="D285" t="str" cm="1">
        <f t="array" ref="D285">IF($H285="","",INDEX(tblFacturasRecibidas[Categoría],$H285))</f>
        <v/>
      </c>
      <c r="H285" t="str" cm="1">
        <f t="array" ref="H2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GASTOS],tblCategorias[Tipo],"")="Inversión")),ROWS($H$5:H285)),"")</f>
        <v/>
      </c>
    </row>
    <row r="286" spans="1:8" x14ac:dyDescent="0.35">
      <c r="A286" s="1" t="str" cm="1">
        <f t="array" ref="A286">IF($H286="","",INDEX(tblFacturasRecibidas[Fecha factura],$H286))</f>
        <v/>
      </c>
      <c r="B286" t="str" cm="1">
        <f t="array" ref="B286">IF($H286="","",INDEX(tblFacturasRecibidas[Concepto],$H286))</f>
        <v/>
      </c>
      <c r="C286" t="str" cm="1">
        <f t="array" ref="C286">IF($H286="","",INDEX(tblFacturasRecibidas[Proveedor],$H286))</f>
        <v/>
      </c>
      <c r="D286" t="str" cm="1">
        <f t="array" ref="D286">IF($H286="","",INDEX(tblFacturasRecibidas[Categoría],$H286))</f>
        <v/>
      </c>
      <c r="H286" t="str" cm="1">
        <f t="array" ref="H2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GASTOS],tblCategorias[Tipo],"")="Inversión")),ROWS($H$5:H286)),"")</f>
        <v/>
      </c>
    </row>
    <row r="287" spans="1:8" x14ac:dyDescent="0.35">
      <c r="A287" s="1" t="str" cm="1">
        <f t="array" ref="A287">IF($H287="","",INDEX(tblFacturasRecibidas[Fecha factura],$H287))</f>
        <v/>
      </c>
      <c r="B287" t="str" cm="1">
        <f t="array" ref="B287">IF($H287="","",INDEX(tblFacturasRecibidas[Concepto],$H287))</f>
        <v/>
      </c>
      <c r="C287" t="str" cm="1">
        <f t="array" ref="C287">IF($H287="","",INDEX(tblFacturasRecibidas[Proveedor],$H287))</f>
        <v/>
      </c>
      <c r="D287" t="str" cm="1">
        <f t="array" ref="D287">IF($H287="","",INDEX(tblFacturasRecibidas[Categoría],$H287))</f>
        <v/>
      </c>
      <c r="H287" t="str" cm="1">
        <f t="array" ref="H2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GASTOS],tblCategorias[Tipo],"")="Inversión")),ROWS($H$5:H287)),"")</f>
        <v/>
      </c>
    </row>
    <row r="288" spans="1:8" x14ac:dyDescent="0.35">
      <c r="A288" s="1" t="str" cm="1">
        <f t="array" ref="A288">IF($H288="","",INDEX(tblFacturasRecibidas[Fecha factura],$H288))</f>
        <v/>
      </c>
      <c r="B288" t="str" cm="1">
        <f t="array" ref="B288">IF($H288="","",INDEX(tblFacturasRecibidas[Concepto],$H288))</f>
        <v/>
      </c>
      <c r="C288" t="str" cm="1">
        <f t="array" ref="C288">IF($H288="","",INDEX(tblFacturasRecibidas[Proveedor],$H288))</f>
        <v/>
      </c>
      <c r="D288" t="str" cm="1">
        <f t="array" ref="D288">IF($H288="","",INDEX(tblFacturasRecibidas[Categoría],$H288))</f>
        <v/>
      </c>
      <c r="H288" t="str" cm="1">
        <f t="array" ref="H2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GASTOS],tblCategorias[Tipo],"")="Inversión")),ROWS($H$5:H288)),"")</f>
        <v/>
      </c>
    </row>
    <row r="289" spans="1:8" x14ac:dyDescent="0.35">
      <c r="A289" s="1" t="str" cm="1">
        <f t="array" ref="A289">IF($H289="","",INDEX(tblFacturasRecibidas[Fecha factura],$H289))</f>
        <v/>
      </c>
      <c r="B289" t="str" cm="1">
        <f t="array" ref="B289">IF($H289="","",INDEX(tblFacturasRecibidas[Concepto],$H289))</f>
        <v/>
      </c>
      <c r="C289" t="str" cm="1">
        <f t="array" ref="C289">IF($H289="","",INDEX(tblFacturasRecibidas[Proveedor],$H289))</f>
        <v/>
      </c>
      <c r="D289" t="str" cm="1">
        <f t="array" ref="D289">IF($H289="","",INDEX(tblFacturasRecibidas[Categoría],$H289))</f>
        <v/>
      </c>
      <c r="H289" t="str" cm="1">
        <f t="array" ref="H2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GASTOS],tblCategorias[Tipo],"")="Inversión")),ROWS($H$5:H289)),"")</f>
        <v/>
      </c>
    </row>
    <row r="290" spans="1:8" x14ac:dyDescent="0.35">
      <c r="A290" s="1" t="str" cm="1">
        <f t="array" ref="A290">IF($H290="","",INDEX(tblFacturasRecibidas[Fecha factura],$H290))</f>
        <v/>
      </c>
      <c r="B290" t="str" cm="1">
        <f t="array" ref="B290">IF($H290="","",INDEX(tblFacturasRecibidas[Concepto],$H290))</f>
        <v/>
      </c>
      <c r="C290" t="str" cm="1">
        <f t="array" ref="C290">IF($H290="","",INDEX(tblFacturasRecibidas[Proveedor],$H290))</f>
        <v/>
      </c>
      <c r="D290" t="str" cm="1">
        <f t="array" ref="D290">IF($H290="","",INDEX(tblFacturasRecibidas[Categoría],$H290))</f>
        <v/>
      </c>
      <c r="H290" t="str" cm="1">
        <f t="array" ref="H2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GASTOS],tblCategorias[Tipo],"")="Inversión")),ROWS($H$5:H290)),"")</f>
        <v/>
      </c>
    </row>
    <row r="291" spans="1:8" x14ac:dyDescent="0.35">
      <c r="A291" s="1" t="str" cm="1">
        <f t="array" ref="A291">IF($H291="","",INDEX(tblFacturasRecibidas[Fecha factura],$H291))</f>
        <v/>
      </c>
      <c r="B291" t="str" cm="1">
        <f t="array" ref="B291">IF($H291="","",INDEX(tblFacturasRecibidas[Concepto],$H291))</f>
        <v/>
      </c>
      <c r="C291" t="str" cm="1">
        <f t="array" ref="C291">IF($H291="","",INDEX(tblFacturasRecibidas[Proveedor],$H291))</f>
        <v/>
      </c>
      <c r="D291" t="str" cm="1">
        <f t="array" ref="D291">IF($H291="","",INDEX(tblFacturasRecibidas[Categoría],$H291))</f>
        <v/>
      </c>
      <c r="H291" t="str" cm="1">
        <f t="array" ref="H2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GASTOS],tblCategorias[Tipo],"")="Inversión")),ROWS($H$5:H291)),"")</f>
        <v/>
      </c>
    </row>
    <row r="292" spans="1:8" x14ac:dyDescent="0.35">
      <c r="A292" s="1" t="str" cm="1">
        <f t="array" ref="A292">IF($H292="","",INDEX(tblFacturasRecibidas[Fecha factura],$H292))</f>
        <v/>
      </c>
      <c r="B292" t="str" cm="1">
        <f t="array" ref="B292">IF($H292="","",INDEX(tblFacturasRecibidas[Concepto],$H292))</f>
        <v/>
      </c>
      <c r="C292" t="str" cm="1">
        <f t="array" ref="C292">IF($H292="","",INDEX(tblFacturasRecibidas[Proveedor],$H292))</f>
        <v/>
      </c>
      <c r="D292" t="str" cm="1">
        <f t="array" ref="D292">IF($H292="","",INDEX(tblFacturasRecibidas[Categoría],$H292))</f>
        <v/>
      </c>
      <c r="H292" t="str" cm="1">
        <f t="array" ref="H2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GASTOS],tblCategorias[Tipo],"")="Inversión")),ROWS($H$5:H292)),"")</f>
        <v/>
      </c>
    </row>
    <row r="293" spans="1:8" x14ac:dyDescent="0.35">
      <c r="A293" s="1" t="str" cm="1">
        <f t="array" ref="A293">IF($H293="","",INDEX(tblFacturasRecibidas[Fecha factura],$H293))</f>
        <v/>
      </c>
      <c r="B293" t="str" cm="1">
        <f t="array" ref="B293">IF($H293="","",INDEX(tblFacturasRecibidas[Concepto],$H293))</f>
        <v/>
      </c>
      <c r="C293" t="str" cm="1">
        <f t="array" ref="C293">IF($H293="","",INDEX(tblFacturasRecibidas[Proveedor],$H293))</f>
        <v/>
      </c>
      <c r="D293" t="str" cm="1">
        <f t="array" ref="D293">IF($H293="","",INDEX(tblFacturasRecibidas[Categoría],$H293))</f>
        <v/>
      </c>
      <c r="H293" t="str" cm="1">
        <f t="array" ref="H2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GASTOS],tblCategorias[Tipo],"")="Inversión")),ROWS($H$5:H293)),"")</f>
        <v/>
      </c>
    </row>
    <row r="294" spans="1:8" x14ac:dyDescent="0.35">
      <c r="A294" s="1" t="str" cm="1">
        <f t="array" ref="A294">IF($H294="","",INDEX(tblFacturasRecibidas[Fecha factura],$H294))</f>
        <v/>
      </c>
      <c r="B294" t="str" cm="1">
        <f t="array" ref="B294">IF($H294="","",INDEX(tblFacturasRecibidas[Concepto],$H294))</f>
        <v/>
      </c>
      <c r="C294" t="str" cm="1">
        <f t="array" ref="C294">IF($H294="","",INDEX(tblFacturasRecibidas[Proveedor],$H294))</f>
        <v/>
      </c>
      <c r="D294" t="str" cm="1">
        <f t="array" ref="D294">IF($H294="","",INDEX(tblFacturasRecibidas[Categoría],$H294))</f>
        <v/>
      </c>
      <c r="H294" t="str" cm="1">
        <f t="array" ref="H2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GASTOS],tblCategorias[Tipo],"")="Inversión")),ROWS($H$5:H294)),"")</f>
        <v/>
      </c>
    </row>
    <row r="295" spans="1:8" x14ac:dyDescent="0.35">
      <c r="A295" s="1" t="str" cm="1">
        <f t="array" ref="A295">IF($H295="","",INDEX(tblFacturasRecibidas[Fecha factura],$H295))</f>
        <v/>
      </c>
      <c r="B295" t="str" cm="1">
        <f t="array" ref="B295">IF($H295="","",INDEX(tblFacturasRecibidas[Concepto],$H295))</f>
        <v/>
      </c>
      <c r="C295" t="str" cm="1">
        <f t="array" ref="C295">IF($H295="","",INDEX(tblFacturasRecibidas[Proveedor],$H295))</f>
        <v/>
      </c>
      <c r="D295" t="str" cm="1">
        <f t="array" ref="D295">IF($H295="","",INDEX(tblFacturasRecibidas[Categoría],$H295))</f>
        <v/>
      </c>
      <c r="H295" t="str" cm="1">
        <f t="array" ref="H2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GASTOS],tblCategorias[Tipo],"")="Inversión")),ROWS($H$5:H295)),"")</f>
        <v/>
      </c>
    </row>
    <row r="296" spans="1:8" x14ac:dyDescent="0.35">
      <c r="A296" s="1" t="str" cm="1">
        <f t="array" ref="A296">IF($H296="","",INDEX(tblFacturasRecibidas[Fecha factura],$H296))</f>
        <v/>
      </c>
      <c r="B296" t="str" cm="1">
        <f t="array" ref="B296">IF($H296="","",INDEX(tblFacturasRecibidas[Concepto],$H296))</f>
        <v/>
      </c>
      <c r="C296" t="str" cm="1">
        <f t="array" ref="C296">IF($H296="","",INDEX(tblFacturasRecibidas[Proveedor],$H296))</f>
        <v/>
      </c>
      <c r="D296" t="str" cm="1">
        <f t="array" ref="D296">IF($H296="","",INDEX(tblFacturasRecibidas[Categoría],$H296))</f>
        <v/>
      </c>
      <c r="H296" t="str" cm="1">
        <f t="array" ref="H2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GASTOS],tblCategorias[Tipo],"")="Inversión")),ROWS($H$5:H296)),"")</f>
        <v/>
      </c>
    </row>
    <row r="297" spans="1:8" x14ac:dyDescent="0.35">
      <c r="A297" s="1" t="str" cm="1">
        <f t="array" ref="A297">IF($H297="","",INDEX(tblFacturasRecibidas[Fecha factura],$H297))</f>
        <v/>
      </c>
      <c r="B297" t="str" cm="1">
        <f t="array" ref="B297">IF($H297="","",INDEX(tblFacturasRecibidas[Concepto],$H297))</f>
        <v/>
      </c>
      <c r="C297" t="str" cm="1">
        <f t="array" ref="C297">IF($H297="","",INDEX(tblFacturasRecibidas[Proveedor],$H297))</f>
        <v/>
      </c>
      <c r="D297" t="str" cm="1">
        <f t="array" ref="D297">IF($H297="","",INDEX(tblFacturasRecibidas[Categoría],$H297))</f>
        <v/>
      </c>
      <c r="H297" t="str" cm="1">
        <f t="array" ref="H2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GASTOS],tblCategorias[Tipo],"")="Inversión")),ROWS($H$5:H297)),"")</f>
        <v/>
      </c>
    </row>
    <row r="298" spans="1:8" x14ac:dyDescent="0.35">
      <c r="A298" s="1" t="str" cm="1">
        <f t="array" ref="A298">IF($H298="","",INDEX(tblFacturasRecibidas[Fecha factura],$H298))</f>
        <v/>
      </c>
      <c r="B298" t="str" cm="1">
        <f t="array" ref="B298">IF($H298="","",INDEX(tblFacturasRecibidas[Concepto],$H298))</f>
        <v/>
      </c>
      <c r="C298" t="str" cm="1">
        <f t="array" ref="C298">IF($H298="","",INDEX(tblFacturasRecibidas[Proveedor],$H298))</f>
        <v/>
      </c>
      <c r="D298" t="str" cm="1">
        <f t="array" ref="D298">IF($H298="","",INDEX(tblFacturasRecibidas[Categoría],$H298))</f>
        <v/>
      </c>
      <c r="H298" t="str" cm="1">
        <f t="array" ref="H2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GASTOS],tblCategorias[Tipo],"")="Inversión")),ROWS($H$5:H298)),"")</f>
        <v/>
      </c>
    </row>
    <row r="299" spans="1:8" x14ac:dyDescent="0.35">
      <c r="A299" s="1" t="str" cm="1">
        <f t="array" ref="A299">IF($H299="","",INDEX(tblFacturasRecibidas[Fecha factura],$H299))</f>
        <v/>
      </c>
      <c r="B299" t="str" cm="1">
        <f t="array" ref="B299">IF($H299="","",INDEX(tblFacturasRecibidas[Concepto],$H299))</f>
        <v/>
      </c>
      <c r="C299" t="str" cm="1">
        <f t="array" ref="C299">IF($H299="","",INDEX(tblFacturasRecibidas[Proveedor],$H299))</f>
        <v/>
      </c>
      <c r="D299" t="str" cm="1">
        <f t="array" ref="D299">IF($H299="","",INDEX(tblFacturasRecibidas[Categoría],$H299))</f>
        <v/>
      </c>
      <c r="H299" t="str" cm="1">
        <f t="array" ref="H2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GASTOS],tblCategorias[Tipo],"")="Inversión")),ROWS($H$5:H299)),"")</f>
        <v/>
      </c>
    </row>
    <row r="300" spans="1:8" x14ac:dyDescent="0.35">
      <c r="A300" s="1" t="str" cm="1">
        <f t="array" ref="A300">IF($H300="","",INDEX(tblFacturasRecibidas[Fecha factura],$H300))</f>
        <v/>
      </c>
      <c r="B300" t="str" cm="1">
        <f t="array" ref="B300">IF($H300="","",INDEX(tblFacturasRecibidas[Concepto],$H300))</f>
        <v/>
      </c>
      <c r="C300" t="str" cm="1">
        <f t="array" ref="C300">IF($H300="","",INDEX(tblFacturasRecibidas[Proveedor],$H300))</f>
        <v/>
      </c>
      <c r="D300" t="str" cm="1">
        <f t="array" ref="D300">IF($H300="","",INDEX(tblFacturasRecibidas[Categoría],$H300))</f>
        <v/>
      </c>
      <c r="H300" t="str" cm="1">
        <f t="array" ref="H3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GASTOS],tblCategorias[Tipo],"")="Inversión")),ROWS($H$5:H300)),"")</f>
        <v/>
      </c>
    </row>
    <row r="301" spans="1:8" x14ac:dyDescent="0.35">
      <c r="A301" s="1" t="str" cm="1">
        <f t="array" ref="A301">IF($H301="","",INDEX(tblFacturasRecibidas[Fecha factura],$H301))</f>
        <v/>
      </c>
      <c r="B301" t="str" cm="1">
        <f t="array" ref="B301">IF($H301="","",INDEX(tblFacturasRecibidas[Concepto],$H301))</f>
        <v/>
      </c>
      <c r="C301" t="str" cm="1">
        <f t="array" ref="C301">IF($H301="","",INDEX(tblFacturasRecibidas[Proveedor],$H301))</f>
        <v/>
      </c>
      <c r="D301" t="str" cm="1">
        <f t="array" ref="D301">IF($H301="","",INDEX(tblFacturasRecibidas[Categoría],$H301))</f>
        <v/>
      </c>
      <c r="H301" t="str" cm="1">
        <f t="array" ref="H3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GASTOS],tblCategorias[Tipo],"")="Inversión")),ROWS($H$5:H301)),"")</f>
        <v/>
      </c>
    </row>
    <row r="302" spans="1:8" x14ac:dyDescent="0.35">
      <c r="A302" s="1" t="str" cm="1">
        <f t="array" ref="A302">IF($H302="","",INDEX(tblFacturasRecibidas[Fecha factura],$H302))</f>
        <v/>
      </c>
      <c r="B302" t="str" cm="1">
        <f t="array" ref="B302">IF($H302="","",INDEX(tblFacturasRecibidas[Concepto],$H302))</f>
        <v/>
      </c>
      <c r="C302" t="str" cm="1">
        <f t="array" ref="C302">IF($H302="","",INDEX(tblFacturasRecibidas[Proveedor],$H302))</f>
        <v/>
      </c>
      <c r="D302" t="str" cm="1">
        <f t="array" ref="D302">IF($H302="","",INDEX(tblFacturasRecibidas[Categoría],$H302))</f>
        <v/>
      </c>
      <c r="H302" t="str" cm="1">
        <f t="array" ref="H3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GASTOS],tblCategorias[Tipo],"")="Inversión")),ROWS($H$5:H302)),"")</f>
        <v/>
      </c>
    </row>
    <row r="303" spans="1:8" x14ac:dyDescent="0.35">
      <c r="A303" s="1" t="str" cm="1">
        <f t="array" ref="A303">IF($H303="","",INDEX(tblFacturasRecibidas[Fecha factura],$H303))</f>
        <v/>
      </c>
      <c r="B303" t="str" cm="1">
        <f t="array" ref="B303">IF($H303="","",INDEX(tblFacturasRecibidas[Concepto],$H303))</f>
        <v/>
      </c>
      <c r="C303" t="str" cm="1">
        <f t="array" ref="C303">IF($H303="","",INDEX(tblFacturasRecibidas[Proveedor],$H303))</f>
        <v/>
      </c>
      <c r="D303" t="str" cm="1">
        <f t="array" ref="D303">IF($H303="","",INDEX(tblFacturasRecibidas[Categoría],$H303))</f>
        <v/>
      </c>
      <c r="H303" t="str" cm="1">
        <f t="array" ref="H3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GASTOS],tblCategorias[Tipo],"")="Inversión")),ROWS($H$5:H303)),"")</f>
        <v/>
      </c>
    </row>
    <row r="304" spans="1:8" x14ac:dyDescent="0.35">
      <c r="A304" s="1" t="str" cm="1">
        <f t="array" ref="A304">IF($H304="","",INDEX(tblFacturasRecibidas[Fecha factura],$H304))</f>
        <v/>
      </c>
      <c r="B304" t="str" cm="1">
        <f t="array" ref="B304">IF($H304="","",INDEX(tblFacturasRecibidas[Concepto],$H304))</f>
        <v/>
      </c>
      <c r="C304" t="str" cm="1">
        <f t="array" ref="C304">IF($H304="","",INDEX(tblFacturasRecibidas[Proveedor],$H304))</f>
        <v/>
      </c>
      <c r="D304" t="str" cm="1">
        <f t="array" ref="D304">IF($H304="","",INDEX(tblFacturasRecibidas[Categoría],$H304))</f>
        <v/>
      </c>
      <c r="H304" t="str" cm="1">
        <f t="array" ref="H3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GASTOS],tblCategorias[Tipo],"")="Inversión")),ROWS($H$5:H304)),"")</f>
        <v/>
      </c>
    </row>
    <row r="305" spans="1:8" x14ac:dyDescent="0.35">
      <c r="A305" s="1" t="str" cm="1">
        <f t="array" ref="A305">IF($H305="","",INDEX(tblFacturasRecibidas[Fecha factura],$H305))</f>
        <v/>
      </c>
      <c r="B305" t="str" cm="1">
        <f t="array" ref="B305">IF($H305="","",INDEX(tblFacturasRecibidas[Concepto],$H305))</f>
        <v/>
      </c>
      <c r="C305" t="str" cm="1">
        <f t="array" ref="C305">IF($H305="","",INDEX(tblFacturasRecibidas[Proveedor],$H305))</f>
        <v/>
      </c>
      <c r="D305" t="str" cm="1">
        <f t="array" ref="D305">IF($H305="","",INDEX(tblFacturasRecibidas[Categoría],$H305))</f>
        <v/>
      </c>
      <c r="H305" t="str" cm="1">
        <f t="array" ref="H3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GASTOS],tblCategorias[Tipo],"")="Inversión")),ROWS($H$5:H305)),"")</f>
        <v/>
      </c>
    </row>
    <row r="306" spans="1:8" x14ac:dyDescent="0.35">
      <c r="A306" s="1" t="str" cm="1">
        <f t="array" ref="A306">IF($H306="","",INDEX(tblFacturasRecibidas[Fecha factura],$H306))</f>
        <v/>
      </c>
      <c r="B306" t="str" cm="1">
        <f t="array" ref="B306">IF($H306="","",INDEX(tblFacturasRecibidas[Concepto],$H306))</f>
        <v/>
      </c>
      <c r="C306" t="str" cm="1">
        <f t="array" ref="C306">IF($H306="","",INDEX(tblFacturasRecibidas[Proveedor],$H306))</f>
        <v/>
      </c>
      <c r="D306" t="str" cm="1">
        <f t="array" ref="D306">IF($H306="","",INDEX(tblFacturasRecibidas[Categoría],$H306))</f>
        <v/>
      </c>
      <c r="H306" t="str" cm="1">
        <f t="array" ref="H3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GASTOS],tblCategorias[Tipo],"")="Inversión")),ROWS($H$5:H306)),"")</f>
        <v/>
      </c>
    </row>
    <row r="307" spans="1:8" x14ac:dyDescent="0.35">
      <c r="A307" s="1" t="str" cm="1">
        <f t="array" ref="A307">IF($H307="","",INDEX(tblFacturasRecibidas[Fecha factura],$H307))</f>
        <v/>
      </c>
      <c r="B307" t="str" cm="1">
        <f t="array" ref="B307">IF($H307="","",INDEX(tblFacturasRecibidas[Concepto],$H307))</f>
        <v/>
      </c>
      <c r="C307" t="str" cm="1">
        <f t="array" ref="C307">IF($H307="","",INDEX(tblFacturasRecibidas[Proveedor],$H307))</f>
        <v/>
      </c>
      <c r="D307" t="str" cm="1">
        <f t="array" ref="D307">IF($H307="","",INDEX(tblFacturasRecibidas[Categoría],$H307))</f>
        <v/>
      </c>
      <c r="H307" t="str" cm="1">
        <f t="array" ref="H3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GASTOS],tblCategorias[Tipo],"")="Inversión")),ROWS($H$5:H307)),"")</f>
        <v/>
      </c>
    </row>
    <row r="308" spans="1:8" x14ac:dyDescent="0.35">
      <c r="A308" s="1" t="str" cm="1">
        <f t="array" ref="A308">IF($H308="","",INDEX(tblFacturasRecibidas[Fecha factura],$H308))</f>
        <v/>
      </c>
      <c r="B308" t="str" cm="1">
        <f t="array" ref="B308">IF($H308="","",INDEX(tblFacturasRecibidas[Concepto],$H308))</f>
        <v/>
      </c>
      <c r="C308" t="str" cm="1">
        <f t="array" ref="C308">IF($H308="","",INDEX(tblFacturasRecibidas[Proveedor],$H308))</f>
        <v/>
      </c>
      <c r="D308" t="str" cm="1">
        <f t="array" ref="D308">IF($H308="","",INDEX(tblFacturasRecibidas[Categoría],$H308))</f>
        <v/>
      </c>
      <c r="H308" t="str" cm="1">
        <f t="array" ref="H3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GASTOS],tblCategorias[Tipo],"")="Inversión")),ROWS($H$5:H308)),"")</f>
        <v/>
      </c>
    </row>
    <row r="309" spans="1:8" x14ac:dyDescent="0.35">
      <c r="A309" s="1" t="str" cm="1">
        <f t="array" ref="A309">IF($H309="","",INDEX(tblFacturasRecibidas[Fecha factura],$H309))</f>
        <v/>
      </c>
      <c r="B309" t="str" cm="1">
        <f t="array" ref="B309">IF($H309="","",INDEX(tblFacturasRecibidas[Concepto],$H309))</f>
        <v/>
      </c>
      <c r="C309" t="str" cm="1">
        <f t="array" ref="C309">IF($H309="","",INDEX(tblFacturasRecibidas[Proveedor],$H309))</f>
        <v/>
      </c>
      <c r="D309" t="str" cm="1">
        <f t="array" ref="D309">IF($H309="","",INDEX(tblFacturasRecibidas[Categoría],$H309))</f>
        <v/>
      </c>
      <c r="H309" t="str" cm="1">
        <f t="array" ref="H3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GASTOS],tblCategorias[Tipo],"")="Inversión")),ROWS($H$5:H309)),"")</f>
        <v/>
      </c>
    </row>
    <row r="310" spans="1:8" x14ac:dyDescent="0.35">
      <c r="A310" s="1" t="str" cm="1">
        <f t="array" ref="A310">IF($H310="","",INDEX(tblFacturasRecibidas[Fecha factura],$H310))</f>
        <v/>
      </c>
      <c r="B310" t="str" cm="1">
        <f t="array" ref="B310">IF($H310="","",INDEX(tblFacturasRecibidas[Concepto],$H310))</f>
        <v/>
      </c>
      <c r="C310" t="str" cm="1">
        <f t="array" ref="C310">IF($H310="","",INDEX(tblFacturasRecibidas[Proveedor],$H310))</f>
        <v/>
      </c>
      <c r="D310" t="str" cm="1">
        <f t="array" ref="D310">IF($H310="","",INDEX(tblFacturasRecibidas[Categoría],$H310))</f>
        <v/>
      </c>
      <c r="H310" t="str" cm="1">
        <f t="array" ref="H3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GASTOS],tblCategorias[Tipo],"")="Inversión")),ROWS($H$5:H310)),"")</f>
        <v/>
      </c>
    </row>
    <row r="311" spans="1:8" x14ac:dyDescent="0.35">
      <c r="A311" s="1" t="str" cm="1">
        <f t="array" ref="A311">IF($H311="","",INDEX(tblFacturasRecibidas[Fecha factura],$H311))</f>
        <v/>
      </c>
      <c r="B311" t="str" cm="1">
        <f t="array" ref="B311">IF($H311="","",INDEX(tblFacturasRecibidas[Concepto],$H311))</f>
        <v/>
      </c>
      <c r="C311" t="str" cm="1">
        <f t="array" ref="C311">IF($H311="","",INDEX(tblFacturasRecibidas[Proveedor],$H311))</f>
        <v/>
      </c>
      <c r="D311" t="str" cm="1">
        <f t="array" ref="D311">IF($H311="","",INDEX(tblFacturasRecibidas[Categoría],$H311))</f>
        <v/>
      </c>
      <c r="H311" t="str" cm="1">
        <f t="array" ref="H3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GASTOS],tblCategorias[Tipo],"")="Inversión")),ROWS($H$5:H311)),"")</f>
        <v/>
      </c>
    </row>
    <row r="312" spans="1:8" x14ac:dyDescent="0.35">
      <c r="A312" s="1" t="str" cm="1">
        <f t="array" ref="A312">IF($H312="","",INDEX(tblFacturasRecibidas[Fecha factura],$H312))</f>
        <v/>
      </c>
      <c r="B312" t="str" cm="1">
        <f t="array" ref="B312">IF($H312="","",INDEX(tblFacturasRecibidas[Concepto],$H312))</f>
        <v/>
      </c>
      <c r="C312" t="str" cm="1">
        <f t="array" ref="C312">IF($H312="","",INDEX(tblFacturasRecibidas[Proveedor],$H312))</f>
        <v/>
      </c>
      <c r="D312" t="str" cm="1">
        <f t="array" ref="D312">IF($H312="","",INDEX(tblFacturasRecibidas[Categoría],$H312))</f>
        <v/>
      </c>
      <c r="H312" t="str" cm="1">
        <f t="array" ref="H3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GASTOS],tblCategorias[Tipo],"")="Inversión")),ROWS($H$5:H312)),"")</f>
        <v/>
      </c>
    </row>
    <row r="313" spans="1:8" x14ac:dyDescent="0.35">
      <c r="A313" s="1" t="str" cm="1">
        <f t="array" ref="A313">IF($H313="","",INDEX(tblFacturasRecibidas[Fecha factura],$H313))</f>
        <v/>
      </c>
      <c r="B313" t="str" cm="1">
        <f t="array" ref="B313">IF($H313="","",INDEX(tblFacturasRecibidas[Concepto],$H313))</f>
        <v/>
      </c>
      <c r="C313" t="str" cm="1">
        <f t="array" ref="C313">IF($H313="","",INDEX(tblFacturasRecibidas[Proveedor],$H313))</f>
        <v/>
      </c>
      <c r="D313" t="str" cm="1">
        <f t="array" ref="D313">IF($H313="","",INDEX(tblFacturasRecibidas[Categoría],$H313))</f>
        <v/>
      </c>
      <c r="H313" t="str" cm="1">
        <f t="array" ref="H3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GASTOS],tblCategorias[Tipo],"")="Inversión")),ROWS($H$5:H313)),"")</f>
        <v/>
      </c>
    </row>
    <row r="314" spans="1:8" x14ac:dyDescent="0.35">
      <c r="A314" s="1" t="str" cm="1">
        <f t="array" ref="A314">IF($H314="","",INDEX(tblFacturasRecibidas[Fecha factura],$H314))</f>
        <v/>
      </c>
      <c r="B314" t="str" cm="1">
        <f t="array" ref="B314">IF($H314="","",INDEX(tblFacturasRecibidas[Concepto],$H314))</f>
        <v/>
      </c>
      <c r="C314" t="str" cm="1">
        <f t="array" ref="C314">IF($H314="","",INDEX(tblFacturasRecibidas[Proveedor],$H314))</f>
        <v/>
      </c>
      <c r="D314" t="str" cm="1">
        <f t="array" ref="D314">IF($H314="","",INDEX(tblFacturasRecibidas[Categoría],$H314))</f>
        <v/>
      </c>
      <c r="H314" t="str" cm="1">
        <f t="array" ref="H3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GASTOS],tblCategorias[Tipo],"")="Inversión")),ROWS($H$5:H314)),"")</f>
        <v/>
      </c>
    </row>
    <row r="315" spans="1:8" x14ac:dyDescent="0.35">
      <c r="A315" s="1" t="str" cm="1">
        <f t="array" ref="A315">IF($H315="","",INDEX(tblFacturasRecibidas[Fecha factura],$H315))</f>
        <v/>
      </c>
      <c r="B315" t="str" cm="1">
        <f t="array" ref="B315">IF($H315="","",INDEX(tblFacturasRecibidas[Concepto],$H315))</f>
        <v/>
      </c>
      <c r="C315" t="str" cm="1">
        <f t="array" ref="C315">IF($H315="","",INDEX(tblFacturasRecibidas[Proveedor],$H315))</f>
        <v/>
      </c>
      <c r="D315" t="str" cm="1">
        <f t="array" ref="D315">IF($H315="","",INDEX(tblFacturasRecibidas[Categoría],$H315))</f>
        <v/>
      </c>
      <c r="H315" t="str" cm="1">
        <f t="array" ref="H3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GASTOS],tblCategorias[Tipo],"")="Inversión")),ROWS($H$5:H315)),"")</f>
        <v/>
      </c>
    </row>
    <row r="316" spans="1:8" x14ac:dyDescent="0.35">
      <c r="A316" s="1" t="str" cm="1">
        <f t="array" ref="A316">IF($H316="","",INDEX(tblFacturasRecibidas[Fecha factura],$H316))</f>
        <v/>
      </c>
      <c r="B316" t="str" cm="1">
        <f t="array" ref="B316">IF($H316="","",INDEX(tblFacturasRecibidas[Concepto],$H316))</f>
        <v/>
      </c>
      <c r="C316" t="str" cm="1">
        <f t="array" ref="C316">IF($H316="","",INDEX(tblFacturasRecibidas[Proveedor],$H316))</f>
        <v/>
      </c>
      <c r="D316" t="str" cm="1">
        <f t="array" ref="D316">IF($H316="","",INDEX(tblFacturasRecibidas[Categoría],$H316))</f>
        <v/>
      </c>
      <c r="H316" t="str" cm="1">
        <f t="array" ref="H3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GASTOS],tblCategorias[Tipo],"")="Inversión")),ROWS($H$5:H316)),"")</f>
        <v/>
      </c>
    </row>
    <row r="317" spans="1:8" x14ac:dyDescent="0.35">
      <c r="A317" s="1" t="str" cm="1">
        <f t="array" ref="A317">IF($H317="","",INDEX(tblFacturasRecibidas[Fecha factura],$H317))</f>
        <v/>
      </c>
      <c r="B317" t="str" cm="1">
        <f t="array" ref="B317">IF($H317="","",INDEX(tblFacturasRecibidas[Concepto],$H317))</f>
        <v/>
      </c>
      <c r="C317" t="str" cm="1">
        <f t="array" ref="C317">IF($H317="","",INDEX(tblFacturasRecibidas[Proveedor],$H317))</f>
        <v/>
      </c>
      <c r="D317" t="str" cm="1">
        <f t="array" ref="D317">IF($H317="","",INDEX(tblFacturasRecibidas[Categoría],$H317))</f>
        <v/>
      </c>
      <c r="H317" t="str" cm="1">
        <f t="array" ref="H3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GASTOS],tblCategorias[Tipo],"")="Inversión")),ROWS($H$5:H317)),"")</f>
        <v/>
      </c>
    </row>
    <row r="318" spans="1:8" x14ac:dyDescent="0.35">
      <c r="A318" s="1" t="str" cm="1">
        <f t="array" ref="A318">IF($H318="","",INDEX(tblFacturasRecibidas[Fecha factura],$H318))</f>
        <v/>
      </c>
      <c r="B318" t="str" cm="1">
        <f t="array" ref="B318">IF($H318="","",INDEX(tblFacturasRecibidas[Concepto],$H318))</f>
        <v/>
      </c>
      <c r="C318" t="str" cm="1">
        <f t="array" ref="C318">IF($H318="","",INDEX(tblFacturasRecibidas[Proveedor],$H318))</f>
        <v/>
      </c>
      <c r="D318" t="str" cm="1">
        <f t="array" ref="D318">IF($H318="","",INDEX(tblFacturasRecibidas[Categoría],$H318))</f>
        <v/>
      </c>
      <c r="H318" t="str" cm="1">
        <f t="array" ref="H3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GASTOS],tblCategorias[Tipo],"")="Inversión")),ROWS($H$5:H318)),"")</f>
        <v/>
      </c>
    </row>
    <row r="319" spans="1:8" x14ac:dyDescent="0.35">
      <c r="A319" s="1" t="str" cm="1">
        <f t="array" ref="A319">IF($H319="","",INDEX(tblFacturasRecibidas[Fecha factura],$H319))</f>
        <v/>
      </c>
      <c r="B319" t="str" cm="1">
        <f t="array" ref="B319">IF($H319="","",INDEX(tblFacturasRecibidas[Concepto],$H319))</f>
        <v/>
      </c>
      <c r="C319" t="str" cm="1">
        <f t="array" ref="C319">IF($H319="","",INDEX(tblFacturasRecibidas[Proveedor],$H319))</f>
        <v/>
      </c>
      <c r="D319" t="str" cm="1">
        <f t="array" ref="D319">IF($H319="","",INDEX(tblFacturasRecibidas[Categoría],$H319))</f>
        <v/>
      </c>
      <c r="H319" t="str" cm="1">
        <f t="array" ref="H3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GASTOS],tblCategorias[Tipo],"")="Inversión")),ROWS($H$5:H319)),"")</f>
        <v/>
      </c>
    </row>
    <row r="320" spans="1:8" x14ac:dyDescent="0.35">
      <c r="A320" s="1" t="str" cm="1">
        <f t="array" ref="A320">IF($H320="","",INDEX(tblFacturasRecibidas[Fecha factura],$H320))</f>
        <v/>
      </c>
      <c r="B320" t="str" cm="1">
        <f t="array" ref="B320">IF($H320="","",INDEX(tblFacturasRecibidas[Concepto],$H320))</f>
        <v/>
      </c>
      <c r="C320" t="str" cm="1">
        <f t="array" ref="C320">IF($H320="","",INDEX(tblFacturasRecibidas[Proveedor],$H320))</f>
        <v/>
      </c>
      <c r="D320" t="str" cm="1">
        <f t="array" ref="D320">IF($H320="","",INDEX(tblFacturasRecibidas[Categoría],$H320))</f>
        <v/>
      </c>
      <c r="H320" t="str" cm="1">
        <f t="array" ref="H3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GASTOS],tblCategorias[Tipo],"")="Inversión")),ROWS($H$5:H320)),"")</f>
        <v/>
      </c>
    </row>
    <row r="321" spans="1:8" x14ac:dyDescent="0.35">
      <c r="A321" s="1" t="str" cm="1">
        <f t="array" ref="A321">IF($H321="","",INDEX(tblFacturasRecibidas[Fecha factura],$H321))</f>
        <v/>
      </c>
      <c r="B321" t="str" cm="1">
        <f t="array" ref="B321">IF($H321="","",INDEX(tblFacturasRecibidas[Concepto],$H321))</f>
        <v/>
      </c>
      <c r="C321" t="str" cm="1">
        <f t="array" ref="C321">IF($H321="","",INDEX(tblFacturasRecibidas[Proveedor],$H321))</f>
        <v/>
      </c>
      <c r="D321" t="str" cm="1">
        <f t="array" ref="D321">IF($H321="","",INDEX(tblFacturasRecibidas[Categoría],$H321))</f>
        <v/>
      </c>
      <c r="H321" t="str" cm="1">
        <f t="array" ref="H3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GASTOS],tblCategorias[Tipo],"")="Inversión")),ROWS($H$5:H321)),"")</f>
        <v/>
      </c>
    </row>
    <row r="322" spans="1:8" x14ac:dyDescent="0.35">
      <c r="A322" s="1" t="str" cm="1">
        <f t="array" ref="A322">IF($H322="","",INDEX(tblFacturasRecibidas[Fecha factura],$H322))</f>
        <v/>
      </c>
      <c r="B322" t="str" cm="1">
        <f t="array" ref="B322">IF($H322="","",INDEX(tblFacturasRecibidas[Concepto],$H322))</f>
        <v/>
      </c>
      <c r="C322" t="str" cm="1">
        <f t="array" ref="C322">IF($H322="","",INDEX(tblFacturasRecibidas[Proveedor],$H322))</f>
        <v/>
      </c>
      <c r="D322" t="str" cm="1">
        <f t="array" ref="D322">IF($H322="","",INDEX(tblFacturasRecibidas[Categoría],$H322))</f>
        <v/>
      </c>
      <c r="H322" t="str" cm="1">
        <f t="array" ref="H3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GASTOS],tblCategorias[Tipo],"")="Inversión")),ROWS($H$5:H322)),"")</f>
        <v/>
      </c>
    </row>
    <row r="323" spans="1:8" x14ac:dyDescent="0.35">
      <c r="A323" s="1" t="str" cm="1">
        <f t="array" ref="A323">IF($H323="","",INDEX(tblFacturasRecibidas[Fecha factura],$H323))</f>
        <v/>
      </c>
      <c r="B323" t="str" cm="1">
        <f t="array" ref="B323">IF($H323="","",INDEX(tblFacturasRecibidas[Concepto],$H323))</f>
        <v/>
      </c>
      <c r="C323" t="str" cm="1">
        <f t="array" ref="C323">IF($H323="","",INDEX(tblFacturasRecibidas[Proveedor],$H323))</f>
        <v/>
      </c>
      <c r="D323" t="str" cm="1">
        <f t="array" ref="D323">IF($H323="","",INDEX(tblFacturasRecibidas[Categoría],$H323))</f>
        <v/>
      </c>
      <c r="H323" t="str" cm="1">
        <f t="array" ref="H3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GASTOS],tblCategorias[Tipo],"")="Inversión")),ROWS($H$5:H323)),"")</f>
        <v/>
      </c>
    </row>
    <row r="324" spans="1:8" x14ac:dyDescent="0.35">
      <c r="A324" s="1" t="str" cm="1">
        <f t="array" ref="A324">IF($H324="","",INDEX(tblFacturasRecibidas[Fecha factura],$H324))</f>
        <v/>
      </c>
      <c r="B324" t="str" cm="1">
        <f t="array" ref="B324">IF($H324="","",INDEX(tblFacturasRecibidas[Concepto],$H324))</f>
        <v/>
      </c>
      <c r="C324" t="str" cm="1">
        <f t="array" ref="C324">IF($H324="","",INDEX(tblFacturasRecibidas[Proveedor],$H324))</f>
        <v/>
      </c>
      <c r="D324" t="str" cm="1">
        <f t="array" ref="D324">IF($H324="","",INDEX(tblFacturasRecibidas[Categoría],$H324))</f>
        <v/>
      </c>
      <c r="H324" t="str" cm="1">
        <f t="array" ref="H3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GASTOS],tblCategorias[Tipo],"")="Inversión")),ROWS($H$5:H324)),"")</f>
        <v/>
      </c>
    </row>
    <row r="325" spans="1:8" x14ac:dyDescent="0.35">
      <c r="A325" s="1" t="str" cm="1">
        <f t="array" ref="A325">IF($H325="","",INDEX(tblFacturasRecibidas[Fecha factura],$H325))</f>
        <v/>
      </c>
      <c r="B325" t="str" cm="1">
        <f t="array" ref="B325">IF($H325="","",INDEX(tblFacturasRecibidas[Concepto],$H325))</f>
        <v/>
      </c>
      <c r="C325" t="str" cm="1">
        <f t="array" ref="C325">IF($H325="","",INDEX(tblFacturasRecibidas[Proveedor],$H325))</f>
        <v/>
      </c>
      <c r="D325" t="str" cm="1">
        <f t="array" ref="D325">IF($H325="","",INDEX(tblFacturasRecibidas[Categoría],$H325))</f>
        <v/>
      </c>
      <c r="H325" t="str" cm="1">
        <f t="array" ref="H3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GASTOS],tblCategorias[Tipo],"")="Inversión")),ROWS($H$5:H325)),"")</f>
        <v/>
      </c>
    </row>
    <row r="326" spans="1:8" x14ac:dyDescent="0.35">
      <c r="A326" s="1" t="str" cm="1">
        <f t="array" ref="A326">IF($H326="","",INDEX(tblFacturasRecibidas[Fecha factura],$H326))</f>
        <v/>
      </c>
      <c r="B326" t="str" cm="1">
        <f t="array" ref="B326">IF($H326="","",INDEX(tblFacturasRecibidas[Concepto],$H326))</f>
        <v/>
      </c>
      <c r="C326" t="str" cm="1">
        <f t="array" ref="C326">IF($H326="","",INDEX(tblFacturasRecibidas[Proveedor],$H326))</f>
        <v/>
      </c>
      <c r="D326" t="str" cm="1">
        <f t="array" ref="D326">IF($H326="","",INDEX(tblFacturasRecibidas[Categoría],$H326))</f>
        <v/>
      </c>
      <c r="H326" t="str" cm="1">
        <f t="array" ref="H3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GASTOS],tblCategorias[Tipo],"")="Inversión")),ROWS($H$5:H326)),"")</f>
        <v/>
      </c>
    </row>
    <row r="327" spans="1:8" x14ac:dyDescent="0.35">
      <c r="A327" s="1" t="str" cm="1">
        <f t="array" ref="A327">IF($H327="","",INDEX(tblFacturasRecibidas[Fecha factura],$H327))</f>
        <v/>
      </c>
      <c r="B327" t="str" cm="1">
        <f t="array" ref="B327">IF($H327="","",INDEX(tblFacturasRecibidas[Concepto],$H327))</f>
        <v/>
      </c>
      <c r="C327" t="str" cm="1">
        <f t="array" ref="C327">IF($H327="","",INDEX(tblFacturasRecibidas[Proveedor],$H327))</f>
        <v/>
      </c>
      <c r="D327" t="str" cm="1">
        <f t="array" ref="D327">IF($H327="","",INDEX(tblFacturasRecibidas[Categoría],$H327))</f>
        <v/>
      </c>
      <c r="H327" t="str" cm="1">
        <f t="array" ref="H3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GASTOS],tblCategorias[Tipo],"")="Inversión")),ROWS($H$5:H327)),"")</f>
        <v/>
      </c>
    </row>
    <row r="328" spans="1:8" x14ac:dyDescent="0.35">
      <c r="A328" s="1" t="str" cm="1">
        <f t="array" ref="A328">IF($H328="","",INDEX(tblFacturasRecibidas[Fecha factura],$H328))</f>
        <v/>
      </c>
      <c r="B328" t="str" cm="1">
        <f t="array" ref="B328">IF($H328="","",INDEX(tblFacturasRecibidas[Concepto],$H328))</f>
        <v/>
      </c>
      <c r="C328" t="str" cm="1">
        <f t="array" ref="C328">IF($H328="","",INDEX(tblFacturasRecibidas[Proveedor],$H328))</f>
        <v/>
      </c>
      <c r="D328" t="str" cm="1">
        <f t="array" ref="D328">IF($H328="","",INDEX(tblFacturasRecibidas[Categoría],$H328))</f>
        <v/>
      </c>
      <c r="H328" t="str" cm="1">
        <f t="array" ref="H3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GASTOS],tblCategorias[Tipo],"")="Inversión")),ROWS($H$5:H328)),"")</f>
        <v/>
      </c>
    </row>
    <row r="329" spans="1:8" x14ac:dyDescent="0.35">
      <c r="A329" s="1" t="str" cm="1">
        <f t="array" ref="A329">IF($H329="","",INDEX(tblFacturasRecibidas[Fecha factura],$H329))</f>
        <v/>
      </c>
      <c r="B329" t="str" cm="1">
        <f t="array" ref="B329">IF($H329="","",INDEX(tblFacturasRecibidas[Concepto],$H329))</f>
        <v/>
      </c>
      <c r="C329" t="str" cm="1">
        <f t="array" ref="C329">IF($H329="","",INDEX(tblFacturasRecibidas[Proveedor],$H329))</f>
        <v/>
      </c>
      <c r="D329" t="str" cm="1">
        <f t="array" ref="D329">IF($H329="","",INDEX(tblFacturasRecibidas[Categoría],$H329))</f>
        <v/>
      </c>
      <c r="H329" t="str" cm="1">
        <f t="array" ref="H3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GASTOS],tblCategorias[Tipo],"")="Inversión")),ROWS($H$5:H329)),"")</f>
        <v/>
      </c>
    </row>
    <row r="330" spans="1:8" x14ac:dyDescent="0.35">
      <c r="A330" s="1" t="str" cm="1">
        <f t="array" ref="A330">IF($H330="","",INDEX(tblFacturasRecibidas[Fecha factura],$H330))</f>
        <v/>
      </c>
      <c r="B330" t="str" cm="1">
        <f t="array" ref="B330">IF($H330="","",INDEX(tblFacturasRecibidas[Concepto],$H330))</f>
        <v/>
      </c>
      <c r="C330" t="str" cm="1">
        <f t="array" ref="C330">IF($H330="","",INDEX(tblFacturasRecibidas[Proveedor],$H330))</f>
        <v/>
      </c>
      <c r="D330" t="str" cm="1">
        <f t="array" ref="D330">IF($H330="","",INDEX(tblFacturasRecibidas[Categoría],$H330))</f>
        <v/>
      </c>
      <c r="H330" t="str" cm="1">
        <f t="array" ref="H3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GASTOS],tblCategorias[Tipo],"")="Inversión")),ROWS($H$5:H330)),"")</f>
        <v/>
      </c>
    </row>
    <row r="331" spans="1:8" x14ac:dyDescent="0.35">
      <c r="A331" s="1" t="str" cm="1">
        <f t="array" ref="A331">IF($H331="","",INDEX(tblFacturasRecibidas[Fecha factura],$H331))</f>
        <v/>
      </c>
      <c r="B331" t="str" cm="1">
        <f t="array" ref="B331">IF($H331="","",INDEX(tblFacturasRecibidas[Concepto],$H331))</f>
        <v/>
      </c>
      <c r="C331" t="str" cm="1">
        <f t="array" ref="C331">IF($H331="","",INDEX(tblFacturasRecibidas[Proveedor],$H331))</f>
        <v/>
      </c>
      <c r="D331" t="str" cm="1">
        <f t="array" ref="D331">IF($H331="","",INDEX(tblFacturasRecibidas[Categoría],$H331))</f>
        <v/>
      </c>
      <c r="H331" t="str" cm="1">
        <f t="array" ref="H3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GASTOS],tblCategorias[Tipo],"")="Inversión")),ROWS($H$5:H331)),"")</f>
        <v/>
      </c>
    </row>
    <row r="332" spans="1:8" x14ac:dyDescent="0.35">
      <c r="A332" s="1" t="str" cm="1">
        <f t="array" ref="A332">IF($H332="","",INDEX(tblFacturasRecibidas[Fecha factura],$H332))</f>
        <v/>
      </c>
      <c r="B332" t="str" cm="1">
        <f t="array" ref="B332">IF($H332="","",INDEX(tblFacturasRecibidas[Concepto],$H332))</f>
        <v/>
      </c>
      <c r="C332" t="str" cm="1">
        <f t="array" ref="C332">IF($H332="","",INDEX(tblFacturasRecibidas[Proveedor],$H332))</f>
        <v/>
      </c>
      <c r="D332" t="str" cm="1">
        <f t="array" ref="D332">IF($H332="","",INDEX(tblFacturasRecibidas[Categoría],$H332))</f>
        <v/>
      </c>
      <c r="H332" t="str" cm="1">
        <f t="array" ref="H3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GASTOS],tblCategorias[Tipo],"")="Inversión")),ROWS($H$5:H332)),"")</f>
        <v/>
      </c>
    </row>
    <row r="333" spans="1:8" x14ac:dyDescent="0.35">
      <c r="A333" s="1" t="str" cm="1">
        <f t="array" ref="A333">IF($H333="","",INDEX(tblFacturasRecibidas[Fecha factura],$H333))</f>
        <v/>
      </c>
      <c r="B333" t="str" cm="1">
        <f t="array" ref="B333">IF($H333="","",INDEX(tblFacturasRecibidas[Concepto],$H333))</f>
        <v/>
      </c>
      <c r="C333" t="str" cm="1">
        <f t="array" ref="C333">IF($H333="","",INDEX(tblFacturasRecibidas[Proveedor],$H333))</f>
        <v/>
      </c>
      <c r="D333" t="str" cm="1">
        <f t="array" ref="D333">IF($H333="","",INDEX(tblFacturasRecibidas[Categoría],$H333))</f>
        <v/>
      </c>
      <c r="H333" t="str" cm="1">
        <f t="array" ref="H3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GASTOS],tblCategorias[Tipo],"")="Inversión")),ROWS($H$5:H333)),"")</f>
        <v/>
      </c>
    </row>
    <row r="334" spans="1:8" x14ac:dyDescent="0.35">
      <c r="A334" s="1" t="str" cm="1">
        <f t="array" ref="A334">IF($H334="","",INDEX(tblFacturasRecibidas[Fecha factura],$H334))</f>
        <v/>
      </c>
      <c r="B334" t="str" cm="1">
        <f t="array" ref="B334">IF($H334="","",INDEX(tblFacturasRecibidas[Concepto],$H334))</f>
        <v/>
      </c>
      <c r="C334" t="str" cm="1">
        <f t="array" ref="C334">IF($H334="","",INDEX(tblFacturasRecibidas[Proveedor],$H334))</f>
        <v/>
      </c>
      <c r="D334" t="str" cm="1">
        <f t="array" ref="D334">IF($H334="","",INDEX(tblFacturasRecibidas[Categoría],$H334))</f>
        <v/>
      </c>
      <c r="H334" t="str" cm="1">
        <f t="array" ref="H3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GASTOS],tblCategorias[Tipo],"")="Inversión")),ROWS($H$5:H334)),"")</f>
        <v/>
      </c>
    </row>
    <row r="335" spans="1:8" x14ac:dyDescent="0.35">
      <c r="A335" s="1" t="str" cm="1">
        <f t="array" ref="A335">IF($H335="","",INDEX(tblFacturasRecibidas[Fecha factura],$H335))</f>
        <v/>
      </c>
      <c r="B335" t="str" cm="1">
        <f t="array" ref="B335">IF($H335="","",INDEX(tblFacturasRecibidas[Concepto],$H335))</f>
        <v/>
      </c>
      <c r="C335" t="str" cm="1">
        <f t="array" ref="C335">IF($H335="","",INDEX(tblFacturasRecibidas[Proveedor],$H335))</f>
        <v/>
      </c>
      <c r="D335" t="str" cm="1">
        <f t="array" ref="D335">IF($H335="","",INDEX(tblFacturasRecibidas[Categoría],$H335))</f>
        <v/>
      </c>
      <c r="H335" t="str" cm="1">
        <f t="array" ref="H3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GASTOS],tblCategorias[Tipo],"")="Inversión")),ROWS($H$5:H335)),"")</f>
        <v/>
      </c>
    </row>
    <row r="336" spans="1:8" x14ac:dyDescent="0.35">
      <c r="A336" s="1" t="str" cm="1">
        <f t="array" ref="A336">IF($H336="","",INDEX(tblFacturasRecibidas[Fecha factura],$H336))</f>
        <v/>
      </c>
      <c r="B336" t="str" cm="1">
        <f t="array" ref="B336">IF($H336="","",INDEX(tblFacturasRecibidas[Concepto],$H336))</f>
        <v/>
      </c>
      <c r="C336" t="str" cm="1">
        <f t="array" ref="C336">IF($H336="","",INDEX(tblFacturasRecibidas[Proveedor],$H336))</f>
        <v/>
      </c>
      <c r="D336" t="str" cm="1">
        <f t="array" ref="D336">IF($H336="","",INDEX(tblFacturasRecibidas[Categoría],$H336))</f>
        <v/>
      </c>
      <c r="H336" t="str" cm="1">
        <f t="array" ref="H3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GASTOS],tblCategorias[Tipo],"")="Inversión")),ROWS($H$5:H336)),"")</f>
        <v/>
      </c>
    </row>
    <row r="337" spans="1:8" x14ac:dyDescent="0.35">
      <c r="A337" s="1" t="str" cm="1">
        <f t="array" ref="A337">IF($H337="","",INDEX(tblFacturasRecibidas[Fecha factura],$H337))</f>
        <v/>
      </c>
      <c r="B337" t="str" cm="1">
        <f t="array" ref="B337">IF($H337="","",INDEX(tblFacturasRecibidas[Concepto],$H337))</f>
        <v/>
      </c>
      <c r="C337" t="str" cm="1">
        <f t="array" ref="C337">IF($H337="","",INDEX(tblFacturasRecibidas[Proveedor],$H337))</f>
        <v/>
      </c>
      <c r="D337" t="str" cm="1">
        <f t="array" ref="D337">IF($H337="","",INDEX(tblFacturasRecibidas[Categoría],$H337))</f>
        <v/>
      </c>
      <c r="H337" t="str" cm="1">
        <f t="array" ref="H3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GASTOS],tblCategorias[Tipo],"")="Inversión")),ROWS($H$5:H337)),"")</f>
        <v/>
      </c>
    </row>
    <row r="338" spans="1:8" x14ac:dyDescent="0.35">
      <c r="A338" s="1" t="str" cm="1">
        <f t="array" ref="A338">IF($H338="","",INDEX(tblFacturasRecibidas[Fecha factura],$H338))</f>
        <v/>
      </c>
      <c r="B338" t="str" cm="1">
        <f t="array" ref="B338">IF($H338="","",INDEX(tblFacturasRecibidas[Concepto],$H338))</f>
        <v/>
      </c>
      <c r="C338" t="str" cm="1">
        <f t="array" ref="C338">IF($H338="","",INDEX(tblFacturasRecibidas[Proveedor],$H338))</f>
        <v/>
      </c>
      <c r="D338" t="str" cm="1">
        <f t="array" ref="D338">IF($H338="","",INDEX(tblFacturasRecibidas[Categoría],$H338))</f>
        <v/>
      </c>
      <c r="H338" t="str" cm="1">
        <f t="array" ref="H3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GASTOS],tblCategorias[Tipo],"")="Inversión")),ROWS($H$5:H338)),"")</f>
        <v/>
      </c>
    </row>
    <row r="339" spans="1:8" x14ac:dyDescent="0.35">
      <c r="A339" s="1" t="str" cm="1">
        <f t="array" ref="A339">IF($H339="","",INDEX(tblFacturasRecibidas[Fecha factura],$H339))</f>
        <v/>
      </c>
      <c r="B339" t="str" cm="1">
        <f t="array" ref="B339">IF($H339="","",INDEX(tblFacturasRecibidas[Concepto],$H339))</f>
        <v/>
      </c>
      <c r="C339" t="str" cm="1">
        <f t="array" ref="C339">IF($H339="","",INDEX(tblFacturasRecibidas[Proveedor],$H339))</f>
        <v/>
      </c>
      <c r="D339" t="str" cm="1">
        <f t="array" ref="D339">IF($H339="","",INDEX(tblFacturasRecibidas[Categoría],$H339))</f>
        <v/>
      </c>
      <c r="H339" t="str" cm="1">
        <f t="array" ref="H3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GASTOS],tblCategorias[Tipo],"")="Inversión")),ROWS($H$5:H339)),"")</f>
        <v/>
      </c>
    </row>
    <row r="340" spans="1:8" x14ac:dyDescent="0.35">
      <c r="A340" s="1" t="str" cm="1">
        <f t="array" ref="A340">IF($H340="","",INDEX(tblFacturasRecibidas[Fecha factura],$H340))</f>
        <v/>
      </c>
      <c r="B340" t="str" cm="1">
        <f t="array" ref="B340">IF($H340="","",INDEX(tblFacturasRecibidas[Concepto],$H340))</f>
        <v/>
      </c>
      <c r="C340" t="str" cm="1">
        <f t="array" ref="C340">IF($H340="","",INDEX(tblFacturasRecibidas[Proveedor],$H340))</f>
        <v/>
      </c>
      <c r="D340" t="str" cm="1">
        <f t="array" ref="D340">IF($H340="","",INDEX(tblFacturasRecibidas[Categoría],$H340))</f>
        <v/>
      </c>
      <c r="H340" t="str" cm="1">
        <f t="array" ref="H3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GASTOS],tblCategorias[Tipo],"")="Inversión")),ROWS($H$5:H340)),"")</f>
        <v/>
      </c>
    </row>
    <row r="341" spans="1:8" x14ac:dyDescent="0.35">
      <c r="A341" s="1" t="str" cm="1">
        <f t="array" ref="A341">IF($H341="","",INDEX(tblFacturasRecibidas[Fecha factura],$H341))</f>
        <v/>
      </c>
      <c r="B341" t="str" cm="1">
        <f t="array" ref="B341">IF($H341="","",INDEX(tblFacturasRecibidas[Concepto],$H341))</f>
        <v/>
      </c>
      <c r="C341" t="str" cm="1">
        <f t="array" ref="C341">IF($H341="","",INDEX(tblFacturasRecibidas[Proveedor],$H341))</f>
        <v/>
      </c>
      <c r="D341" t="str" cm="1">
        <f t="array" ref="D341">IF($H341="","",INDEX(tblFacturasRecibidas[Categoría],$H341))</f>
        <v/>
      </c>
      <c r="H341" t="str" cm="1">
        <f t="array" ref="H3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GASTOS],tblCategorias[Tipo],"")="Inversión")),ROWS($H$5:H341)),"")</f>
        <v/>
      </c>
    </row>
    <row r="342" spans="1:8" x14ac:dyDescent="0.35">
      <c r="A342" s="1" t="str" cm="1">
        <f t="array" ref="A342">IF($H342="","",INDEX(tblFacturasRecibidas[Fecha factura],$H342))</f>
        <v/>
      </c>
      <c r="B342" t="str" cm="1">
        <f t="array" ref="B342">IF($H342="","",INDEX(tblFacturasRecibidas[Concepto],$H342))</f>
        <v/>
      </c>
      <c r="C342" t="str" cm="1">
        <f t="array" ref="C342">IF($H342="","",INDEX(tblFacturasRecibidas[Proveedor],$H342))</f>
        <v/>
      </c>
      <c r="D342" t="str" cm="1">
        <f t="array" ref="D342">IF($H342="","",INDEX(tblFacturasRecibidas[Categoría],$H342))</f>
        <v/>
      </c>
      <c r="H342" t="str" cm="1">
        <f t="array" ref="H3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GASTOS],tblCategorias[Tipo],"")="Inversión")),ROWS($H$5:H342)),"")</f>
        <v/>
      </c>
    </row>
    <row r="343" spans="1:8" x14ac:dyDescent="0.35">
      <c r="A343" s="1" t="str" cm="1">
        <f t="array" ref="A343">IF($H343="","",INDEX(tblFacturasRecibidas[Fecha factura],$H343))</f>
        <v/>
      </c>
      <c r="B343" t="str" cm="1">
        <f t="array" ref="B343">IF($H343="","",INDEX(tblFacturasRecibidas[Concepto],$H343))</f>
        <v/>
      </c>
      <c r="C343" t="str" cm="1">
        <f t="array" ref="C343">IF($H343="","",INDEX(tblFacturasRecibidas[Proveedor],$H343))</f>
        <v/>
      </c>
      <c r="D343" t="str" cm="1">
        <f t="array" ref="D343">IF($H343="","",INDEX(tblFacturasRecibidas[Categoría],$H343))</f>
        <v/>
      </c>
      <c r="H343" t="str" cm="1">
        <f t="array" ref="H3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GASTOS],tblCategorias[Tipo],"")="Inversión")),ROWS($H$5:H343)),"")</f>
        <v/>
      </c>
    </row>
    <row r="344" spans="1:8" x14ac:dyDescent="0.35">
      <c r="A344" s="1" t="str" cm="1">
        <f t="array" ref="A344">IF($H344="","",INDEX(tblFacturasRecibidas[Fecha factura],$H344))</f>
        <v/>
      </c>
      <c r="B344" t="str" cm="1">
        <f t="array" ref="B344">IF($H344="","",INDEX(tblFacturasRecibidas[Concepto],$H344))</f>
        <v/>
      </c>
      <c r="C344" t="str" cm="1">
        <f t="array" ref="C344">IF($H344="","",INDEX(tblFacturasRecibidas[Proveedor],$H344))</f>
        <v/>
      </c>
      <c r="D344" t="str" cm="1">
        <f t="array" ref="D344">IF($H344="","",INDEX(tblFacturasRecibidas[Categoría],$H344))</f>
        <v/>
      </c>
      <c r="H344" t="str" cm="1">
        <f t="array" ref="H3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GASTOS],tblCategorias[Tipo],"")="Inversión")),ROWS($H$5:H344)),"")</f>
        <v/>
      </c>
    </row>
    <row r="345" spans="1:8" x14ac:dyDescent="0.35">
      <c r="A345" s="1" t="str" cm="1">
        <f t="array" ref="A345">IF($H345="","",INDEX(tblFacturasRecibidas[Fecha factura],$H345))</f>
        <v/>
      </c>
      <c r="B345" t="str" cm="1">
        <f t="array" ref="B345">IF($H345="","",INDEX(tblFacturasRecibidas[Concepto],$H345))</f>
        <v/>
      </c>
      <c r="C345" t="str" cm="1">
        <f t="array" ref="C345">IF($H345="","",INDEX(tblFacturasRecibidas[Proveedor],$H345))</f>
        <v/>
      </c>
      <c r="D345" t="str" cm="1">
        <f t="array" ref="D345">IF($H345="","",INDEX(tblFacturasRecibidas[Categoría],$H345))</f>
        <v/>
      </c>
      <c r="H345" t="str" cm="1">
        <f t="array" ref="H3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GASTOS],tblCategorias[Tipo],"")="Inversión")),ROWS($H$5:H345)),"")</f>
        <v/>
      </c>
    </row>
    <row r="346" spans="1:8" x14ac:dyDescent="0.35">
      <c r="A346" s="1" t="str" cm="1">
        <f t="array" ref="A346">IF($H346="","",INDEX(tblFacturasRecibidas[Fecha factura],$H346))</f>
        <v/>
      </c>
      <c r="B346" t="str" cm="1">
        <f t="array" ref="B346">IF($H346="","",INDEX(tblFacturasRecibidas[Concepto],$H346))</f>
        <v/>
      </c>
      <c r="C346" t="str" cm="1">
        <f t="array" ref="C346">IF($H346="","",INDEX(tblFacturasRecibidas[Proveedor],$H346))</f>
        <v/>
      </c>
      <c r="D346" t="str" cm="1">
        <f t="array" ref="D346">IF($H346="","",INDEX(tblFacturasRecibidas[Categoría],$H346))</f>
        <v/>
      </c>
      <c r="H346" t="str" cm="1">
        <f t="array" ref="H3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GASTOS],tblCategorias[Tipo],"")="Inversión")),ROWS($H$5:H346)),"")</f>
        <v/>
      </c>
    </row>
    <row r="347" spans="1:8" x14ac:dyDescent="0.35">
      <c r="A347" s="1" t="str" cm="1">
        <f t="array" ref="A347">IF($H347="","",INDEX(tblFacturasRecibidas[Fecha factura],$H347))</f>
        <v/>
      </c>
      <c r="B347" t="str" cm="1">
        <f t="array" ref="B347">IF($H347="","",INDEX(tblFacturasRecibidas[Concepto],$H347))</f>
        <v/>
      </c>
      <c r="C347" t="str" cm="1">
        <f t="array" ref="C347">IF($H347="","",INDEX(tblFacturasRecibidas[Proveedor],$H347))</f>
        <v/>
      </c>
      <c r="D347" t="str" cm="1">
        <f t="array" ref="D347">IF($H347="","",INDEX(tblFacturasRecibidas[Categoría],$H347))</f>
        <v/>
      </c>
      <c r="H347" t="str" cm="1">
        <f t="array" ref="H3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GASTOS],tblCategorias[Tipo],"")="Inversión")),ROWS($H$5:H347)),"")</f>
        <v/>
      </c>
    </row>
    <row r="348" spans="1:8" x14ac:dyDescent="0.35">
      <c r="A348" s="1" t="str" cm="1">
        <f t="array" ref="A348">IF($H348="","",INDEX(tblFacturasRecibidas[Fecha factura],$H348))</f>
        <v/>
      </c>
      <c r="B348" t="str" cm="1">
        <f t="array" ref="B348">IF($H348="","",INDEX(tblFacturasRecibidas[Concepto],$H348))</f>
        <v/>
      </c>
      <c r="C348" t="str" cm="1">
        <f t="array" ref="C348">IF($H348="","",INDEX(tblFacturasRecibidas[Proveedor],$H348))</f>
        <v/>
      </c>
      <c r="D348" t="str" cm="1">
        <f t="array" ref="D348">IF($H348="","",INDEX(tblFacturasRecibidas[Categoría],$H348))</f>
        <v/>
      </c>
      <c r="H348" t="str" cm="1">
        <f t="array" ref="H3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GASTOS],tblCategorias[Tipo],"")="Inversión")),ROWS($H$5:H348)),"")</f>
        <v/>
      </c>
    </row>
    <row r="349" spans="1:8" x14ac:dyDescent="0.35">
      <c r="A349" s="1" t="str" cm="1">
        <f t="array" ref="A349">IF($H349="","",INDEX(tblFacturasRecibidas[Fecha factura],$H349))</f>
        <v/>
      </c>
      <c r="B349" t="str" cm="1">
        <f t="array" ref="B349">IF($H349="","",INDEX(tblFacturasRecibidas[Concepto],$H349))</f>
        <v/>
      </c>
      <c r="C349" t="str" cm="1">
        <f t="array" ref="C349">IF($H349="","",INDEX(tblFacturasRecibidas[Proveedor],$H349))</f>
        <v/>
      </c>
      <c r="D349" t="str" cm="1">
        <f t="array" ref="D349">IF($H349="","",INDEX(tblFacturasRecibidas[Categoría],$H349))</f>
        <v/>
      </c>
      <c r="H349" t="str" cm="1">
        <f t="array" ref="H3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GASTOS],tblCategorias[Tipo],"")="Inversión")),ROWS($H$5:H349)),"")</f>
        <v/>
      </c>
    </row>
    <row r="350" spans="1:8" x14ac:dyDescent="0.35">
      <c r="A350" s="1" t="str" cm="1">
        <f t="array" ref="A350">IF($H350="","",INDEX(tblFacturasRecibidas[Fecha factura],$H350))</f>
        <v/>
      </c>
      <c r="B350" t="str" cm="1">
        <f t="array" ref="B350">IF($H350="","",INDEX(tblFacturasRecibidas[Concepto],$H350))</f>
        <v/>
      </c>
      <c r="C350" t="str" cm="1">
        <f t="array" ref="C350">IF($H350="","",INDEX(tblFacturasRecibidas[Proveedor],$H350))</f>
        <v/>
      </c>
      <c r="D350" t="str" cm="1">
        <f t="array" ref="D350">IF($H350="","",INDEX(tblFacturasRecibidas[Categoría],$H350))</f>
        <v/>
      </c>
      <c r="H350" t="str" cm="1">
        <f t="array" ref="H3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GASTOS],tblCategorias[Tipo],"")="Inversión")),ROWS($H$5:H350)),"")</f>
        <v/>
      </c>
    </row>
    <row r="351" spans="1:8" x14ac:dyDescent="0.35">
      <c r="A351" s="1" t="str" cm="1">
        <f t="array" ref="A351">IF($H351="","",INDEX(tblFacturasRecibidas[Fecha factura],$H351))</f>
        <v/>
      </c>
      <c r="B351" t="str" cm="1">
        <f t="array" ref="B351">IF($H351="","",INDEX(tblFacturasRecibidas[Concepto],$H351))</f>
        <v/>
      </c>
      <c r="C351" t="str" cm="1">
        <f t="array" ref="C351">IF($H351="","",INDEX(tblFacturasRecibidas[Proveedor],$H351))</f>
        <v/>
      </c>
      <c r="D351" t="str" cm="1">
        <f t="array" ref="D351">IF($H351="","",INDEX(tblFacturasRecibidas[Categoría],$H351))</f>
        <v/>
      </c>
      <c r="H351" t="str" cm="1">
        <f t="array" ref="H3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GASTOS],tblCategorias[Tipo],"")="Inversión")),ROWS($H$5:H351)),"")</f>
        <v/>
      </c>
    </row>
    <row r="352" spans="1:8" x14ac:dyDescent="0.35">
      <c r="A352" s="1" t="str" cm="1">
        <f t="array" ref="A352">IF($H352="","",INDEX(tblFacturasRecibidas[Fecha factura],$H352))</f>
        <v/>
      </c>
      <c r="B352" t="str" cm="1">
        <f t="array" ref="B352">IF($H352="","",INDEX(tblFacturasRecibidas[Concepto],$H352))</f>
        <v/>
      </c>
      <c r="C352" t="str" cm="1">
        <f t="array" ref="C352">IF($H352="","",INDEX(tblFacturasRecibidas[Proveedor],$H352))</f>
        <v/>
      </c>
      <c r="D352" t="str" cm="1">
        <f t="array" ref="D352">IF($H352="","",INDEX(tblFacturasRecibidas[Categoría],$H352))</f>
        <v/>
      </c>
      <c r="H352" t="str" cm="1">
        <f t="array" ref="H3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GASTOS],tblCategorias[Tipo],"")="Inversión")),ROWS($H$5:H352)),"")</f>
        <v/>
      </c>
    </row>
    <row r="353" spans="1:8" x14ac:dyDescent="0.35">
      <c r="A353" s="1" t="str" cm="1">
        <f t="array" ref="A353">IF($H353="","",INDEX(tblFacturasRecibidas[Fecha factura],$H353))</f>
        <v/>
      </c>
      <c r="B353" t="str" cm="1">
        <f t="array" ref="B353">IF($H353="","",INDEX(tblFacturasRecibidas[Concepto],$H353))</f>
        <v/>
      </c>
      <c r="C353" t="str" cm="1">
        <f t="array" ref="C353">IF($H353="","",INDEX(tblFacturasRecibidas[Proveedor],$H353))</f>
        <v/>
      </c>
      <c r="D353" t="str" cm="1">
        <f t="array" ref="D353">IF($H353="","",INDEX(tblFacturasRecibidas[Categoría],$H353))</f>
        <v/>
      </c>
      <c r="H353" t="str" cm="1">
        <f t="array" ref="H3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GASTOS],tblCategorias[Tipo],"")="Inversión")),ROWS($H$5:H353)),"")</f>
        <v/>
      </c>
    </row>
    <row r="354" spans="1:8" x14ac:dyDescent="0.35">
      <c r="A354" s="1" t="str" cm="1">
        <f t="array" ref="A354">IF($H354="","",INDEX(tblFacturasRecibidas[Fecha factura],$H354))</f>
        <v/>
      </c>
      <c r="B354" t="str" cm="1">
        <f t="array" ref="B354">IF($H354="","",INDEX(tblFacturasRecibidas[Concepto],$H354))</f>
        <v/>
      </c>
      <c r="C354" t="str" cm="1">
        <f t="array" ref="C354">IF($H354="","",INDEX(tblFacturasRecibidas[Proveedor],$H354))</f>
        <v/>
      </c>
      <c r="D354" t="str" cm="1">
        <f t="array" ref="D354">IF($H354="","",INDEX(tblFacturasRecibidas[Categoría],$H354))</f>
        <v/>
      </c>
      <c r="H354" t="str" cm="1">
        <f t="array" ref="H3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GASTOS],tblCategorias[Tipo],"")="Inversión")),ROWS($H$5:H354)),"")</f>
        <v/>
      </c>
    </row>
    <row r="355" spans="1:8" x14ac:dyDescent="0.35">
      <c r="A355" s="1" t="str" cm="1">
        <f t="array" ref="A355">IF($H355="","",INDEX(tblFacturasRecibidas[Fecha factura],$H355))</f>
        <v/>
      </c>
      <c r="B355" t="str" cm="1">
        <f t="array" ref="B355">IF($H355="","",INDEX(tblFacturasRecibidas[Concepto],$H355))</f>
        <v/>
      </c>
      <c r="C355" t="str" cm="1">
        <f t="array" ref="C355">IF($H355="","",INDEX(tblFacturasRecibidas[Proveedor],$H355))</f>
        <v/>
      </c>
      <c r="D355" t="str" cm="1">
        <f t="array" ref="D355">IF($H355="","",INDEX(tblFacturasRecibidas[Categoría],$H355))</f>
        <v/>
      </c>
      <c r="H355" t="str" cm="1">
        <f t="array" ref="H3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GASTOS],tblCategorias[Tipo],"")="Inversión")),ROWS($H$5:H355)),"")</f>
        <v/>
      </c>
    </row>
    <row r="356" spans="1:8" x14ac:dyDescent="0.35">
      <c r="A356" s="1" t="str" cm="1">
        <f t="array" ref="A356">IF($H356="","",INDEX(tblFacturasRecibidas[Fecha factura],$H356))</f>
        <v/>
      </c>
      <c r="B356" t="str" cm="1">
        <f t="array" ref="B356">IF($H356="","",INDEX(tblFacturasRecibidas[Concepto],$H356))</f>
        <v/>
      </c>
      <c r="C356" t="str" cm="1">
        <f t="array" ref="C356">IF($H356="","",INDEX(tblFacturasRecibidas[Proveedor],$H356))</f>
        <v/>
      </c>
      <c r="D356" t="str" cm="1">
        <f t="array" ref="D356">IF($H356="","",INDEX(tblFacturasRecibidas[Categoría],$H356))</f>
        <v/>
      </c>
      <c r="H356" t="str" cm="1">
        <f t="array" ref="H3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GASTOS],tblCategorias[Tipo],"")="Inversión")),ROWS($H$5:H356)),"")</f>
        <v/>
      </c>
    </row>
    <row r="357" spans="1:8" x14ac:dyDescent="0.35">
      <c r="A357" s="1" t="str" cm="1">
        <f t="array" ref="A357">IF($H357="","",INDEX(tblFacturasRecibidas[Fecha factura],$H357))</f>
        <v/>
      </c>
      <c r="B357" t="str" cm="1">
        <f t="array" ref="B357">IF($H357="","",INDEX(tblFacturasRecibidas[Concepto],$H357))</f>
        <v/>
      </c>
      <c r="C357" t="str" cm="1">
        <f t="array" ref="C357">IF($H357="","",INDEX(tblFacturasRecibidas[Proveedor],$H357))</f>
        <v/>
      </c>
      <c r="D357" t="str" cm="1">
        <f t="array" ref="D357">IF($H357="","",INDEX(tblFacturasRecibidas[Categoría],$H357))</f>
        <v/>
      </c>
      <c r="H357" t="str" cm="1">
        <f t="array" ref="H3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GASTOS],tblCategorias[Tipo],"")="Inversión")),ROWS($H$5:H357)),"")</f>
        <v/>
      </c>
    </row>
    <row r="358" spans="1:8" x14ac:dyDescent="0.35">
      <c r="A358" s="1" t="str" cm="1">
        <f t="array" ref="A358">IF($H358="","",INDEX(tblFacturasRecibidas[Fecha factura],$H358))</f>
        <v/>
      </c>
      <c r="B358" t="str" cm="1">
        <f t="array" ref="B358">IF($H358="","",INDEX(tblFacturasRecibidas[Concepto],$H358))</f>
        <v/>
      </c>
      <c r="C358" t="str" cm="1">
        <f t="array" ref="C358">IF($H358="","",INDEX(tblFacturasRecibidas[Proveedor],$H358))</f>
        <v/>
      </c>
      <c r="D358" t="str" cm="1">
        <f t="array" ref="D358">IF($H358="","",INDEX(tblFacturasRecibidas[Categoría],$H358))</f>
        <v/>
      </c>
      <c r="H358" t="str" cm="1">
        <f t="array" ref="H3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GASTOS],tblCategorias[Tipo],"")="Inversión")),ROWS($H$5:H358)),"")</f>
        <v/>
      </c>
    </row>
    <row r="359" spans="1:8" x14ac:dyDescent="0.35">
      <c r="A359" s="1" t="str" cm="1">
        <f t="array" ref="A359">IF($H359="","",INDEX(tblFacturasRecibidas[Fecha factura],$H359))</f>
        <v/>
      </c>
      <c r="B359" t="str" cm="1">
        <f t="array" ref="B359">IF($H359="","",INDEX(tblFacturasRecibidas[Concepto],$H359))</f>
        <v/>
      </c>
      <c r="C359" t="str" cm="1">
        <f t="array" ref="C359">IF($H359="","",INDEX(tblFacturasRecibidas[Proveedor],$H359))</f>
        <v/>
      </c>
      <c r="D359" t="str" cm="1">
        <f t="array" ref="D359">IF($H359="","",INDEX(tblFacturasRecibidas[Categoría],$H359))</f>
        <v/>
      </c>
      <c r="H359" t="str" cm="1">
        <f t="array" ref="H3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GASTOS],tblCategorias[Tipo],"")="Inversión")),ROWS($H$5:H359)),"")</f>
        <v/>
      </c>
    </row>
    <row r="360" spans="1:8" x14ac:dyDescent="0.35">
      <c r="A360" s="1" t="str" cm="1">
        <f t="array" ref="A360">IF($H360="","",INDEX(tblFacturasRecibidas[Fecha factura],$H360))</f>
        <v/>
      </c>
      <c r="B360" t="str" cm="1">
        <f t="array" ref="B360">IF($H360="","",INDEX(tblFacturasRecibidas[Concepto],$H360))</f>
        <v/>
      </c>
      <c r="C360" t="str" cm="1">
        <f t="array" ref="C360">IF($H360="","",INDEX(tblFacturasRecibidas[Proveedor],$H360))</f>
        <v/>
      </c>
      <c r="D360" t="str" cm="1">
        <f t="array" ref="D360">IF($H360="","",INDEX(tblFacturasRecibidas[Categoría],$H360))</f>
        <v/>
      </c>
      <c r="H360" t="str" cm="1">
        <f t="array" ref="H3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GASTOS],tblCategorias[Tipo],"")="Inversión")),ROWS($H$5:H360)),"")</f>
        <v/>
      </c>
    </row>
    <row r="361" spans="1:8" x14ac:dyDescent="0.35">
      <c r="A361" s="1" t="str" cm="1">
        <f t="array" ref="A361">IF($H361="","",INDEX(tblFacturasRecibidas[Fecha factura],$H361))</f>
        <v/>
      </c>
      <c r="B361" t="str" cm="1">
        <f t="array" ref="B361">IF($H361="","",INDEX(tblFacturasRecibidas[Concepto],$H361))</f>
        <v/>
      </c>
      <c r="C361" t="str" cm="1">
        <f t="array" ref="C361">IF($H361="","",INDEX(tblFacturasRecibidas[Proveedor],$H361))</f>
        <v/>
      </c>
      <c r="D361" t="str" cm="1">
        <f t="array" ref="D361">IF($H361="","",INDEX(tblFacturasRecibidas[Categoría],$H361))</f>
        <v/>
      </c>
      <c r="H361" t="str" cm="1">
        <f t="array" ref="H3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GASTOS],tblCategorias[Tipo],"")="Inversión")),ROWS($H$5:H361)),"")</f>
        <v/>
      </c>
    </row>
    <row r="362" spans="1:8" x14ac:dyDescent="0.35">
      <c r="A362" s="1" t="str" cm="1">
        <f t="array" ref="A362">IF($H362="","",INDEX(tblFacturasRecibidas[Fecha factura],$H362))</f>
        <v/>
      </c>
      <c r="B362" t="str" cm="1">
        <f t="array" ref="B362">IF($H362="","",INDEX(tblFacturasRecibidas[Concepto],$H362))</f>
        <v/>
      </c>
      <c r="C362" t="str" cm="1">
        <f t="array" ref="C362">IF($H362="","",INDEX(tblFacturasRecibidas[Proveedor],$H362))</f>
        <v/>
      </c>
      <c r="D362" t="str" cm="1">
        <f t="array" ref="D362">IF($H362="","",INDEX(tblFacturasRecibidas[Categoría],$H362))</f>
        <v/>
      </c>
      <c r="H362" t="str" cm="1">
        <f t="array" ref="H3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GASTOS],tblCategorias[Tipo],"")="Inversión")),ROWS($H$5:H362)),"")</f>
        <v/>
      </c>
    </row>
    <row r="363" spans="1:8" x14ac:dyDescent="0.35">
      <c r="A363" s="1" t="str" cm="1">
        <f t="array" ref="A363">IF($H363="","",INDEX(tblFacturasRecibidas[Fecha factura],$H363))</f>
        <v/>
      </c>
      <c r="B363" t="str" cm="1">
        <f t="array" ref="B363">IF($H363="","",INDEX(tblFacturasRecibidas[Concepto],$H363))</f>
        <v/>
      </c>
      <c r="C363" t="str" cm="1">
        <f t="array" ref="C363">IF($H363="","",INDEX(tblFacturasRecibidas[Proveedor],$H363))</f>
        <v/>
      </c>
      <c r="D363" t="str" cm="1">
        <f t="array" ref="D363">IF($H363="","",INDEX(tblFacturasRecibidas[Categoría],$H363))</f>
        <v/>
      </c>
      <c r="H363" t="str" cm="1">
        <f t="array" ref="H3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GASTOS],tblCategorias[Tipo],"")="Inversión")),ROWS($H$5:H363)),"")</f>
        <v/>
      </c>
    </row>
    <row r="364" spans="1:8" x14ac:dyDescent="0.35">
      <c r="A364" s="1" t="str" cm="1">
        <f t="array" ref="A364">IF($H364="","",INDEX(tblFacturasRecibidas[Fecha factura],$H364))</f>
        <v/>
      </c>
      <c r="B364" t="str" cm="1">
        <f t="array" ref="B364">IF($H364="","",INDEX(tblFacturasRecibidas[Concepto],$H364))</f>
        <v/>
      </c>
      <c r="C364" t="str" cm="1">
        <f t="array" ref="C364">IF($H364="","",INDEX(tblFacturasRecibidas[Proveedor],$H364))</f>
        <v/>
      </c>
      <c r="D364" t="str" cm="1">
        <f t="array" ref="D364">IF($H364="","",INDEX(tblFacturasRecibidas[Categoría],$H364))</f>
        <v/>
      </c>
      <c r="H364" t="str" cm="1">
        <f t="array" ref="H3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GASTOS],tblCategorias[Tipo],"")="Inversión")),ROWS($H$5:H364)),"")</f>
        <v/>
      </c>
    </row>
    <row r="365" spans="1:8" x14ac:dyDescent="0.35">
      <c r="A365" s="1" t="str" cm="1">
        <f t="array" ref="A365">IF($H365="","",INDEX(tblFacturasRecibidas[Fecha factura],$H365))</f>
        <v/>
      </c>
      <c r="B365" t="str" cm="1">
        <f t="array" ref="B365">IF($H365="","",INDEX(tblFacturasRecibidas[Concepto],$H365))</f>
        <v/>
      </c>
      <c r="C365" t="str" cm="1">
        <f t="array" ref="C365">IF($H365="","",INDEX(tblFacturasRecibidas[Proveedor],$H365))</f>
        <v/>
      </c>
      <c r="D365" t="str" cm="1">
        <f t="array" ref="D365">IF($H365="","",INDEX(tblFacturasRecibidas[Categoría],$H365))</f>
        <v/>
      </c>
      <c r="H365" t="str" cm="1">
        <f t="array" ref="H3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GASTOS],tblCategorias[Tipo],"")="Inversión")),ROWS($H$5:H365)),"")</f>
        <v/>
      </c>
    </row>
    <row r="366" spans="1:8" x14ac:dyDescent="0.35">
      <c r="A366" s="1" t="str" cm="1">
        <f t="array" ref="A366">IF($H366="","",INDEX(tblFacturasRecibidas[Fecha factura],$H366))</f>
        <v/>
      </c>
      <c r="B366" t="str" cm="1">
        <f t="array" ref="B366">IF($H366="","",INDEX(tblFacturasRecibidas[Concepto],$H366))</f>
        <v/>
      </c>
      <c r="C366" t="str" cm="1">
        <f t="array" ref="C366">IF($H366="","",INDEX(tblFacturasRecibidas[Proveedor],$H366))</f>
        <v/>
      </c>
      <c r="D366" t="str" cm="1">
        <f t="array" ref="D366">IF($H366="","",INDEX(tblFacturasRecibidas[Categoría],$H366))</f>
        <v/>
      </c>
      <c r="H366" t="str" cm="1">
        <f t="array" ref="H3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GASTOS],tblCategorias[Tipo],"")="Inversión")),ROWS($H$5:H366)),"")</f>
        <v/>
      </c>
    </row>
    <row r="367" spans="1:8" x14ac:dyDescent="0.35">
      <c r="A367" s="1" t="str" cm="1">
        <f t="array" ref="A367">IF($H367="","",INDEX(tblFacturasRecibidas[Fecha factura],$H367))</f>
        <v/>
      </c>
      <c r="B367" t="str" cm="1">
        <f t="array" ref="B367">IF($H367="","",INDEX(tblFacturasRecibidas[Concepto],$H367))</f>
        <v/>
      </c>
      <c r="C367" t="str" cm="1">
        <f t="array" ref="C367">IF($H367="","",INDEX(tblFacturasRecibidas[Proveedor],$H367))</f>
        <v/>
      </c>
      <c r="D367" t="str" cm="1">
        <f t="array" ref="D367">IF($H367="","",INDEX(tblFacturasRecibidas[Categoría],$H367))</f>
        <v/>
      </c>
      <c r="H367" t="str" cm="1">
        <f t="array" ref="H3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GASTOS],tblCategorias[Tipo],"")="Inversión")),ROWS($H$5:H367)),"")</f>
        <v/>
      </c>
    </row>
    <row r="368" spans="1:8" x14ac:dyDescent="0.35">
      <c r="A368" s="1" t="str" cm="1">
        <f t="array" ref="A368">IF($H368="","",INDEX(tblFacturasRecibidas[Fecha factura],$H368))</f>
        <v/>
      </c>
      <c r="B368" t="str" cm="1">
        <f t="array" ref="B368">IF($H368="","",INDEX(tblFacturasRecibidas[Concepto],$H368))</f>
        <v/>
      </c>
      <c r="C368" t="str" cm="1">
        <f t="array" ref="C368">IF($H368="","",INDEX(tblFacturasRecibidas[Proveedor],$H368))</f>
        <v/>
      </c>
      <c r="D368" t="str" cm="1">
        <f t="array" ref="D368">IF($H368="","",INDEX(tblFacturasRecibidas[Categoría],$H368))</f>
        <v/>
      </c>
      <c r="H368" t="str" cm="1">
        <f t="array" ref="H3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GASTOS],tblCategorias[Tipo],"")="Inversión")),ROWS($H$5:H368)),"")</f>
        <v/>
      </c>
    </row>
    <row r="369" spans="1:8" x14ac:dyDescent="0.35">
      <c r="A369" s="1" t="str" cm="1">
        <f t="array" ref="A369">IF($H369="","",INDEX(tblFacturasRecibidas[Fecha factura],$H369))</f>
        <v/>
      </c>
      <c r="B369" t="str" cm="1">
        <f t="array" ref="B369">IF($H369="","",INDEX(tblFacturasRecibidas[Concepto],$H369))</f>
        <v/>
      </c>
      <c r="C369" t="str" cm="1">
        <f t="array" ref="C369">IF($H369="","",INDEX(tblFacturasRecibidas[Proveedor],$H369))</f>
        <v/>
      </c>
      <c r="D369" t="str" cm="1">
        <f t="array" ref="D369">IF($H369="","",INDEX(tblFacturasRecibidas[Categoría],$H369))</f>
        <v/>
      </c>
      <c r="H369" t="str" cm="1">
        <f t="array" ref="H3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GASTOS],tblCategorias[Tipo],"")="Inversión")),ROWS($H$5:H369)),"")</f>
        <v/>
      </c>
    </row>
    <row r="370" spans="1:8" x14ac:dyDescent="0.35">
      <c r="A370" s="1" t="str" cm="1">
        <f t="array" ref="A370">IF($H370="","",INDEX(tblFacturasRecibidas[Fecha factura],$H370))</f>
        <v/>
      </c>
      <c r="B370" t="str" cm="1">
        <f t="array" ref="B370">IF($H370="","",INDEX(tblFacturasRecibidas[Concepto],$H370))</f>
        <v/>
      </c>
      <c r="C370" t="str" cm="1">
        <f t="array" ref="C370">IF($H370="","",INDEX(tblFacturasRecibidas[Proveedor],$H370))</f>
        <v/>
      </c>
      <c r="D370" t="str" cm="1">
        <f t="array" ref="D370">IF($H370="","",INDEX(tblFacturasRecibidas[Categoría],$H370))</f>
        <v/>
      </c>
      <c r="H370" t="str" cm="1">
        <f t="array" ref="H3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GASTOS],tblCategorias[Tipo],"")="Inversión")),ROWS($H$5:H370)),"")</f>
        <v/>
      </c>
    </row>
    <row r="371" spans="1:8" x14ac:dyDescent="0.35">
      <c r="A371" s="1" t="str" cm="1">
        <f t="array" ref="A371">IF($H371="","",INDEX(tblFacturasRecibidas[Fecha factura],$H371))</f>
        <v/>
      </c>
      <c r="B371" t="str" cm="1">
        <f t="array" ref="B371">IF($H371="","",INDEX(tblFacturasRecibidas[Concepto],$H371))</f>
        <v/>
      </c>
      <c r="C371" t="str" cm="1">
        <f t="array" ref="C371">IF($H371="","",INDEX(tblFacturasRecibidas[Proveedor],$H371))</f>
        <v/>
      </c>
      <c r="D371" t="str" cm="1">
        <f t="array" ref="D371">IF($H371="","",INDEX(tblFacturasRecibidas[Categoría],$H371))</f>
        <v/>
      </c>
      <c r="H371" t="str" cm="1">
        <f t="array" ref="H3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GASTOS],tblCategorias[Tipo],"")="Inversión")),ROWS($H$5:H371)),"")</f>
        <v/>
      </c>
    </row>
    <row r="372" spans="1:8" x14ac:dyDescent="0.35">
      <c r="A372" s="1" t="str" cm="1">
        <f t="array" ref="A372">IF($H372="","",INDEX(tblFacturasRecibidas[Fecha factura],$H372))</f>
        <v/>
      </c>
      <c r="B372" t="str" cm="1">
        <f t="array" ref="B372">IF($H372="","",INDEX(tblFacturasRecibidas[Concepto],$H372))</f>
        <v/>
      </c>
      <c r="C372" t="str" cm="1">
        <f t="array" ref="C372">IF($H372="","",INDEX(tblFacturasRecibidas[Proveedor],$H372))</f>
        <v/>
      </c>
      <c r="D372" t="str" cm="1">
        <f t="array" ref="D372">IF($H372="","",INDEX(tblFacturasRecibidas[Categoría],$H372))</f>
        <v/>
      </c>
      <c r="H372" t="str" cm="1">
        <f t="array" ref="H3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GASTOS],tblCategorias[Tipo],"")="Inversión")),ROWS($H$5:H372)),"")</f>
        <v/>
      </c>
    </row>
    <row r="373" spans="1:8" x14ac:dyDescent="0.35">
      <c r="A373" s="1" t="str" cm="1">
        <f t="array" ref="A373">IF($H373="","",INDEX(tblFacturasRecibidas[Fecha factura],$H373))</f>
        <v/>
      </c>
      <c r="B373" t="str" cm="1">
        <f t="array" ref="B373">IF($H373="","",INDEX(tblFacturasRecibidas[Concepto],$H373))</f>
        <v/>
      </c>
      <c r="C373" t="str" cm="1">
        <f t="array" ref="C373">IF($H373="","",INDEX(tblFacturasRecibidas[Proveedor],$H373))</f>
        <v/>
      </c>
      <c r="D373" t="str" cm="1">
        <f t="array" ref="D373">IF($H373="","",INDEX(tblFacturasRecibidas[Categoría],$H373))</f>
        <v/>
      </c>
      <c r="H373" t="str" cm="1">
        <f t="array" ref="H3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GASTOS],tblCategorias[Tipo],"")="Inversión")),ROWS($H$5:H373)),"")</f>
        <v/>
      </c>
    </row>
    <row r="374" spans="1:8" x14ac:dyDescent="0.35">
      <c r="A374" s="1" t="str" cm="1">
        <f t="array" ref="A374">IF($H374="","",INDEX(tblFacturasRecibidas[Fecha factura],$H374))</f>
        <v/>
      </c>
      <c r="B374" t="str" cm="1">
        <f t="array" ref="B374">IF($H374="","",INDEX(tblFacturasRecibidas[Concepto],$H374))</f>
        <v/>
      </c>
      <c r="C374" t="str" cm="1">
        <f t="array" ref="C374">IF($H374="","",INDEX(tblFacturasRecibidas[Proveedor],$H374))</f>
        <v/>
      </c>
      <c r="D374" t="str" cm="1">
        <f t="array" ref="D374">IF($H374="","",INDEX(tblFacturasRecibidas[Categoría],$H374))</f>
        <v/>
      </c>
      <c r="H374" t="str" cm="1">
        <f t="array" ref="H3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GASTOS],tblCategorias[Tipo],"")="Inversión")),ROWS($H$5:H374)),"")</f>
        <v/>
      </c>
    </row>
    <row r="375" spans="1:8" x14ac:dyDescent="0.35">
      <c r="A375" s="1" t="str" cm="1">
        <f t="array" ref="A375">IF($H375="","",INDEX(tblFacturasRecibidas[Fecha factura],$H375))</f>
        <v/>
      </c>
      <c r="B375" t="str" cm="1">
        <f t="array" ref="B375">IF($H375="","",INDEX(tblFacturasRecibidas[Concepto],$H375))</f>
        <v/>
      </c>
      <c r="C375" t="str" cm="1">
        <f t="array" ref="C375">IF($H375="","",INDEX(tblFacturasRecibidas[Proveedor],$H375))</f>
        <v/>
      </c>
      <c r="D375" t="str" cm="1">
        <f t="array" ref="D375">IF($H375="","",INDEX(tblFacturasRecibidas[Categoría],$H375))</f>
        <v/>
      </c>
      <c r="H375" t="str" cm="1">
        <f t="array" ref="H3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GASTOS],tblCategorias[Tipo],"")="Inversión")),ROWS($H$5:H375)),"")</f>
        <v/>
      </c>
    </row>
    <row r="376" spans="1:8" x14ac:dyDescent="0.35">
      <c r="A376" s="1" t="str" cm="1">
        <f t="array" ref="A376">IF($H376="","",INDEX(tblFacturasRecibidas[Fecha factura],$H376))</f>
        <v/>
      </c>
      <c r="B376" t="str" cm="1">
        <f t="array" ref="B376">IF($H376="","",INDEX(tblFacturasRecibidas[Concepto],$H376))</f>
        <v/>
      </c>
      <c r="C376" t="str" cm="1">
        <f t="array" ref="C376">IF($H376="","",INDEX(tblFacturasRecibidas[Proveedor],$H376))</f>
        <v/>
      </c>
      <c r="D376" t="str" cm="1">
        <f t="array" ref="D376">IF($H376="","",INDEX(tblFacturasRecibidas[Categoría],$H376))</f>
        <v/>
      </c>
      <c r="H376" t="str" cm="1">
        <f t="array" ref="H3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GASTOS],tblCategorias[Tipo],"")="Inversión")),ROWS($H$5:H376)),"")</f>
        <v/>
      </c>
    </row>
    <row r="377" spans="1:8" x14ac:dyDescent="0.35">
      <c r="A377" s="1" t="str" cm="1">
        <f t="array" ref="A377">IF($H377="","",INDEX(tblFacturasRecibidas[Fecha factura],$H377))</f>
        <v/>
      </c>
      <c r="B377" t="str" cm="1">
        <f t="array" ref="B377">IF($H377="","",INDEX(tblFacturasRecibidas[Concepto],$H377))</f>
        <v/>
      </c>
      <c r="C377" t="str" cm="1">
        <f t="array" ref="C377">IF($H377="","",INDEX(tblFacturasRecibidas[Proveedor],$H377))</f>
        <v/>
      </c>
      <c r="D377" t="str" cm="1">
        <f t="array" ref="D377">IF($H377="","",INDEX(tblFacturasRecibidas[Categoría],$H377))</f>
        <v/>
      </c>
      <c r="H377" t="str" cm="1">
        <f t="array" ref="H3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GASTOS],tblCategorias[Tipo],"")="Inversión")),ROWS($H$5:H377)),"")</f>
        <v/>
      </c>
    </row>
    <row r="378" spans="1:8" x14ac:dyDescent="0.35">
      <c r="A378" s="1" t="str" cm="1">
        <f t="array" ref="A378">IF($H378="","",INDEX(tblFacturasRecibidas[Fecha factura],$H378))</f>
        <v/>
      </c>
      <c r="B378" t="str" cm="1">
        <f t="array" ref="B378">IF($H378="","",INDEX(tblFacturasRecibidas[Concepto],$H378))</f>
        <v/>
      </c>
      <c r="C378" t="str" cm="1">
        <f t="array" ref="C378">IF($H378="","",INDEX(tblFacturasRecibidas[Proveedor],$H378))</f>
        <v/>
      </c>
      <c r="D378" t="str" cm="1">
        <f t="array" ref="D378">IF($H378="","",INDEX(tblFacturasRecibidas[Categoría],$H378))</f>
        <v/>
      </c>
      <c r="H378" t="str" cm="1">
        <f t="array" ref="H3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GASTOS],tblCategorias[Tipo],"")="Inversión")),ROWS($H$5:H378)),"")</f>
        <v/>
      </c>
    </row>
    <row r="379" spans="1:8" x14ac:dyDescent="0.35">
      <c r="A379" s="1" t="str" cm="1">
        <f t="array" ref="A379">IF($H379="","",INDEX(tblFacturasRecibidas[Fecha factura],$H379))</f>
        <v/>
      </c>
      <c r="B379" t="str" cm="1">
        <f t="array" ref="B379">IF($H379="","",INDEX(tblFacturasRecibidas[Concepto],$H379))</f>
        <v/>
      </c>
      <c r="C379" t="str" cm="1">
        <f t="array" ref="C379">IF($H379="","",INDEX(tblFacturasRecibidas[Proveedor],$H379))</f>
        <v/>
      </c>
      <c r="D379" t="str" cm="1">
        <f t="array" ref="D379">IF($H379="","",INDEX(tblFacturasRecibidas[Categoría],$H379))</f>
        <v/>
      </c>
      <c r="H379" t="str" cm="1">
        <f t="array" ref="H3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GASTOS],tblCategorias[Tipo],"")="Inversión")),ROWS($H$5:H379)),"")</f>
        <v/>
      </c>
    </row>
    <row r="380" spans="1:8" x14ac:dyDescent="0.35">
      <c r="A380" s="1" t="str" cm="1">
        <f t="array" ref="A380">IF($H380="","",INDEX(tblFacturasRecibidas[Fecha factura],$H380))</f>
        <v/>
      </c>
      <c r="B380" t="str" cm="1">
        <f t="array" ref="B380">IF($H380="","",INDEX(tblFacturasRecibidas[Concepto],$H380))</f>
        <v/>
      </c>
      <c r="C380" t="str" cm="1">
        <f t="array" ref="C380">IF($H380="","",INDEX(tblFacturasRecibidas[Proveedor],$H380))</f>
        <v/>
      </c>
      <c r="D380" t="str" cm="1">
        <f t="array" ref="D380">IF($H380="","",INDEX(tblFacturasRecibidas[Categoría],$H380))</f>
        <v/>
      </c>
      <c r="H380" t="str" cm="1">
        <f t="array" ref="H3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GASTOS],tblCategorias[Tipo],"")="Inversión")),ROWS($H$5:H380)),"")</f>
        <v/>
      </c>
    </row>
    <row r="381" spans="1:8" x14ac:dyDescent="0.35">
      <c r="A381" s="1" t="str" cm="1">
        <f t="array" ref="A381">IF($H381="","",INDEX(tblFacturasRecibidas[Fecha factura],$H381))</f>
        <v/>
      </c>
      <c r="B381" t="str" cm="1">
        <f t="array" ref="B381">IF($H381="","",INDEX(tblFacturasRecibidas[Concepto],$H381))</f>
        <v/>
      </c>
      <c r="C381" t="str" cm="1">
        <f t="array" ref="C381">IF($H381="","",INDEX(tblFacturasRecibidas[Proveedor],$H381))</f>
        <v/>
      </c>
      <c r="D381" t="str" cm="1">
        <f t="array" ref="D381">IF($H381="","",INDEX(tblFacturasRecibidas[Categoría],$H381))</f>
        <v/>
      </c>
      <c r="H381" t="str" cm="1">
        <f t="array" ref="H3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GASTOS],tblCategorias[Tipo],"")="Inversión")),ROWS($H$5:H381)),"")</f>
        <v/>
      </c>
    </row>
    <row r="382" spans="1:8" x14ac:dyDescent="0.35">
      <c r="A382" s="1" t="str" cm="1">
        <f t="array" ref="A382">IF($H382="","",INDEX(tblFacturasRecibidas[Fecha factura],$H382))</f>
        <v/>
      </c>
      <c r="B382" t="str" cm="1">
        <f t="array" ref="B382">IF($H382="","",INDEX(tblFacturasRecibidas[Concepto],$H382))</f>
        <v/>
      </c>
      <c r="C382" t="str" cm="1">
        <f t="array" ref="C382">IF($H382="","",INDEX(tblFacturasRecibidas[Proveedor],$H382))</f>
        <v/>
      </c>
      <c r="D382" t="str" cm="1">
        <f t="array" ref="D382">IF($H382="","",INDEX(tblFacturasRecibidas[Categoría],$H382))</f>
        <v/>
      </c>
      <c r="H382" t="str" cm="1">
        <f t="array" ref="H3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GASTOS],tblCategorias[Tipo],"")="Inversión")),ROWS($H$5:H382)),"")</f>
        <v/>
      </c>
    </row>
    <row r="383" spans="1:8" x14ac:dyDescent="0.35">
      <c r="A383" s="1" t="str" cm="1">
        <f t="array" ref="A383">IF($H383="","",INDEX(tblFacturasRecibidas[Fecha factura],$H383))</f>
        <v/>
      </c>
      <c r="B383" t="str" cm="1">
        <f t="array" ref="B383">IF($H383="","",INDEX(tblFacturasRecibidas[Concepto],$H383))</f>
        <v/>
      </c>
      <c r="C383" t="str" cm="1">
        <f t="array" ref="C383">IF($H383="","",INDEX(tblFacturasRecibidas[Proveedor],$H383))</f>
        <v/>
      </c>
      <c r="D383" t="str" cm="1">
        <f t="array" ref="D383">IF($H383="","",INDEX(tblFacturasRecibidas[Categoría],$H383))</f>
        <v/>
      </c>
      <c r="H383" t="str" cm="1">
        <f t="array" ref="H3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GASTOS],tblCategorias[Tipo],"")="Inversión")),ROWS($H$5:H383)),"")</f>
        <v/>
      </c>
    </row>
    <row r="384" spans="1:8" x14ac:dyDescent="0.35">
      <c r="A384" s="1" t="str" cm="1">
        <f t="array" ref="A384">IF($H384="","",INDEX(tblFacturasRecibidas[Fecha factura],$H384))</f>
        <v/>
      </c>
      <c r="B384" t="str" cm="1">
        <f t="array" ref="B384">IF($H384="","",INDEX(tblFacturasRecibidas[Concepto],$H384))</f>
        <v/>
      </c>
      <c r="C384" t="str" cm="1">
        <f t="array" ref="C384">IF($H384="","",INDEX(tblFacturasRecibidas[Proveedor],$H384))</f>
        <v/>
      </c>
      <c r="D384" t="str" cm="1">
        <f t="array" ref="D384">IF($H384="","",INDEX(tblFacturasRecibidas[Categoría],$H384))</f>
        <v/>
      </c>
      <c r="H384" t="str" cm="1">
        <f t="array" ref="H3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GASTOS],tblCategorias[Tipo],"")="Inversión")),ROWS($H$5:H384)),"")</f>
        <v/>
      </c>
    </row>
    <row r="385" spans="1:8" x14ac:dyDescent="0.35">
      <c r="A385" s="1" t="str" cm="1">
        <f t="array" ref="A385">IF($H385="","",INDEX(tblFacturasRecibidas[Fecha factura],$H385))</f>
        <v/>
      </c>
      <c r="B385" t="str" cm="1">
        <f t="array" ref="B385">IF($H385="","",INDEX(tblFacturasRecibidas[Concepto],$H385))</f>
        <v/>
      </c>
      <c r="C385" t="str" cm="1">
        <f t="array" ref="C385">IF($H385="","",INDEX(tblFacturasRecibidas[Proveedor],$H385))</f>
        <v/>
      </c>
      <c r="D385" t="str" cm="1">
        <f t="array" ref="D385">IF($H385="","",INDEX(tblFacturasRecibidas[Categoría],$H385))</f>
        <v/>
      </c>
      <c r="H385" t="str" cm="1">
        <f t="array" ref="H3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GASTOS],tblCategorias[Tipo],"")="Inversión")),ROWS($H$5:H385)),"")</f>
        <v/>
      </c>
    </row>
    <row r="386" spans="1:8" x14ac:dyDescent="0.35">
      <c r="A386" s="1" t="str" cm="1">
        <f t="array" ref="A386">IF($H386="","",INDEX(tblFacturasRecibidas[Fecha factura],$H386))</f>
        <v/>
      </c>
      <c r="B386" t="str" cm="1">
        <f t="array" ref="B386">IF($H386="","",INDEX(tblFacturasRecibidas[Concepto],$H386))</f>
        <v/>
      </c>
      <c r="C386" t="str" cm="1">
        <f t="array" ref="C386">IF($H386="","",INDEX(tblFacturasRecibidas[Proveedor],$H386))</f>
        <v/>
      </c>
      <c r="D386" t="str" cm="1">
        <f t="array" ref="D386">IF($H386="","",INDEX(tblFacturasRecibidas[Categoría],$H386))</f>
        <v/>
      </c>
      <c r="H386" t="str" cm="1">
        <f t="array" ref="H3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GASTOS],tblCategorias[Tipo],"")="Inversión")),ROWS($H$5:H386)),"")</f>
        <v/>
      </c>
    </row>
    <row r="387" spans="1:8" x14ac:dyDescent="0.35">
      <c r="A387" s="1" t="str" cm="1">
        <f t="array" ref="A387">IF($H387="","",INDEX(tblFacturasRecibidas[Fecha factura],$H387))</f>
        <v/>
      </c>
      <c r="B387" t="str" cm="1">
        <f t="array" ref="B387">IF($H387="","",INDEX(tblFacturasRecibidas[Concepto],$H387))</f>
        <v/>
      </c>
      <c r="C387" t="str" cm="1">
        <f t="array" ref="C387">IF($H387="","",INDEX(tblFacturasRecibidas[Proveedor],$H387))</f>
        <v/>
      </c>
      <c r="D387" t="str" cm="1">
        <f t="array" ref="D387">IF($H387="","",INDEX(tblFacturasRecibidas[Categoría],$H387))</f>
        <v/>
      </c>
      <c r="H387" t="str" cm="1">
        <f t="array" ref="H3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GASTOS],tblCategorias[Tipo],"")="Inversión")),ROWS($H$5:H387)),"")</f>
        <v/>
      </c>
    </row>
    <row r="388" spans="1:8" x14ac:dyDescent="0.35">
      <c r="A388" s="1" t="str" cm="1">
        <f t="array" ref="A388">IF($H388="","",INDEX(tblFacturasRecibidas[Fecha factura],$H388))</f>
        <v/>
      </c>
      <c r="B388" t="str" cm="1">
        <f t="array" ref="B388">IF($H388="","",INDEX(tblFacturasRecibidas[Concepto],$H388))</f>
        <v/>
      </c>
      <c r="C388" t="str" cm="1">
        <f t="array" ref="C388">IF($H388="","",INDEX(tblFacturasRecibidas[Proveedor],$H388))</f>
        <v/>
      </c>
      <c r="D388" t="str" cm="1">
        <f t="array" ref="D388">IF($H388="","",INDEX(tblFacturasRecibidas[Categoría],$H388))</f>
        <v/>
      </c>
      <c r="H388" t="str" cm="1">
        <f t="array" ref="H3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GASTOS],tblCategorias[Tipo],"")="Inversión")),ROWS($H$5:H388)),"")</f>
        <v/>
      </c>
    </row>
    <row r="389" spans="1:8" x14ac:dyDescent="0.35">
      <c r="A389" s="1" t="str" cm="1">
        <f t="array" ref="A389">IF($H389="","",INDEX(tblFacturasRecibidas[Fecha factura],$H389))</f>
        <v/>
      </c>
      <c r="B389" t="str" cm="1">
        <f t="array" ref="B389">IF($H389="","",INDEX(tblFacturasRecibidas[Concepto],$H389))</f>
        <v/>
      </c>
      <c r="C389" t="str" cm="1">
        <f t="array" ref="C389">IF($H389="","",INDEX(tblFacturasRecibidas[Proveedor],$H389))</f>
        <v/>
      </c>
      <c r="D389" t="str" cm="1">
        <f t="array" ref="D389">IF($H389="","",INDEX(tblFacturasRecibidas[Categoría],$H389))</f>
        <v/>
      </c>
      <c r="H389" t="str" cm="1">
        <f t="array" ref="H3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GASTOS],tblCategorias[Tipo],"")="Inversión")),ROWS($H$5:H389)),"")</f>
        <v/>
      </c>
    </row>
    <row r="390" spans="1:8" x14ac:dyDescent="0.35">
      <c r="A390" s="1" t="str" cm="1">
        <f t="array" ref="A390">IF($H390="","",INDEX(tblFacturasRecibidas[Fecha factura],$H390))</f>
        <v/>
      </c>
      <c r="B390" t="str" cm="1">
        <f t="array" ref="B390">IF($H390="","",INDEX(tblFacturasRecibidas[Concepto],$H390))</f>
        <v/>
      </c>
      <c r="C390" t="str" cm="1">
        <f t="array" ref="C390">IF($H390="","",INDEX(tblFacturasRecibidas[Proveedor],$H390))</f>
        <v/>
      </c>
      <c r="D390" t="str" cm="1">
        <f t="array" ref="D390">IF($H390="","",INDEX(tblFacturasRecibidas[Categoría],$H390))</f>
        <v/>
      </c>
      <c r="H390" t="str" cm="1">
        <f t="array" ref="H3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GASTOS],tblCategorias[Tipo],"")="Inversión")),ROWS($H$5:H390)),"")</f>
        <v/>
      </c>
    </row>
    <row r="391" spans="1:8" x14ac:dyDescent="0.35">
      <c r="A391" s="1" t="str" cm="1">
        <f t="array" ref="A391">IF($H391="","",INDEX(tblFacturasRecibidas[Fecha factura],$H391))</f>
        <v/>
      </c>
      <c r="B391" t="str" cm="1">
        <f t="array" ref="B391">IF($H391="","",INDEX(tblFacturasRecibidas[Concepto],$H391))</f>
        <v/>
      </c>
      <c r="C391" t="str" cm="1">
        <f t="array" ref="C391">IF($H391="","",INDEX(tblFacturasRecibidas[Proveedor],$H391))</f>
        <v/>
      </c>
      <c r="D391" t="str" cm="1">
        <f t="array" ref="D391">IF($H391="","",INDEX(tblFacturasRecibidas[Categoría],$H391))</f>
        <v/>
      </c>
      <c r="H391" t="str" cm="1">
        <f t="array" ref="H3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GASTOS],tblCategorias[Tipo],"")="Inversión")),ROWS($H$5:H391)),"")</f>
        <v/>
      </c>
    </row>
    <row r="392" spans="1:8" x14ac:dyDescent="0.35">
      <c r="A392" s="1" t="str" cm="1">
        <f t="array" ref="A392">IF($H392="","",INDEX(tblFacturasRecibidas[Fecha factura],$H392))</f>
        <v/>
      </c>
      <c r="B392" t="str" cm="1">
        <f t="array" ref="B392">IF($H392="","",INDEX(tblFacturasRecibidas[Concepto],$H392))</f>
        <v/>
      </c>
      <c r="C392" t="str" cm="1">
        <f t="array" ref="C392">IF($H392="","",INDEX(tblFacturasRecibidas[Proveedor],$H392))</f>
        <v/>
      </c>
      <c r="D392" t="str" cm="1">
        <f t="array" ref="D392">IF($H392="","",INDEX(tblFacturasRecibidas[Categoría],$H392))</f>
        <v/>
      </c>
      <c r="H392" t="str" cm="1">
        <f t="array" ref="H3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GASTOS],tblCategorias[Tipo],"")="Inversión")),ROWS($H$5:H392)),"")</f>
        <v/>
      </c>
    </row>
    <row r="393" spans="1:8" x14ac:dyDescent="0.35">
      <c r="A393" s="1" t="str" cm="1">
        <f t="array" ref="A393">IF($H393="","",INDEX(tblFacturasRecibidas[Fecha factura],$H393))</f>
        <v/>
      </c>
      <c r="B393" t="str" cm="1">
        <f t="array" ref="B393">IF($H393="","",INDEX(tblFacturasRecibidas[Concepto],$H393))</f>
        <v/>
      </c>
      <c r="C393" t="str" cm="1">
        <f t="array" ref="C393">IF($H393="","",INDEX(tblFacturasRecibidas[Proveedor],$H393))</f>
        <v/>
      </c>
      <c r="D393" t="str" cm="1">
        <f t="array" ref="D393">IF($H393="","",INDEX(tblFacturasRecibidas[Categoría],$H393))</f>
        <v/>
      </c>
      <c r="H393" t="str" cm="1">
        <f t="array" ref="H3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GASTOS],tblCategorias[Tipo],"")="Inversión")),ROWS($H$5:H393)),"")</f>
        <v/>
      </c>
    </row>
    <row r="394" spans="1:8" x14ac:dyDescent="0.35">
      <c r="A394" s="1" t="str" cm="1">
        <f t="array" ref="A394">IF($H394="","",INDEX(tblFacturasRecibidas[Fecha factura],$H394))</f>
        <v/>
      </c>
      <c r="B394" t="str" cm="1">
        <f t="array" ref="B394">IF($H394="","",INDEX(tblFacturasRecibidas[Concepto],$H394))</f>
        <v/>
      </c>
      <c r="C394" t="str" cm="1">
        <f t="array" ref="C394">IF($H394="","",INDEX(tblFacturasRecibidas[Proveedor],$H394))</f>
        <v/>
      </c>
      <c r="D394" t="str" cm="1">
        <f t="array" ref="D394">IF($H394="","",INDEX(tblFacturasRecibidas[Categoría],$H394))</f>
        <v/>
      </c>
      <c r="H394" t="str" cm="1">
        <f t="array" ref="H3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GASTOS],tblCategorias[Tipo],"")="Inversión")),ROWS($H$5:H394)),"")</f>
        <v/>
      </c>
    </row>
    <row r="395" spans="1:8" x14ac:dyDescent="0.35">
      <c r="A395" s="1" t="str" cm="1">
        <f t="array" ref="A395">IF($H395="","",INDEX(tblFacturasRecibidas[Fecha factura],$H395))</f>
        <v/>
      </c>
      <c r="B395" t="str" cm="1">
        <f t="array" ref="B395">IF($H395="","",INDEX(tblFacturasRecibidas[Concepto],$H395))</f>
        <v/>
      </c>
      <c r="C395" t="str" cm="1">
        <f t="array" ref="C395">IF($H395="","",INDEX(tblFacturasRecibidas[Proveedor],$H395))</f>
        <v/>
      </c>
      <c r="D395" t="str" cm="1">
        <f t="array" ref="D395">IF($H395="","",INDEX(tblFacturasRecibidas[Categoría],$H395))</f>
        <v/>
      </c>
      <c r="H395" t="str" cm="1">
        <f t="array" ref="H3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GASTOS],tblCategorias[Tipo],"")="Inversión")),ROWS($H$5:H395)),"")</f>
        <v/>
      </c>
    </row>
    <row r="396" spans="1:8" x14ac:dyDescent="0.35">
      <c r="A396" s="1" t="str" cm="1">
        <f t="array" ref="A396">IF($H396="","",INDEX(tblFacturasRecibidas[Fecha factura],$H396))</f>
        <v/>
      </c>
      <c r="B396" t="str" cm="1">
        <f t="array" ref="B396">IF($H396="","",INDEX(tblFacturasRecibidas[Concepto],$H396))</f>
        <v/>
      </c>
      <c r="C396" t="str" cm="1">
        <f t="array" ref="C396">IF($H396="","",INDEX(tblFacturasRecibidas[Proveedor],$H396))</f>
        <v/>
      </c>
      <c r="D396" t="str" cm="1">
        <f t="array" ref="D396">IF($H396="","",INDEX(tblFacturasRecibidas[Categoría],$H396))</f>
        <v/>
      </c>
      <c r="H396" t="str" cm="1">
        <f t="array" ref="H3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GASTOS],tblCategorias[Tipo],"")="Inversión")),ROWS($H$5:H396)),"")</f>
        <v/>
      </c>
    </row>
    <row r="397" spans="1:8" x14ac:dyDescent="0.35">
      <c r="A397" s="1" t="str" cm="1">
        <f t="array" ref="A397">IF($H397="","",INDEX(tblFacturasRecibidas[Fecha factura],$H397))</f>
        <v/>
      </c>
      <c r="B397" t="str" cm="1">
        <f t="array" ref="B397">IF($H397="","",INDEX(tblFacturasRecibidas[Concepto],$H397))</f>
        <v/>
      </c>
      <c r="C397" t="str" cm="1">
        <f t="array" ref="C397">IF($H397="","",INDEX(tblFacturasRecibidas[Proveedor],$H397))</f>
        <v/>
      </c>
      <c r="D397" t="str" cm="1">
        <f t="array" ref="D397">IF($H397="","",INDEX(tblFacturasRecibidas[Categoría],$H397))</f>
        <v/>
      </c>
      <c r="H397" t="str" cm="1">
        <f t="array" ref="H3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GASTOS],tblCategorias[Tipo],"")="Inversión")),ROWS($H$5:H397)),"")</f>
        <v/>
      </c>
    </row>
    <row r="398" spans="1:8" x14ac:dyDescent="0.35">
      <c r="A398" s="1" t="str" cm="1">
        <f t="array" ref="A398">IF($H398="","",INDEX(tblFacturasRecibidas[Fecha factura],$H398))</f>
        <v/>
      </c>
      <c r="B398" t="str" cm="1">
        <f t="array" ref="B398">IF($H398="","",INDEX(tblFacturasRecibidas[Concepto],$H398))</f>
        <v/>
      </c>
      <c r="C398" t="str" cm="1">
        <f t="array" ref="C398">IF($H398="","",INDEX(tblFacturasRecibidas[Proveedor],$H398))</f>
        <v/>
      </c>
      <c r="D398" t="str" cm="1">
        <f t="array" ref="D398">IF($H398="","",INDEX(tblFacturasRecibidas[Categoría],$H398))</f>
        <v/>
      </c>
      <c r="H398" t="str" cm="1">
        <f t="array" ref="H3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GASTOS],tblCategorias[Tipo],"")="Inversión")),ROWS($H$5:H398)),"")</f>
        <v/>
      </c>
    </row>
    <row r="399" spans="1:8" x14ac:dyDescent="0.35">
      <c r="A399" s="1" t="str" cm="1">
        <f t="array" ref="A399">IF($H399="","",INDEX(tblFacturasRecibidas[Fecha factura],$H399))</f>
        <v/>
      </c>
      <c r="B399" t="str" cm="1">
        <f t="array" ref="B399">IF($H399="","",INDEX(tblFacturasRecibidas[Concepto],$H399))</f>
        <v/>
      </c>
      <c r="C399" t="str" cm="1">
        <f t="array" ref="C399">IF($H399="","",INDEX(tblFacturasRecibidas[Proveedor],$H399))</f>
        <v/>
      </c>
      <c r="D399" t="str" cm="1">
        <f t="array" ref="D399">IF($H399="","",INDEX(tblFacturasRecibidas[Categoría],$H399))</f>
        <v/>
      </c>
      <c r="H399" t="str" cm="1">
        <f t="array" ref="H3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GASTOS],tblCategorias[Tipo],"")="Inversión")),ROWS($H$5:H399)),"")</f>
        <v/>
      </c>
    </row>
    <row r="400" spans="1:8" x14ac:dyDescent="0.35">
      <c r="A400" s="1" t="str" cm="1">
        <f t="array" ref="A400">IF($H400="","",INDEX(tblFacturasRecibidas[Fecha factura],$H400))</f>
        <v/>
      </c>
      <c r="B400" t="str" cm="1">
        <f t="array" ref="B400">IF($H400="","",INDEX(tblFacturasRecibidas[Concepto],$H400))</f>
        <v/>
      </c>
      <c r="C400" t="str" cm="1">
        <f t="array" ref="C400">IF($H400="","",INDEX(tblFacturasRecibidas[Proveedor],$H400))</f>
        <v/>
      </c>
      <c r="D400" t="str" cm="1">
        <f t="array" ref="D400">IF($H400="","",INDEX(tblFacturasRecibidas[Categoría],$H400))</f>
        <v/>
      </c>
      <c r="H400" t="str" cm="1">
        <f t="array" ref="H4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GASTOS],tblCategorias[Tipo],"")="Inversión")),ROWS($H$5:H400)),"")</f>
        <v/>
      </c>
    </row>
    <row r="401" spans="1:8" x14ac:dyDescent="0.35">
      <c r="A401" s="1" t="str" cm="1">
        <f t="array" ref="A401">IF($H401="","",INDEX(tblFacturasRecibidas[Fecha factura],$H401))</f>
        <v/>
      </c>
      <c r="B401" t="str" cm="1">
        <f t="array" ref="B401">IF($H401="","",INDEX(tblFacturasRecibidas[Concepto],$H401))</f>
        <v/>
      </c>
      <c r="C401" t="str" cm="1">
        <f t="array" ref="C401">IF($H401="","",INDEX(tblFacturasRecibidas[Proveedor],$H401))</f>
        <v/>
      </c>
      <c r="D401" t="str" cm="1">
        <f t="array" ref="D401">IF($H401="","",INDEX(tblFacturasRecibidas[Categoría],$H401))</f>
        <v/>
      </c>
      <c r="H401" t="str" cm="1">
        <f t="array" ref="H4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GASTOS],tblCategorias[Tipo],"")="Inversión")),ROWS($H$5:H401)),"")</f>
        <v/>
      </c>
    </row>
    <row r="402" spans="1:8" x14ac:dyDescent="0.35">
      <c r="A402" s="1" t="str" cm="1">
        <f t="array" ref="A402">IF($H402="","",INDEX(tblFacturasRecibidas[Fecha factura],$H402))</f>
        <v/>
      </c>
      <c r="B402" t="str" cm="1">
        <f t="array" ref="B402">IF($H402="","",INDEX(tblFacturasRecibidas[Concepto],$H402))</f>
        <v/>
      </c>
      <c r="C402" t="str" cm="1">
        <f t="array" ref="C402">IF($H402="","",INDEX(tblFacturasRecibidas[Proveedor],$H402))</f>
        <v/>
      </c>
      <c r="D402" t="str" cm="1">
        <f t="array" ref="D402">IF($H402="","",INDEX(tblFacturasRecibidas[Categoría],$H402))</f>
        <v/>
      </c>
      <c r="H402" t="str" cm="1">
        <f t="array" ref="H4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GASTOS],tblCategorias[Tipo],"")="Inversión")),ROWS($H$5:H402)),"")</f>
        <v/>
      </c>
    </row>
    <row r="403" spans="1:8" x14ac:dyDescent="0.35">
      <c r="A403" s="1" t="str" cm="1">
        <f t="array" ref="A403">IF($H403="","",INDEX(tblFacturasRecibidas[Fecha factura],$H403))</f>
        <v/>
      </c>
      <c r="B403" t="str" cm="1">
        <f t="array" ref="B403">IF($H403="","",INDEX(tblFacturasRecibidas[Concepto],$H403))</f>
        <v/>
      </c>
      <c r="C403" t="str" cm="1">
        <f t="array" ref="C403">IF($H403="","",INDEX(tblFacturasRecibidas[Proveedor],$H403))</f>
        <v/>
      </c>
      <c r="D403" t="str" cm="1">
        <f t="array" ref="D403">IF($H403="","",INDEX(tblFacturasRecibidas[Categoría],$H403))</f>
        <v/>
      </c>
      <c r="H403" t="str" cm="1">
        <f t="array" ref="H4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GASTOS],tblCategorias[Tipo],"")="Inversión")),ROWS($H$5:H403)),"")</f>
        <v/>
      </c>
    </row>
    <row r="404" spans="1:8" x14ac:dyDescent="0.35">
      <c r="A404" s="1" t="str" cm="1">
        <f t="array" ref="A404">IF($H404="","",INDEX(tblFacturasRecibidas[Fecha factura],$H404))</f>
        <v/>
      </c>
      <c r="B404" t="str" cm="1">
        <f t="array" ref="B404">IF($H404="","",INDEX(tblFacturasRecibidas[Concepto],$H404))</f>
        <v/>
      </c>
      <c r="C404" t="str" cm="1">
        <f t="array" ref="C404">IF($H404="","",INDEX(tblFacturasRecibidas[Proveedor],$H404))</f>
        <v/>
      </c>
      <c r="D404" t="str" cm="1">
        <f t="array" ref="D404">IF($H404="","",INDEX(tblFacturasRecibidas[Categoría],$H404))</f>
        <v/>
      </c>
      <c r="H404" t="str" cm="1">
        <f t="array" ref="H4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GASTOS],tblCategorias[Tipo],"")="Inversión")),ROWS($H$5:H404)),"")</f>
        <v/>
      </c>
    </row>
    <row r="405" spans="1:8" x14ac:dyDescent="0.35">
      <c r="A405" s="1" t="str" cm="1">
        <f t="array" ref="A405">IF($H405="","",INDEX(tblFacturasRecibidas[Fecha factura],$H405))</f>
        <v/>
      </c>
      <c r="B405" t="str" cm="1">
        <f t="array" ref="B405">IF($H405="","",INDEX(tblFacturasRecibidas[Concepto],$H405))</f>
        <v/>
      </c>
      <c r="C405" t="str" cm="1">
        <f t="array" ref="C405">IF($H405="","",INDEX(tblFacturasRecibidas[Proveedor],$H405))</f>
        <v/>
      </c>
      <c r="D405" t="str" cm="1">
        <f t="array" ref="D405">IF($H405="","",INDEX(tblFacturasRecibidas[Categoría],$H405))</f>
        <v/>
      </c>
      <c r="H405" t="str" cm="1">
        <f t="array" ref="H4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GASTOS],tblCategorias[Tipo],"")="Inversión")),ROWS($H$5:H405)),"")</f>
        <v/>
      </c>
    </row>
    <row r="406" spans="1:8" x14ac:dyDescent="0.35">
      <c r="A406" s="1" t="str" cm="1">
        <f t="array" ref="A406">IF($H406="","",INDEX(tblFacturasRecibidas[Fecha factura],$H406))</f>
        <v/>
      </c>
      <c r="B406" t="str" cm="1">
        <f t="array" ref="B406">IF($H406="","",INDEX(tblFacturasRecibidas[Concepto],$H406))</f>
        <v/>
      </c>
      <c r="C406" t="str" cm="1">
        <f t="array" ref="C406">IF($H406="","",INDEX(tblFacturasRecibidas[Proveedor],$H406))</f>
        <v/>
      </c>
      <c r="D406" t="str" cm="1">
        <f t="array" ref="D406">IF($H406="","",INDEX(tblFacturasRecibidas[Categoría],$H406))</f>
        <v/>
      </c>
      <c r="H406" t="str" cm="1">
        <f t="array" ref="H4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GASTOS],tblCategorias[Tipo],"")="Inversión")),ROWS($H$5:H406)),"")</f>
        <v/>
      </c>
    </row>
    <row r="407" spans="1:8" x14ac:dyDescent="0.35">
      <c r="A407" s="1" t="str" cm="1">
        <f t="array" ref="A407">IF($H407="","",INDEX(tblFacturasRecibidas[Fecha factura],$H407))</f>
        <v/>
      </c>
      <c r="B407" t="str" cm="1">
        <f t="array" ref="B407">IF($H407="","",INDEX(tblFacturasRecibidas[Concepto],$H407))</f>
        <v/>
      </c>
      <c r="C407" t="str" cm="1">
        <f t="array" ref="C407">IF($H407="","",INDEX(tblFacturasRecibidas[Proveedor],$H407))</f>
        <v/>
      </c>
      <c r="D407" t="str" cm="1">
        <f t="array" ref="D407">IF($H407="","",INDEX(tblFacturasRecibidas[Categoría],$H407))</f>
        <v/>
      </c>
      <c r="H407" t="str" cm="1">
        <f t="array" ref="H4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GASTOS],tblCategorias[Tipo],"")="Inversión")),ROWS($H$5:H407)),"")</f>
        <v/>
      </c>
    </row>
    <row r="408" spans="1:8" x14ac:dyDescent="0.35">
      <c r="A408" s="1" t="str" cm="1">
        <f t="array" ref="A408">IF($H408="","",INDEX(tblFacturasRecibidas[Fecha factura],$H408))</f>
        <v/>
      </c>
      <c r="B408" t="str" cm="1">
        <f t="array" ref="B408">IF($H408="","",INDEX(tblFacturasRecibidas[Concepto],$H408))</f>
        <v/>
      </c>
      <c r="C408" t="str" cm="1">
        <f t="array" ref="C408">IF($H408="","",INDEX(tblFacturasRecibidas[Proveedor],$H408))</f>
        <v/>
      </c>
      <c r="D408" t="str" cm="1">
        <f t="array" ref="D408">IF($H408="","",INDEX(tblFacturasRecibidas[Categoría],$H408))</f>
        <v/>
      </c>
      <c r="H408" t="str" cm="1">
        <f t="array" ref="H4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GASTOS],tblCategorias[Tipo],"")="Inversión")),ROWS($H$5:H408)),"")</f>
        <v/>
      </c>
    </row>
    <row r="409" spans="1:8" x14ac:dyDescent="0.35">
      <c r="A409" s="1" t="str" cm="1">
        <f t="array" ref="A409">IF($H409="","",INDEX(tblFacturasRecibidas[Fecha factura],$H409))</f>
        <v/>
      </c>
      <c r="B409" t="str" cm="1">
        <f t="array" ref="B409">IF($H409="","",INDEX(tblFacturasRecibidas[Concepto],$H409))</f>
        <v/>
      </c>
      <c r="C409" t="str" cm="1">
        <f t="array" ref="C409">IF($H409="","",INDEX(tblFacturasRecibidas[Proveedor],$H409))</f>
        <v/>
      </c>
      <c r="D409" t="str" cm="1">
        <f t="array" ref="D409">IF($H409="","",INDEX(tblFacturasRecibidas[Categoría],$H409))</f>
        <v/>
      </c>
      <c r="H409" t="str" cm="1">
        <f t="array" ref="H4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GASTOS],tblCategorias[Tipo],"")="Inversión")),ROWS($H$5:H409)),"")</f>
        <v/>
      </c>
    </row>
    <row r="410" spans="1:8" x14ac:dyDescent="0.35">
      <c r="A410" s="1" t="str" cm="1">
        <f t="array" ref="A410">IF($H410="","",INDEX(tblFacturasRecibidas[Fecha factura],$H410))</f>
        <v/>
      </c>
      <c r="B410" t="str" cm="1">
        <f t="array" ref="B410">IF($H410="","",INDEX(tblFacturasRecibidas[Concepto],$H410))</f>
        <v/>
      </c>
      <c r="C410" t="str" cm="1">
        <f t="array" ref="C410">IF($H410="","",INDEX(tblFacturasRecibidas[Proveedor],$H410))</f>
        <v/>
      </c>
      <c r="D410" t="str" cm="1">
        <f t="array" ref="D410">IF($H410="","",INDEX(tblFacturasRecibidas[Categoría],$H410))</f>
        <v/>
      </c>
      <c r="H410" t="str" cm="1">
        <f t="array" ref="H4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GASTOS],tblCategorias[Tipo],"")="Inversión")),ROWS($H$5:H410)),"")</f>
        <v/>
      </c>
    </row>
    <row r="411" spans="1:8" x14ac:dyDescent="0.35">
      <c r="A411" s="1" t="str" cm="1">
        <f t="array" ref="A411">IF($H411="","",INDEX(tblFacturasRecibidas[Fecha factura],$H411))</f>
        <v/>
      </c>
      <c r="B411" t="str" cm="1">
        <f t="array" ref="B411">IF($H411="","",INDEX(tblFacturasRecibidas[Concepto],$H411))</f>
        <v/>
      </c>
      <c r="C411" t="str" cm="1">
        <f t="array" ref="C411">IF($H411="","",INDEX(tblFacturasRecibidas[Proveedor],$H411))</f>
        <v/>
      </c>
      <c r="D411" t="str" cm="1">
        <f t="array" ref="D411">IF($H411="","",INDEX(tblFacturasRecibidas[Categoría],$H411))</f>
        <v/>
      </c>
      <c r="H411" t="str" cm="1">
        <f t="array" ref="H4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GASTOS],tblCategorias[Tipo],"")="Inversión")),ROWS($H$5:H411)),"")</f>
        <v/>
      </c>
    </row>
    <row r="412" spans="1:8" x14ac:dyDescent="0.35">
      <c r="A412" s="1" t="str" cm="1">
        <f t="array" ref="A412">IF($H412="","",INDEX(tblFacturasRecibidas[Fecha factura],$H412))</f>
        <v/>
      </c>
      <c r="B412" t="str" cm="1">
        <f t="array" ref="B412">IF($H412="","",INDEX(tblFacturasRecibidas[Concepto],$H412))</f>
        <v/>
      </c>
      <c r="C412" t="str" cm="1">
        <f t="array" ref="C412">IF($H412="","",INDEX(tblFacturasRecibidas[Proveedor],$H412))</f>
        <v/>
      </c>
      <c r="D412" t="str" cm="1">
        <f t="array" ref="D412">IF($H412="","",INDEX(tblFacturasRecibidas[Categoría],$H412))</f>
        <v/>
      </c>
      <c r="H412" t="str" cm="1">
        <f t="array" ref="H4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GASTOS],tblCategorias[Tipo],"")="Inversión")),ROWS($H$5:H412)),"")</f>
        <v/>
      </c>
    </row>
    <row r="413" spans="1:8" x14ac:dyDescent="0.35">
      <c r="A413" s="1" t="str" cm="1">
        <f t="array" ref="A413">IF($H413="","",INDEX(tblFacturasRecibidas[Fecha factura],$H413))</f>
        <v/>
      </c>
      <c r="B413" t="str" cm="1">
        <f t="array" ref="B413">IF($H413="","",INDEX(tblFacturasRecibidas[Concepto],$H413))</f>
        <v/>
      </c>
      <c r="C413" t="str" cm="1">
        <f t="array" ref="C413">IF($H413="","",INDEX(tblFacturasRecibidas[Proveedor],$H413))</f>
        <v/>
      </c>
      <c r="D413" t="str" cm="1">
        <f t="array" ref="D413">IF($H413="","",INDEX(tblFacturasRecibidas[Categoría],$H413))</f>
        <v/>
      </c>
      <c r="H413" t="str" cm="1">
        <f t="array" ref="H4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GASTOS],tblCategorias[Tipo],"")="Inversión")),ROWS($H$5:H413)),"")</f>
        <v/>
      </c>
    </row>
    <row r="414" spans="1:8" x14ac:dyDescent="0.35">
      <c r="A414" s="1" t="str" cm="1">
        <f t="array" ref="A414">IF($H414="","",INDEX(tblFacturasRecibidas[Fecha factura],$H414))</f>
        <v/>
      </c>
      <c r="B414" t="str" cm="1">
        <f t="array" ref="B414">IF($H414="","",INDEX(tblFacturasRecibidas[Concepto],$H414))</f>
        <v/>
      </c>
      <c r="C414" t="str" cm="1">
        <f t="array" ref="C414">IF($H414="","",INDEX(tblFacturasRecibidas[Proveedor],$H414))</f>
        <v/>
      </c>
      <c r="D414" t="str" cm="1">
        <f t="array" ref="D414">IF($H414="","",INDEX(tblFacturasRecibidas[Categoría],$H414))</f>
        <v/>
      </c>
      <c r="H414" t="str" cm="1">
        <f t="array" ref="H4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GASTOS],tblCategorias[Tipo],"")="Inversión")),ROWS($H$5:H414)),"")</f>
        <v/>
      </c>
    </row>
    <row r="415" spans="1:8" x14ac:dyDescent="0.35">
      <c r="A415" s="1" t="str" cm="1">
        <f t="array" ref="A415">IF($H415="","",INDEX(tblFacturasRecibidas[Fecha factura],$H415))</f>
        <v/>
      </c>
      <c r="B415" t="str" cm="1">
        <f t="array" ref="B415">IF($H415="","",INDEX(tblFacturasRecibidas[Concepto],$H415))</f>
        <v/>
      </c>
      <c r="C415" t="str" cm="1">
        <f t="array" ref="C415">IF($H415="","",INDEX(tblFacturasRecibidas[Proveedor],$H415))</f>
        <v/>
      </c>
      <c r="D415" t="str" cm="1">
        <f t="array" ref="D415">IF($H415="","",INDEX(tblFacturasRecibidas[Categoría],$H415))</f>
        <v/>
      </c>
      <c r="H415" t="str" cm="1">
        <f t="array" ref="H4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GASTOS],tblCategorias[Tipo],"")="Inversión")),ROWS($H$5:H415)),"")</f>
        <v/>
      </c>
    </row>
    <row r="416" spans="1:8" x14ac:dyDescent="0.35">
      <c r="A416" s="1" t="str" cm="1">
        <f t="array" ref="A416">IF($H416="","",INDEX(tblFacturasRecibidas[Fecha factura],$H416))</f>
        <v/>
      </c>
      <c r="B416" t="str" cm="1">
        <f t="array" ref="B416">IF($H416="","",INDEX(tblFacturasRecibidas[Concepto],$H416))</f>
        <v/>
      </c>
      <c r="C416" t="str" cm="1">
        <f t="array" ref="C416">IF($H416="","",INDEX(tblFacturasRecibidas[Proveedor],$H416))</f>
        <v/>
      </c>
      <c r="D416" t="str" cm="1">
        <f t="array" ref="D416">IF($H416="","",INDEX(tblFacturasRecibidas[Categoría],$H416))</f>
        <v/>
      </c>
      <c r="H416" t="str" cm="1">
        <f t="array" ref="H4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GASTOS],tblCategorias[Tipo],"")="Inversión")),ROWS($H$5:H416)),"")</f>
        <v/>
      </c>
    </row>
    <row r="417" spans="1:8" x14ac:dyDescent="0.35">
      <c r="A417" s="1" t="str" cm="1">
        <f t="array" ref="A417">IF($H417="","",INDEX(tblFacturasRecibidas[Fecha factura],$H417))</f>
        <v/>
      </c>
      <c r="B417" t="str" cm="1">
        <f t="array" ref="B417">IF($H417="","",INDEX(tblFacturasRecibidas[Concepto],$H417))</f>
        <v/>
      </c>
      <c r="C417" t="str" cm="1">
        <f t="array" ref="C417">IF($H417="","",INDEX(tblFacturasRecibidas[Proveedor],$H417))</f>
        <v/>
      </c>
      <c r="D417" t="str" cm="1">
        <f t="array" ref="D417">IF($H417="","",INDEX(tblFacturasRecibidas[Categoría],$H417))</f>
        <v/>
      </c>
      <c r="H417" t="str" cm="1">
        <f t="array" ref="H4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GASTOS],tblCategorias[Tipo],"")="Inversión")),ROWS($H$5:H417)),"")</f>
        <v/>
      </c>
    </row>
    <row r="418" spans="1:8" x14ac:dyDescent="0.35">
      <c r="A418" s="1" t="str" cm="1">
        <f t="array" ref="A418">IF($H418="","",INDEX(tblFacturasRecibidas[Fecha factura],$H418))</f>
        <v/>
      </c>
      <c r="B418" t="str" cm="1">
        <f t="array" ref="B418">IF($H418="","",INDEX(tblFacturasRecibidas[Concepto],$H418))</f>
        <v/>
      </c>
      <c r="C418" t="str" cm="1">
        <f t="array" ref="C418">IF($H418="","",INDEX(tblFacturasRecibidas[Proveedor],$H418))</f>
        <v/>
      </c>
      <c r="D418" t="str" cm="1">
        <f t="array" ref="D418">IF($H418="","",INDEX(tblFacturasRecibidas[Categoría],$H418))</f>
        <v/>
      </c>
      <c r="H418" t="str" cm="1">
        <f t="array" ref="H4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GASTOS],tblCategorias[Tipo],"")="Inversión")),ROWS($H$5:H418)),"")</f>
        <v/>
      </c>
    </row>
    <row r="419" spans="1:8" x14ac:dyDescent="0.35">
      <c r="A419" s="1" t="str" cm="1">
        <f t="array" ref="A419">IF($H419="","",INDEX(tblFacturasRecibidas[Fecha factura],$H419))</f>
        <v/>
      </c>
      <c r="B419" t="str" cm="1">
        <f t="array" ref="B419">IF($H419="","",INDEX(tblFacturasRecibidas[Concepto],$H419))</f>
        <v/>
      </c>
      <c r="C419" t="str" cm="1">
        <f t="array" ref="C419">IF($H419="","",INDEX(tblFacturasRecibidas[Proveedor],$H419))</f>
        <v/>
      </c>
      <c r="D419" t="str" cm="1">
        <f t="array" ref="D419">IF($H419="","",INDEX(tblFacturasRecibidas[Categoría],$H419))</f>
        <v/>
      </c>
      <c r="H419" t="str" cm="1">
        <f t="array" ref="H4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GASTOS],tblCategorias[Tipo],"")="Inversión")),ROWS($H$5:H419)),"")</f>
        <v/>
      </c>
    </row>
    <row r="420" spans="1:8" x14ac:dyDescent="0.35">
      <c r="A420" s="1" t="str" cm="1">
        <f t="array" ref="A420">IF($H420="","",INDEX(tblFacturasRecibidas[Fecha factura],$H420))</f>
        <v/>
      </c>
      <c r="B420" t="str" cm="1">
        <f t="array" ref="B420">IF($H420="","",INDEX(tblFacturasRecibidas[Concepto],$H420))</f>
        <v/>
      </c>
      <c r="C420" t="str" cm="1">
        <f t="array" ref="C420">IF($H420="","",INDEX(tblFacturasRecibidas[Proveedor],$H420))</f>
        <v/>
      </c>
      <c r="D420" t="str" cm="1">
        <f t="array" ref="D420">IF($H420="","",INDEX(tblFacturasRecibidas[Categoría],$H420))</f>
        <v/>
      </c>
      <c r="H420" t="str" cm="1">
        <f t="array" ref="H4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GASTOS],tblCategorias[Tipo],"")="Inversión")),ROWS($H$5:H420)),"")</f>
        <v/>
      </c>
    </row>
    <row r="421" spans="1:8" x14ac:dyDescent="0.35">
      <c r="A421" s="1" t="str" cm="1">
        <f t="array" ref="A421">IF($H421="","",INDEX(tblFacturasRecibidas[Fecha factura],$H421))</f>
        <v/>
      </c>
      <c r="B421" t="str" cm="1">
        <f t="array" ref="B421">IF($H421="","",INDEX(tblFacturasRecibidas[Concepto],$H421))</f>
        <v/>
      </c>
      <c r="C421" t="str" cm="1">
        <f t="array" ref="C421">IF($H421="","",INDEX(tblFacturasRecibidas[Proveedor],$H421))</f>
        <v/>
      </c>
      <c r="D421" t="str" cm="1">
        <f t="array" ref="D421">IF($H421="","",INDEX(tblFacturasRecibidas[Categoría],$H421))</f>
        <v/>
      </c>
      <c r="H421" t="str" cm="1">
        <f t="array" ref="H4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GASTOS],tblCategorias[Tipo],"")="Inversión")),ROWS($H$5:H421)),"")</f>
        <v/>
      </c>
    </row>
    <row r="422" spans="1:8" x14ac:dyDescent="0.35">
      <c r="A422" s="1" t="str" cm="1">
        <f t="array" ref="A422">IF($H422="","",INDEX(tblFacturasRecibidas[Fecha factura],$H422))</f>
        <v/>
      </c>
      <c r="B422" t="str" cm="1">
        <f t="array" ref="B422">IF($H422="","",INDEX(tblFacturasRecibidas[Concepto],$H422))</f>
        <v/>
      </c>
      <c r="C422" t="str" cm="1">
        <f t="array" ref="C422">IF($H422="","",INDEX(tblFacturasRecibidas[Proveedor],$H422))</f>
        <v/>
      </c>
      <c r="D422" t="str" cm="1">
        <f t="array" ref="D422">IF($H422="","",INDEX(tblFacturasRecibidas[Categoría],$H422))</f>
        <v/>
      </c>
      <c r="H422" t="str" cm="1">
        <f t="array" ref="H4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GASTOS],tblCategorias[Tipo],"")="Inversión")),ROWS($H$5:H422)),"")</f>
        <v/>
      </c>
    </row>
    <row r="423" spans="1:8" x14ac:dyDescent="0.35">
      <c r="A423" s="1" t="str" cm="1">
        <f t="array" ref="A423">IF($H423="","",INDEX(tblFacturasRecibidas[Fecha factura],$H423))</f>
        <v/>
      </c>
      <c r="B423" t="str" cm="1">
        <f t="array" ref="B423">IF($H423="","",INDEX(tblFacturasRecibidas[Concepto],$H423))</f>
        <v/>
      </c>
      <c r="C423" t="str" cm="1">
        <f t="array" ref="C423">IF($H423="","",INDEX(tblFacturasRecibidas[Proveedor],$H423))</f>
        <v/>
      </c>
      <c r="D423" t="str" cm="1">
        <f t="array" ref="D423">IF($H423="","",INDEX(tblFacturasRecibidas[Categoría],$H423))</f>
        <v/>
      </c>
      <c r="H423" t="str" cm="1">
        <f t="array" ref="H4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GASTOS],tblCategorias[Tipo],"")="Inversión")),ROWS($H$5:H423)),"")</f>
        <v/>
      </c>
    </row>
    <row r="424" spans="1:8" x14ac:dyDescent="0.35">
      <c r="A424" s="1" t="str" cm="1">
        <f t="array" ref="A424">IF($H424="","",INDEX(tblFacturasRecibidas[Fecha factura],$H424))</f>
        <v/>
      </c>
      <c r="B424" t="str" cm="1">
        <f t="array" ref="B424">IF($H424="","",INDEX(tblFacturasRecibidas[Concepto],$H424))</f>
        <v/>
      </c>
      <c r="C424" t="str" cm="1">
        <f t="array" ref="C424">IF($H424="","",INDEX(tblFacturasRecibidas[Proveedor],$H424))</f>
        <v/>
      </c>
      <c r="D424" t="str" cm="1">
        <f t="array" ref="D424">IF($H424="","",INDEX(tblFacturasRecibidas[Categoría],$H424))</f>
        <v/>
      </c>
      <c r="H424" t="str" cm="1">
        <f t="array" ref="H4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GASTOS],tblCategorias[Tipo],"")="Inversión")),ROWS($H$5:H424)),"")</f>
        <v/>
      </c>
    </row>
    <row r="425" spans="1:8" x14ac:dyDescent="0.35">
      <c r="A425" s="1" t="str" cm="1">
        <f t="array" ref="A425">IF($H425="","",INDEX(tblFacturasRecibidas[Fecha factura],$H425))</f>
        <v/>
      </c>
      <c r="B425" t="str" cm="1">
        <f t="array" ref="B425">IF($H425="","",INDEX(tblFacturasRecibidas[Concepto],$H425))</f>
        <v/>
      </c>
      <c r="C425" t="str" cm="1">
        <f t="array" ref="C425">IF($H425="","",INDEX(tblFacturasRecibidas[Proveedor],$H425))</f>
        <v/>
      </c>
      <c r="D425" t="str" cm="1">
        <f t="array" ref="D425">IF($H425="","",INDEX(tblFacturasRecibidas[Categoría],$H425))</f>
        <v/>
      </c>
      <c r="H425" t="str" cm="1">
        <f t="array" ref="H4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GASTOS],tblCategorias[Tipo],"")="Inversión")),ROWS($H$5:H425)),"")</f>
        <v/>
      </c>
    </row>
    <row r="426" spans="1:8" x14ac:dyDescent="0.35">
      <c r="A426" s="1" t="str" cm="1">
        <f t="array" ref="A426">IF($H426="","",INDEX(tblFacturasRecibidas[Fecha factura],$H426))</f>
        <v/>
      </c>
      <c r="B426" t="str" cm="1">
        <f t="array" ref="B426">IF($H426="","",INDEX(tblFacturasRecibidas[Concepto],$H426))</f>
        <v/>
      </c>
      <c r="C426" t="str" cm="1">
        <f t="array" ref="C426">IF($H426="","",INDEX(tblFacturasRecibidas[Proveedor],$H426))</f>
        <v/>
      </c>
      <c r="D426" t="str" cm="1">
        <f t="array" ref="D426">IF($H426="","",INDEX(tblFacturasRecibidas[Categoría],$H426))</f>
        <v/>
      </c>
      <c r="H426" t="str" cm="1">
        <f t="array" ref="H4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GASTOS],tblCategorias[Tipo],"")="Inversión")),ROWS($H$5:H426)),"")</f>
        <v/>
      </c>
    </row>
    <row r="427" spans="1:8" x14ac:dyDescent="0.35">
      <c r="A427" s="1" t="str" cm="1">
        <f t="array" ref="A427">IF($H427="","",INDEX(tblFacturasRecibidas[Fecha factura],$H427))</f>
        <v/>
      </c>
      <c r="B427" t="str" cm="1">
        <f t="array" ref="B427">IF($H427="","",INDEX(tblFacturasRecibidas[Concepto],$H427))</f>
        <v/>
      </c>
      <c r="C427" t="str" cm="1">
        <f t="array" ref="C427">IF($H427="","",INDEX(tblFacturasRecibidas[Proveedor],$H427))</f>
        <v/>
      </c>
      <c r="D427" t="str" cm="1">
        <f t="array" ref="D427">IF($H427="","",INDEX(tblFacturasRecibidas[Categoría],$H427))</f>
        <v/>
      </c>
      <c r="H427" t="str" cm="1">
        <f t="array" ref="H4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GASTOS],tblCategorias[Tipo],"")="Inversión")),ROWS($H$5:H427)),"")</f>
        <v/>
      </c>
    </row>
    <row r="428" spans="1:8" x14ac:dyDescent="0.35">
      <c r="A428" s="1" t="str" cm="1">
        <f t="array" ref="A428">IF($H428="","",INDEX(tblFacturasRecibidas[Fecha factura],$H428))</f>
        <v/>
      </c>
      <c r="B428" t="str" cm="1">
        <f t="array" ref="B428">IF($H428="","",INDEX(tblFacturasRecibidas[Concepto],$H428))</f>
        <v/>
      </c>
      <c r="C428" t="str" cm="1">
        <f t="array" ref="C428">IF($H428="","",INDEX(tblFacturasRecibidas[Proveedor],$H428))</f>
        <v/>
      </c>
      <c r="D428" t="str" cm="1">
        <f t="array" ref="D428">IF($H428="","",INDEX(tblFacturasRecibidas[Categoría],$H428))</f>
        <v/>
      </c>
      <c r="H428" t="str" cm="1">
        <f t="array" ref="H4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GASTOS],tblCategorias[Tipo],"")="Inversión")),ROWS($H$5:H428)),"")</f>
        <v/>
      </c>
    </row>
    <row r="429" spans="1:8" x14ac:dyDescent="0.35">
      <c r="A429" s="1" t="str" cm="1">
        <f t="array" ref="A429">IF($H429="","",INDEX(tblFacturasRecibidas[Fecha factura],$H429))</f>
        <v/>
      </c>
      <c r="B429" t="str" cm="1">
        <f t="array" ref="B429">IF($H429="","",INDEX(tblFacturasRecibidas[Concepto],$H429))</f>
        <v/>
      </c>
      <c r="C429" t="str" cm="1">
        <f t="array" ref="C429">IF($H429="","",INDEX(tblFacturasRecibidas[Proveedor],$H429))</f>
        <v/>
      </c>
      <c r="D429" t="str" cm="1">
        <f t="array" ref="D429">IF($H429="","",INDEX(tblFacturasRecibidas[Categoría],$H429))</f>
        <v/>
      </c>
      <c r="H429" t="str" cm="1">
        <f t="array" ref="H4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GASTOS],tblCategorias[Tipo],"")="Inversión")),ROWS($H$5:H429)),"")</f>
        <v/>
      </c>
    </row>
    <row r="430" spans="1:8" x14ac:dyDescent="0.35">
      <c r="A430" s="1" t="str" cm="1">
        <f t="array" ref="A430">IF($H430="","",INDEX(tblFacturasRecibidas[Fecha factura],$H430))</f>
        <v/>
      </c>
      <c r="B430" t="str" cm="1">
        <f t="array" ref="B430">IF($H430="","",INDEX(tblFacturasRecibidas[Concepto],$H430))</f>
        <v/>
      </c>
      <c r="C430" t="str" cm="1">
        <f t="array" ref="C430">IF($H430="","",INDEX(tblFacturasRecibidas[Proveedor],$H430))</f>
        <v/>
      </c>
      <c r="D430" t="str" cm="1">
        <f t="array" ref="D430">IF($H430="","",INDEX(tblFacturasRecibidas[Categoría],$H430))</f>
        <v/>
      </c>
      <c r="H430" t="str" cm="1">
        <f t="array" ref="H4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GASTOS],tblCategorias[Tipo],"")="Inversión")),ROWS($H$5:H430)),"")</f>
        <v/>
      </c>
    </row>
    <row r="431" spans="1:8" x14ac:dyDescent="0.35">
      <c r="A431" s="1" t="str" cm="1">
        <f t="array" ref="A431">IF($H431="","",INDEX(tblFacturasRecibidas[Fecha factura],$H431))</f>
        <v/>
      </c>
      <c r="B431" t="str" cm="1">
        <f t="array" ref="B431">IF($H431="","",INDEX(tblFacturasRecibidas[Concepto],$H431))</f>
        <v/>
      </c>
      <c r="C431" t="str" cm="1">
        <f t="array" ref="C431">IF($H431="","",INDEX(tblFacturasRecibidas[Proveedor],$H431))</f>
        <v/>
      </c>
      <c r="D431" t="str" cm="1">
        <f t="array" ref="D431">IF($H431="","",INDEX(tblFacturasRecibidas[Categoría],$H431))</f>
        <v/>
      </c>
      <c r="H431" t="str" cm="1">
        <f t="array" ref="H4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GASTOS],tblCategorias[Tipo],"")="Inversión")),ROWS($H$5:H431)),"")</f>
        <v/>
      </c>
    </row>
    <row r="432" spans="1:8" x14ac:dyDescent="0.35">
      <c r="A432" s="1" t="str" cm="1">
        <f t="array" ref="A432">IF($H432="","",INDEX(tblFacturasRecibidas[Fecha factura],$H432))</f>
        <v/>
      </c>
      <c r="B432" t="str" cm="1">
        <f t="array" ref="B432">IF($H432="","",INDEX(tblFacturasRecibidas[Concepto],$H432))</f>
        <v/>
      </c>
      <c r="C432" t="str" cm="1">
        <f t="array" ref="C432">IF($H432="","",INDEX(tblFacturasRecibidas[Proveedor],$H432))</f>
        <v/>
      </c>
      <c r="D432" t="str" cm="1">
        <f t="array" ref="D432">IF($H432="","",INDEX(tblFacturasRecibidas[Categoría],$H432))</f>
        <v/>
      </c>
      <c r="H432" t="str" cm="1">
        <f t="array" ref="H4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GASTOS],tblCategorias[Tipo],"")="Inversión")),ROWS($H$5:H432)),"")</f>
        <v/>
      </c>
    </row>
    <row r="433" spans="1:8" x14ac:dyDescent="0.35">
      <c r="A433" s="1" t="str" cm="1">
        <f t="array" ref="A433">IF($H433="","",INDEX(tblFacturasRecibidas[Fecha factura],$H433))</f>
        <v/>
      </c>
      <c r="B433" t="str" cm="1">
        <f t="array" ref="B433">IF($H433="","",INDEX(tblFacturasRecibidas[Concepto],$H433))</f>
        <v/>
      </c>
      <c r="C433" t="str" cm="1">
        <f t="array" ref="C433">IF($H433="","",INDEX(tblFacturasRecibidas[Proveedor],$H433))</f>
        <v/>
      </c>
      <c r="D433" t="str" cm="1">
        <f t="array" ref="D433">IF($H433="","",INDEX(tblFacturasRecibidas[Categoría],$H433))</f>
        <v/>
      </c>
      <c r="H433" t="str" cm="1">
        <f t="array" ref="H4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GASTOS],tblCategorias[Tipo],"")="Inversión")),ROWS($H$5:H433)),"")</f>
        <v/>
      </c>
    </row>
    <row r="434" spans="1:8" x14ac:dyDescent="0.35">
      <c r="A434" s="1" t="str" cm="1">
        <f t="array" ref="A434">IF($H434="","",INDEX(tblFacturasRecibidas[Fecha factura],$H434))</f>
        <v/>
      </c>
      <c r="B434" t="str" cm="1">
        <f t="array" ref="B434">IF($H434="","",INDEX(tblFacturasRecibidas[Concepto],$H434))</f>
        <v/>
      </c>
      <c r="C434" t="str" cm="1">
        <f t="array" ref="C434">IF($H434="","",INDEX(tblFacturasRecibidas[Proveedor],$H434))</f>
        <v/>
      </c>
      <c r="H434" t="str" cm="1">
        <f t="array" ref="H4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GASTOS],tblCategorias[Tipo],"")="Inversión")),ROWS($H$5:H434)),"")</f>
        <v/>
      </c>
    </row>
    <row r="435" spans="1:8" x14ac:dyDescent="0.35">
      <c r="A435" s="1" t="str" cm="1">
        <f t="array" ref="A435">IF($H435="","",INDEX(tblFacturasRecibidas[Fecha factura],$H435))</f>
        <v/>
      </c>
      <c r="B435" t="str" cm="1">
        <f t="array" ref="B435">IF($H435="","",INDEX(tblFacturasRecibidas[Concepto],$H435))</f>
        <v/>
      </c>
      <c r="C435" t="str" cm="1">
        <f t="array" ref="C435">IF($H435="","",INDEX(tblFacturasRecibidas[Proveedor],$H435))</f>
        <v/>
      </c>
      <c r="H435" t="str" cm="1">
        <f t="array" ref="H4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GASTOS],tblCategorias[Tipo],"")="Inversión")),ROWS($H$5:H435)),"")</f>
        <v/>
      </c>
    </row>
    <row r="436" spans="1:8" x14ac:dyDescent="0.35">
      <c r="A436" s="1" t="str" cm="1">
        <f t="array" ref="A436">IF($H436="","",INDEX(tblFacturasRecibidas[Fecha factura],$H436))</f>
        <v/>
      </c>
      <c r="B436" t="str" cm="1">
        <f t="array" ref="B436">IF($H436="","",INDEX(tblFacturasRecibidas[Concepto],$H436))</f>
        <v/>
      </c>
      <c r="C436" t="str" cm="1">
        <f t="array" ref="C436">IF($H436="","",INDEX(tblFacturasRecibidas[Proveedor],$H436))</f>
        <v/>
      </c>
      <c r="H436" t="str" cm="1">
        <f t="array" ref="H4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GASTOS],tblCategorias[Tipo],"")="Inversión")),ROWS($H$5:H436)),"")</f>
        <v/>
      </c>
    </row>
    <row r="437" spans="1:8" x14ac:dyDescent="0.35">
      <c r="A437" s="1" t="str" cm="1">
        <f t="array" ref="A437">IF($H437="","",INDEX(tblFacturasRecibidas[Fecha factura],$H437))</f>
        <v/>
      </c>
      <c r="B437" t="str" cm="1">
        <f t="array" ref="B437">IF($H437="","",INDEX(tblFacturasRecibidas[Concepto],$H437))</f>
        <v/>
      </c>
      <c r="C437" t="str" cm="1">
        <f t="array" ref="C437">IF($H437="","",INDEX(tblFacturasRecibidas[Proveedor],$H437))</f>
        <v/>
      </c>
      <c r="H437" t="str" cm="1">
        <f t="array" ref="H4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GASTOS],tblCategorias[Tipo],"")="Inversión")),ROWS($H$5:H437)),"")</f>
        <v/>
      </c>
    </row>
    <row r="438" spans="1:8" x14ac:dyDescent="0.35">
      <c r="A438" s="1" t="str" cm="1">
        <f t="array" ref="A438">IF($H438="","",INDEX(tblFacturasRecibidas[Fecha factura],$H438))</f>
        <v/>
      </c>
      <c r="B438" t="str" cm="1">
        <f t="array" ref="B438">IF($H438="","",INDEX(tblFacturasRecibidas[Concepto],$H438))</f>
        <v/>
      </c>
      <c r="C438" t="str" cm="1">
        <f t="array" ref="C438">IF($H438="","",INDEX(tblFacturasRecibidas[Proveedor],$H438))</f>
        <v/>
      </c>
      <c r="H438" t="str" cm="1">
        <f t="array" ref="H4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GASTOS],tblCategorias[Tipo],"")="Inversión")),ROWS($H$5:H438)),"")</f>
        <v/>
      </c>
    </row>
    <row r="439" spans="1:8" x14ac:dyDescent="0.35">
      <c r="A439" s="1" t="str" cm="1">
        <f t="array" ref="A439">IF($H439="","",INDEX(tblFacturasRecibidas[Fecha factura],$H439))</f>
        <v/>
      </c>
      <c r="B439" t="str" cm="1">
        <f t="array" ref="B439">IF($H439="","",INDEX(tblFacturasRecibidas[Concepto],$H439))</f>
        <v/>
      </c>
      <c r="C439" t="str" cm="1">
        <f t="array" ref="C439">IF($H439="","",INDEX(tblFacturasRecibidas[Proveedor],$H439))</f>
        <v/>
      </c>
      <c r="H439" t="str" cm="1">
        <f t="array" ref="H4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GASTOS],tblCategorias[Tipo],"")="Inversión")),ROWS($H$5:H439)),"")</f>
        <v/>
      </c>
    </row>
    <row r="440" spans="1:8" x14ac:dyDescent="0.35">
      <c r="A440" s="1" t="str" cm="1">
        <f t="array" ref="A440">IF($H440="","",INDEX(tblFacturasRecibidas[Fecha factura],$H440))</f>
        <v/>
      </c>
      <c r="B440" t="str" cm="1">
        <f t="array" ref="B440">IF($H440="","",INDEX(tblFacturasRecibidas[Concepto],$H440))</f>
        <v/>
      </c>
      <c r="C440" t="str" cm="1">
        <f t="array" ref="C440">IF($H440="","",INDEX(tblFacturasRecibidas[Proveedor],$H440))</f>
        <v/>
      </c>
      <c r="H440" t="str" cm="1">
        <f t="array" ref="H4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GASTOS],tblCategorias[Tipo],"")="Inversión")),ROWS($H$5:H440)),"")</f>
        <v/>
      </c>
    </row>
    <row r="441" spans="1:8" x14ac:dyDescent="0.35">
      <c r="A441" s="1" t="str" cm="1">
        <f t="array" ref="A441">IF($H441="","",INDEX(tblFacturasRecibidas[Fecha factura],$H441))</f>
        <v/>
      </c>
      <c r="B441" t="str" cm="1">
        <f t="array" ref="B441">IF($H441="","",INDEX(tblFacturasRecibidas[Concepto],$H441))</f>
        <v/>
      </c>
      <c r="C441" t="str" cm="1">
        <f t="array" ref="C441">IF($H441="","",INDEX(tblFacturasRecibidas[Proveedor],$H441))</f>
        <v/>
      </c>
      <c r="H441" t="str" cm="1">
        <f t="array" ref="H4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GASTOS],tblCategorias[Tipo],"")="Inversión")),ROWS($H$5:H441)),"")</f>
        <v/>
      </c>
    </row>
    <row r="442" spans="1:8" x14ac:dyDescent="0.35">
      <c r="A442" s="1" t="str" cm="1">
        <f t="array" ref="A442">IF($H442="","",INDEX(tblFacturasRecibidas[Fecha factura],$H442))</f>
        <v/>
      </c>
      <c r="B442" t="str" cm="1">
        <f t="array" ref="B442">IF($H442="","",INDEX(tblFacturasRecibidas[Concepto],$H442))</f>
        <v/>
      </c>
      <c r="C442" t="str" cm="1">
        <f t="array" ref="C442">IF($H442="","",INDEX(tblFacturasRecibidas[Proveedor],$H442))</f>
        <v/>
      </c>
      <c r="H442" t="str" cm="1">
        <f t="array" ref="H4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GASTOS],tblCategorias[Tipo],"")="Inversión")),ROWS($H$5:H442)),"")</f>
        <v/>
      </c>
    </row>
    <row r="443" spans="1:8" x14ac:dyDescent="0.35">
      <c r="A443" s="1" t="str" cm="1">
        <f t="array" ref="A443">IF($H443="","",INDEX(tblFacturasRecibidas[Fecha factura],$H443))</f>
        <v/>
      </c>
      <c r="B443" t="str" cm="1">
        <f t="array" ref="B443">IF($H443="","",INDEX(tblFacturasRecibidas[Concepto],$H443))</f>
        <v/>
      </c>
      <c r="C443" t="str" cm="1">
        <f t="array" ref="C443">IF($H443="","",INDEX(tblFacturasRecibidas[Proveedor],$H443))</f>
        <v/>
      </c>
      <c r="H443" t="str" cm="1">
        <f t="array" ref="H4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GASTOS],tblCategorias[Tipo],"")="Inversión")),ROWS($H$5:H443)),"")</f>
        <v/>
      </c>
    </row>
    <row r="444" spans="1:8" x14ac:dyDescent="0.35">
      <c r="A444" s="1" t="str" cm="1">
        <f t="array" ref="A444">IF($H444="","",INDEX(tblFacturasRecibidas[Fecha factura],$H444))</f>
        <v/>
      </c>
      <c r="B444" t="str" cm="1">
        <f t="array" ref="B444">IF($H444="","",INDEX(tblFacturasRecibidas[Concepto],$H444))</f>
        <v/>
      </c>
      <c r="C444" t="str" cm="1">
        <f t="array" ref="C444">IF($H444="","",INDEX(tblFacturasRecibidas[Proveedor],$H444))</f>
        <v/>
      </c>
      <c r="H444" t="str" cm="1">
        <f t="array" ref="H4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GASTOS],tblCategorias[Tipo],"")="Inversión")),ROWS($H$5:H444)),"")</f>
        <v/>
      </c>
    </row>
    <row r="445" spans="1:8" x14ac:dyDescent="0.35">
      <c r="A445" s="1" t="str" cm="1">
        <f t="array" ref="A445">IF($H445="","",INDEX(tblFacturasRecibidas[Fecha factura],$H445))</f>
        <v/>
      </c>
      <c r="B445" t="str" cm="1">
        <f t="array" ref="B445">IF($H445="","",INDEX(tblFacturasRecibidas[Concepto],$H445))</f>
        <v/>
      </c>
      <c r="C445" t="str" cm="1">
        <f t="array" ref="C445">IF($H445="","",INDEX(tblFacturasRecibidas[Proveedor],$H445))</f>
        <v/>
      </c>
      <c r="H445" t="str" cm="1">
        <f t="array" ref="H4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GASTOS],tblCategorias[Tipo],"")="Inversión")),ROWS($H$5:H445)),"")</f>
        <v/>
      </c>
    </row>
    <row r="446" spans="1:8" x14ac:dyDescent="0.35">
      <c r="A446" s="1" t="str" cm="1">
        <f t="array" ref="A446">IF($H446="","",INDEX(tblFacturasRecibidas[Fecha factura],$H446))</f>
        <v/>
      </c>
      <c r="B446" t="str" cm="1">
        <f t="array" ref="B446">IF($H446="","",INDEX(tblFacturasRecibidas[Concepto],$H446))</f>
        <v/>
      </c>
      <c r="C446" t="str" cm="1">
        <f t="array" ref="C446">IF($H446="","",INDEX(tblFacturasRecibidas[Proveedor],$H446))</f>
        <v/>
      </c>
      <c r="H446" t="str" cm="1">
        <f t="array" ref="H4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GASTOS],tblCategorias[Tipo],"")="Inversión")),ROWS($H$5:H446)),"")</f>
        <v/>
      </c>
    </row>
    <row r="447" spans="1:8" x14ac:dyDescent="0.35">
      <c r="A447" s="1" t="str" cm="1">
        <f t="array" ref="A447">IF($H447="","",INDEX(tblFacturasRecibidas[Fecha factura],$H447))</f>
        <v/>
      </c>
      <c r="B447" t="str" cm="1">
        <f t="array" ref="B447">IF($H447="","",INDEX(tblFacturasRecibidas[Concepto],$H447))</f>
        <v/>
      </c>
      <c r="C447" t="str" cm="1">
        <f t="array" ref="C447">IF($H447="","",INDEX(tblFacturasRecibidas[Proveedor],$H447))</f>
        <v/>
      </c>
      <c r="H447" t="str" cm="1">
        <f t="array" ref="H4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GASTOS],tblCategorias[Tipo],"")="Inversión")),ROWS($H$5:H447)),"")</f>
        <v/>
      </c>
    </row>
    <row r="448" spans="1:8" x14ac:dyDescent="0.35">
      <c r="A448" s="1" t="str" cm="1">
        <f t="array" ref="A448">IF($H448="","",INDEX(tblFacturasRecibidas[Fecha factura],$H448))</f>
        <v/>
      </c>
      <c r="B448" t="str" cm="1">
        <f t="array" ref="B448">IF($H448="","",INDEX(tblFacturasRecibidas[Concepto],$H448))</f>
        <v/>
      </c>
      <c r="C448" t="str" cm="1">
        <f t="array" ref="C448">IF($H448="","",INDEX(tblFacturasRecibidas[Proveedor],$H448))</f>
        <v/>
      </c>
      <c r="H448" t="str" cm="1">
        <f t="array" ref="H4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GASTOS],tblCategorias[Tipo],"")="Inversión")),ROWS($H$5:H448)),"")</f>
        <v/>
      </c>
    </row>
    <row r="449" spans="1:8" x14ac:dyDescent="0.35">
      <c r="A449" s="1" t="str" cm="1">
        <f t="array" ref="A449">IF($H449="","",INDEX(tblFacturasRecibidas[Fecha factura],$H449))</f>
        <v/>
      </c>
      <c r="B449" t="str" cm="1">
        <f t="array" ref="B449">IF($H449="","",INDEX(tblFacturasRecibidas[Concepto],$H449))</f>
        <v/>
      </c>
      <c r="C449" t="str" cm="1">
        <f t="array" ref="C449">IF($H449="","",INDEX(tblFacturasRecibidas[Proveedor],$H449))</f>
        <v/>
      </c>
      <c r="H449" t="str" cm="1">
        <f t="array" ref="H4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GASTOS],tblCategorias[Tipo],"")="Inversión")),ROWS($H$5:H449)),"")</f>
        <v/>
      </c>
    </row>
    <row r="450" spans="1:8" x14ac:dyDescent="0.35">
      <c r="A450" s="1" t="str" cm="1">
        <f t="array" ref="A450">IF($H450="","",INDEX(tblFacturasRecibidas[Fecha factura],$H450))</f>
        <v/>
      </c>
      <c r="B450" t="str" cm="1">
        <f t="array" ref="B450">IF($H450="","",INDEX(tblFacturasRecibidas[Concepto],$H450))</f>
        <v/>
      </c>
      <c r="C450" t="str" cm="1">
        <f t="array" ref="C450">IF($H450="","",INDEX(tblFacturasRecibidas[Proveedor],$H450))</f>
        <v/>
      </c>
      <c r="H450" t="str" cm="1">
        <f t="array" ref="H4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GASTOS],tblCategorias[Tipo],"")="Inversión")),ROWS($H$5:H450)),"")</f>
        <v/>
      </c>
    </row>
    <row r="451" spans="1:8" x14ac:dyDescent="0.35">
      <c r="A451" s="1" t="str" cm="1">
        <f t="array" ref="A451">IF($H451="","",INDEX(tblFacturasRecibidas[Fecha factura],$H451))</f>
        <v/>
      </c>
      <c r="B451" t="str" cm="1">
        <f t="array" ref="B451">IF($H451="","",INDEX(tblFacturasRecibidas[Concepto],$H451))</f>
        <v/>
      </c>
      <c r="C451" t="str" cm="1">
        <f t="array" ref="C451">IF($H451="","",INDEX(tblFacturasRecibidas[Proveedor],$H451))</f>
        <v/>
      </c>
      <c r="H451" t="str" cm="1">
        <f t="array" ref="H4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GASTOS],tblCategorias[Tipo],"")="Inversión")),ROWS($H$5:H451)),"")</f>
        <v/>
      </c>
    </row>
    <row r="452" spans="1:8" x14ac:dyDescent="0.35">
      <c r="A452" s="1" t="str" cm="1">
        <f t="array" ref="A452">IF($H452="","",INDEX(tblFacturasRecibidas[Fecha factura],$H452))</f>
        <v/>
      </c>
      <c r="B452" t="str" cm="1">
        <f t="array" ref="B452">IF($H452="","",INDEX(tblFacturasRecibidas[Concepto],$H452))</f>
        <v/>
      </c>
      <c r="C452" t="str" cm="1">
        <f t="array" ref="C452">IF($H452="","",INDEX(tblFacturasRecibidas[Proveedor],$H452))</f>
        <v/>
      </c>
      <c r="H452" t="str" cm="1">
        <f t="array" ref="H4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GASTOS],tblCategorias[Tipo],"")="Inversión")),ROWS($H$5:H452)),"")</f>
        <v/>
      </c>
    </row>
    <row r="453" spans="1:8" x14ac:dyDescent="0.35">
      <c r="A453" s="1" t="str" cm="1">
        <f t="array" ref="A453">IF($H453="","",INDEX(tblFacturasRecibidas[Fecha factura],$H453))</f>
        <v/>
      </c>
      <c r="B453" t="str" cm="1">
        <f t="array" ref="B453">IF($H453="","",INDEX(tblFacturasRecibidas[Concepto],$H453))</f>
        <v/>
      </c>
      <c r="C453" t="str" cm="1">
        <f t="array" ref="C453">IF($H453="","",INDEX(tblFacturasRecibidas[Proveedor],$H453))</f>
        <v/>
      </c>
      <c r="H453" t="str" cm="1">
        <f t="array" ref="H4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GASTOS],tblCategorias[Tipo],"")="Inversión")),ROWS($H$5:H453)),"")</f>
        <v/>
      </c>
    </row>
    <row r="454" spans="1:8" x14ac:dyDescent="0.35">
      <c r="A454" s="1" t="str" cm="1">
        <f t="array" ref="A454">IF($H454="","",INDEX(tblFacturasRecibidas[Fecha factura],$H454))</f>
        <v/>
      </c>
      <c r="B454" t="str" cm="1">
        <f t="array" ref="B454">IF($H454="","",INDEX(tblFacturasRecibidas[Concepto],$H454))</f>
        <v/>
      </c>
      <c r="C454" t="str" cm="1">
        <f t="array" ref="C454">IF($H454="","",INDEX(tblFacturasRecibidas[Proveedor],$H454))</f>
        <v/>
      </c>
      <c r="H454" t="str" cm="1">
        <f t="array" ref="H4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GASTOS],tblCategorias[Tipo],"")="Inversión")),ROWS($H$5:H454)),"")</f>
        <v/>
      </c>
    </row>
    <row r="455" spans="1:8" x14ac:dyDescent="0.35">
      <c r="A455" s="1" t="str" cm="1">
        <f t="array" ref="A455">IF($H455="","",INDEX(tblFacturasRecibidas[Fecha factura],$H455))</f>
        <v/>
      </c>
      <c r="B455" t="str" cm="1">
        <f t="array" ref="B455">IF($H455="","",INDEX(tblFacturasRecibidas[Concepto],$H455))</f>
        <v/>
      </c>
      <c r="C455" t="str" cm="1">
        <f t="array" ref="C455">IF($H455="","",INDEX(tblFacturasRecibidas[Proveedor],$H455))</f>
        <v/>
      </c>
      <c r="H455" t="str" cm="1">
        <f t="array" ref="H4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GASTOS],tblCategorias[Tipo],"")="Inversión")),ROWS($H$5:H455)),"")</f>
        <v/>
      </c>
    </row>
    <row r="456" spans="1:8" x14ac:dyDescent="0.35">
      <c r="A456" s="1" t="str" cm="1">
        <f t="array" ref="A456">IF($H456="","",INDEX(tblFacturasRecibidas[Fecha factura],$H456))</f>
        <v/>
      </c>
      <c r="B456" t="str" cm="1">
        <f t="array" ref="B456">IF($H456="","",INDEX(tblFacturasRecibidas[Concepto],$H456))</f>
        <v/>
      </c>
      <c r="C456" t="str" cm="1">
        <f t="array" ref="C456">IF($H456="","",INDEX(tblFacturasRecibidas[Proveedor],$H456))</f>
        <v/>
      </c>
      <c r="H456" t="str" cm="1">
        <f t="array" ref="H4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GASTOS],tblCategorias[Tipo],"")="Inversión")),ROWS($H$5:H456)),"")</f>
        <v/>
      </c>
    </row>
    <row r="457" spans="1:8" x14ac:dyDescent="0.35">
      <c r="A457" s="1" t="str" cm="1">
        <f t="array" ref="A457">IF($H457="","",INDEX(tblFacturasRecibidas[Fecha factura],$H457))</f>
        <v/>
      </c>
      <c r="B457" t="str" cm="1">
        <f t="array" ref="B457">IF($H457="","",INDEX(tblFacturasRecibidas[Concepto],$H457))</f>
        <v/>
      </c>
      <c r="C457" t="str" cm="1">
        <f t="array" ref="C457">IF($H457="","",INDEX(tblFacturasRecibidas[Proveedor],$H457))</f>
        <v/>
      </c>
      <c r="H457" t="str" cm="1">
        <f t="array" ref="H4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GASTOS],tblCategorias[Tipo],"")="Inversión")),ROWS($H$5:H457)),"")</f>
        <v/>
      </c>
    </row>
    <row r="458" spans="1:8" x14ac:dyDescent="0.35">
      <c r="A458" s="1" t="str" cm="1">
        <f t="array" ref="A458">IF($H458="","",INDEX(tblFacturasRecibidas[Fecha factura],$H458))</f>
        <v/>
      </c>
      <c r="B458" t="str" cm="1">
        <f t="array" ref="B458">IF($H458="","",INDEX(tblFacturasRecibidas[Concepto],$H458))</f>
        <v/>
      </c>
      <c r="C458" t="str" cm="1">
        <f t="array" ref="C458">IF($H458="","",INDEX(tblFacturasRecibidas[Proveedor],$H458))</f>
        <v/>
      </c>
      <c r="H458" t="str" cm="1">
        <f t="array" ref="H4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GASTOS],tblCategorias[Tipo],"")="Inversión")),ROWS($H$5:H458)),"")</f>
        <v/>
      </c>
    </row>
    <row r="459" spans="1:8" x14ac:dyDescent="0.35">
      <c r="A459" s="1" t="str" cm="1">
        <f t="array" ref="A459">IF($H459="","",INDEX(tblFacturasRecibidas[Fecha factura],$H459))</f>
        <v/>
      </c>
      <c r="B459" t="str" cm="1">
        <f t="array" ref="B459">IF($H459="","",INDEX(tblFacturasRecibidas[Concepto],$H459))</f>
        <v/>
      </c>
      <c r="C459" t="str" cm="1">
        <f t="array" ref="C459">IF($H459="","",INDEX(tblFacturasRecibidas[Proveedor],$H459))</f>
        <v/>
      </c>
      <c r="H459" t="str" cm="1">
        <f t="array" ref="H4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GASTOS],tblCategorias[Tipo],"")="Inversión")),ROWS($H$5:H459)),"")</f>
        <v/>
      </c>
    </row>
    <row r="460" spans="1:8" x14ac:dyDescent="0.35">
      <c r="A460" s="1" t="str" cm="1">
        <f t="array" ref="A460">IF($H460="","",INDEX(tblFacturasRecibidas[Fecha factura],$H460))</f>
        <v/>
      </c>
      <c r="B460" t="str" cm="1">
        <f t="array" ref="B460">IF($H460="","",INDEX(tblFacturasRecibidas[Concepto],$H460))</f>
        <v/>
      </c>
      <c r="C460" t="str" cm="1">
        <f t="array" ref="C460">IF($H460="","",INDEX(tblFacturasRecibidas[Proveedor],$H460))</f>
        <v/>
      </c>
      <c r="H460" t="str" cm="1">
        <f t="array" ref="H4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GASTOS],tblCategorias[Tipo],"")="Inversión")),ROWS($H$5:H460)),"")</f>
        <v/>
      </c>
    </row>
    <row r="461" spans="1:8" x14ac:dyDescent="0.35">
      <c r="A461" s="1" t="str" cm="1">
        <f t="array" ref="A461">IF($H461="","",INDEX(tblFacturasRecibidas[Fecha factura],$H461))</f>
        <v/>
      </c>
      <c r="B461" t="str" cm="1">
        <f t="array" ref="B461">IF($H461="","",INDEX(tblFacturasRecibidas[Concepto],$H461))</f>
        <v/>
      </c>
      <c r="C461" t="str" cm="1">
        <f t="array" ref="C461">IF($H461="","",INDEX(tblFacturasRecibidas[Proveedor],$H461))</f>
        <v/>
      </c>
      <c r="H461" t="str" cm="1">
        <f t="array" ref="H4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GASTOS],tblCategorias[Tipo],"")="Inversión")),ROWS($H$5:H461)),"")</f>
        <v/>
      </c>
    </row>
    <row r="462" spans="1:8" x14ac:dyDescent="0.35">
      <c r="A462" s="1" t="str" cm="1">
        <f t="array" ref="A462">IF($H462="","",INDEX(tblFacturasRecibidas[Fecha factura],$H462))</f>
        <v/>
      </c>
      <c r="B462" t="str" cm="1">
        <f t="array" ref="B462">IF($H462="","",INDEX(tblFacturasRecibidas[Concepto],$H462))</f>
        <v/>
      </c>
      <c r="C462" t="str" cm="1">
        <f t="array" ref="C462">IF($H462="","",INDEX(tblFacturasRecibidas[Proveedor],$H462))</f>
        <v/>
      </c>
      <c r="H462" t="str" cm="1">
        <f t="array" ref="H4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GASTOS],tblCategorias[Tipo],"")="Inversión")),ROWS($H$5:H462)),"")</f>
        <v/>
      </c>
    </row>
    <row r="463" spans="1:8" x14ac:dyDescent="0.35">
      <c r="A463" s="1" t="str" cm="1">
        <f t="array" ref="A463">IF($H463="","",INDEX(tblFacturasRecibidas[Fecha factura],$H463))</f>
        <v/>
      </c>
      <c r="B463" t="str" cm="1">
        <f t="array" ref="B463">IF($H463="","",INDEX(tblFacturasRecibidas[Concepto],$H463))</f>
        <v/>
      </c>
      <c r="C463" t="str" cm="1">
        <f t="array" ref="C463">IF($H463="","",INDEX(tblFacturasRecibidas[Proveedor],$H463))</f>
        <v/>
      </c>
      <c r="H463" t="str" cm="1">
        <f t="array" ref="H4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GASTOS],tblCategorias[Tipo],"")="Inversión")),ROWS($H$5:H463)),"")</f>
        <v/>
      </c>
    </row>
    <row r="464" spans="1:8" x14ac:dyDescent="0.35">
      <c r="A464" s="1" t="str" cm="1">
        <f t="array" ref="A464">IF($H464="","",INDEX(tblFacturasRecibidas[Fecha factura],$H464))</f>
        <v/>
      </c>
      <c r="B464" t="str" cm="1">
        <f t="array" ref="B464">IF($H464="","",INDEX(tblFacturasRecibidas[Concepto],$H464))</f>
        <v/>
      </c>
      <c r="C464" t="str" cm="1">
        <f t="array" ref="C464">IF($H464="","",INDEX(tblFacturasRecibidas[Proveedor],$H464))</f>
        <v/>
      </c>
      <c r="H464" t="str" cm="1">
        <f t="array" ref="H4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GASTOS],tblCategorias[Tipo],"")="Inversión")),ROWS($H$5:H464)),"")</f>
        <v/>
      </c>
    </row>
    <row r="465" spans="1:8" x14ac:dyDescent="0.35">
      <c r="A465" s="1" t="str" cm="1">
        <f t="array" ref="A465">IF($H465="","",INDEX(tblFacturasRecibidas[Fecha factura],$H465))</f>
        <v/>
      </c>
      <c r="B465" t="str" cm="1">
        <f t="array" ref="B465">IF($H465="","",INDEX(tblFacturasRecibidas[Concepto],$H465))</f>
        <v/>
      </c>
      <c r="C465" t="str" cm="1">
        <f t="array" ref="C465">IF($H465="","",INDEX(tblFacturasRecibidas[Proveedor],$H465))</f>
        <v/>
      </c>
      <c r="H465" t="str" cm="1">
        <f t="array" ref="H4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GASTOS],tblCategorias[Tipo],"")="Inversión")),ROWS($H$5:H465)),"")</f>
        <v/>
      </c>
    </row>
    <row r="466" spans="1:8" x14ac:dyDescent="0.35">
      <c r="A466" s="1" t="str" cm="1">
        <f t="array" ref="A466">IF($H466="","",INDEX(tblFacturasRecibidas[Fecha factura],$H466))</f>
        <v/>
      </c>
      <c r="B466" t="str" cm="1">
        <f t="array" ref="B466">IF($H466="","",INDEX(tblFacturasRecibidas[Concepto],$H466))</f>
        <v/>
      </c>
      <c r="C466" t="str" cm="1">
        <f t="array" ref="C466">IF($H466="","",INDEX(tblFacturasRecibidas[Proveedor],$H466))</f>
        <v/>
      </c>
      <c r="H466" t="str" cm="1">
        <f t="array" ref="H4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GASTOS],tblCategorias[Tipo],"")="Inversión")),ROWS($H$5:H466)),"")</f>
        <v/>
      </c>
    </row>
    <row r="467" spans="1:8" x14ac:dyDescent="0.35">
      <c r="A467" s="1" t="str" cm="1">
        <f t="array" ref="A467">IF($H467="","",INDEX(tblFacturasRecibidas[Fecha factura],$H467))</f>
        <v/>
      </c>
      <c r="B467" t="str" cm="1">
        <f t="array" ref="B467">IF($H467="","",INDEX(tblFacturasRecibidas[Concepto],$H467))</f>
        <v/>
      </c>
      <c r="C467" t="str" cm="1">
        <f t="array" ref="C467">IF($H467="","",INDEX(tblFacturasRecibidas[Proveedor],$H467))</f>
        <v/>
      </c>
      <c r="H467" t="str" cm="1">
        <f t="array" ref="H4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GASTOS],tblCategorias[Tipo],"")="Inversión")),ROWS($H$5:H467)),"")</f>
        <v/>
      </c>
    </row>
    <row r="468" spans="1:8" x14ac:dyDescent="0.35">
      <c r="A468" s="1" t="str" cm="1">
        <f t="array" ref="A468">IF($H468="","",INDEX(tblFacturasRecibidas[Fecha factura],$H468))</f>
        <v/>
      </c>
      <c r="B468" t="str" cm="1">
        <f t="array" ref="B468">IF($H468="","",INDEX(tblFacturasRecibidas[Concepto],$H468))</f>
        <v/>
      </c>
      <c r="C468" t="str" cm="1">
        <f t="array" ref="C468">IF($H468="","",INDEX(tblFacturasRecibidas[Proveedor],$H468))</f>
        <v/>
      </c>
      <c r="H468" t="str" cm="1">
        <f t="array" ref="H4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GASTOS],tblCategorias[Tipo],"")="Inversión")),ROWS($H$5:H468)),"")</f>
        <v/>
      </c>
    </row>
    <row r="469" spans="1:8" x14ac:dyDescent="0.35">
      <c r="A469" s="1" t="str" cm="1">
        <f t="array" ref="A469">IF($H469="","",INDEX(tblFacturasRecibidas[Fecha factura],$H469))</f>
        <v/>
      </c>
      <c r="B469" t="str" cm="1">
        <f t="array" ref="B469">IF($H469="","",INDEX(tblFacturasRecibidas[Concepto],$H469))</f>
        <v/>
      </c>
      <c r="C469" t="str" cm="1">
        <f t="array" ref="C469">IF($H469="","",INDEX(tblFacturasRecibidas[Proveedor],$H469))</f>
        <v/>
      </c>
      <c r="H469" t="str" cm="1">
        <f t="array" ref="H4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GASTOS],tblCategorias[Tipo],"")="Inversión")),ROWS($H$5:H469)),"")</f>
        <v/>
      </c>
    </row>
    <row r="470" spans="1:8" x14ac:dyDescent="0.35">
      <c r="A470" s="1" t="str" cm="1">
        <f t="array" ref="A470">IF($H470="","",INDEX(tblFacturasRecibidas[Fecha factura],$H470))</f>
        <v/>
      </c>
      <c r="B470" t="str" cm="1">
        <f t="array" ref="B470">IF($H470="","",INDEX(tblFacturasRecibidas[Concepto],$H470))</f>
        <v/>
      </c>
      <c r="C470" t="str" cm="1">
        <f t="array" ref="C470">IF($H470="","",INDEX(tblFacturasRecibidas[Proveedor],$H470))</f>
        <v/>
      </c>
      <c r="H470" t="str" cm="1">
        <f t="array" ref="H4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GASTOS],tblCategorias[Tipo],"")="Inversión")),ROWS($H$5:H470)),"")</f>
        <v/>
      </c>
    </row>
    <row r="471" spans="1:8" x14ac:dyDescent="0.35">
      <c r="A471" s="1" t="str" cm="1">
        <f t="array" ref="A471">IF($H471="","",INDEX(tblFacturasRecibidas[Fecha factura],$H471))</f>
        <v/>
      </c>
      <c r="B471" t="str" cm="1">
        <f t="array" ref="B471">IF($H471="","",INDEX(tblFacturasRecibidas[Concepto],$H471))</f>
        <v/>
      </c>
      <c r="C471" t="str" cm="1">
        <f t="array" ref="C471">IF($H471="","",INDEX(tblFacturasRecibidas[Proveedor],$H471))</f>
        <v/>
      </c>
      <c r="H471" t="str" cm="1">
        <f t="array" ref="H4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GASTOS],tblCategorias[Tipo],"")="Inversión")),ROWS($H$5:H471)),"")</f>
        <v/>
      </c>
    </row>
    <row r="472" spans="1:8" x14ac:dyDescent="0.35">
      <c r="A472" s="1" t="str" cm="1">
        <f t="array" ref="A472">IF($H472="","",INDEX(tblFacturasRecibidas[Fecha factura],$H472))</f>
        <v/>
      </c>
      <c r="B472" t="str" cm="1">
        <f t="array" ref="B472">IF($H472="","",INDEX(tblFacturasRecibidas[Concepto],$H472))</f>
        <v/>
      </c>
      <c r="C472" t="str" cm="1">
        <f t="array" ref="C472">IF($H472="","",INDEX(tblFacturasRecibidas[Proveedor],$H472))</f>
        <v/>
      </c>
      <c r="H472" t="str" cm="1">
        <f t="array" ref="H4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GASTOS],tblCategorias[Tipo],"")="Inversión")),ROWS($H$5:H472)),"")</f>
        <v/>
      </c>
    </row>
    <row r="473" spans="1:8" x14ac:dyDescent="0.35">
      <c r="A473" s="1" t="str" cm="1">
        <f t="array" ref="A473">IF($H473="","",INDEX(tblFacturasRecibidas[Fecha factura],$H473))</f>
        <v/>
      </c>
      <c r="B473" t="str" cm="1">
        <f t="array" ref="B473">IF($H473="","",INDEX(tblFacturasRecibidas[Concepto],$H473))</f>
        <v/>
      </c>
      <c r="C473" t="str" cm="1">
        <f t="array" ref="C473">IF($H473="","",INDEX(tblFacturasRecibidas[Proveedor],$H473))</f>
        <v/>
      </c>
      <c r="H473" t="str" cm="1">
        <f t="array" ref="H4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GASTOS],tblCategorias[Tipo],"")="Inversión")),ROWS($H$5:H473)),"")</f>
        <v/>
      </c>
    </row>
    <row r="474" spans="1:8" x14ac:dyDescent="0.35">
      <c r="A474" s="1" t="str" cm="1">
        <f t="array" ref="A474">IF($H474="","",INDEX(tblFacturasRecibidas[Fecha factura],$H474))</f>
        <v/>
      </c>
      <c r="B474" t="str" cm="1">
        <f t="array" ref="B474">IF($H474="","",INDEX(tblFacturasRecibidas[Concepto],$H474))</f>
        <v/>
      </c>
      <c r="C474" t="str" cm="1">
        <f t="array" ref="C474">IF($H474="","",INDEX(tblFacturasRecibidas[Proveedor],$H474))</f>
        <v/>
      </c>
      <c r="H474" t="str" cm="1">
        <f t="array" ref="H4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GASTOS],tblCategorias[Tipo],"")="Inversión")),ROWS($H$5:H474)),"")</f>
        <v/>
      </c>
    </row>
    <row r="475" spans="1:8" x14ac:dyDescent="0.35">
      <c r="A475" s="1" t="str" cm="1">
        <f t="array" ref="A475">IF($H475="","",INDEX(tblFacturasRecibidas[Fecha factura],$H475))</f>
        <v/>
      </c>
      <c r="B475" t="str" cm="1">
        <f t="array" ref="B475">IF($H475="","",INDEX(tblFacturasRecibidas[Concepto],$H475))</f>
        <v/>
      </c>
      <c r="C475" t="str" cm="1">
        <f t="array" ref="C475">IF($H475="","",INDEX(tblFacturasRecibidas[Proveedor],$H475))</f>
        <v/>
      </c>
      <c r="H475" t="str" cm="1">
        <f t="array" ref="H4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GASTOS],tblCategorias[Tipo],"")="Inversión")),ROWS($H$5:H475)),"")</f>
        <v/>
      </c>
    </row>
    <row r="476" spans="1:8" x14ac:dyDescent="0.35">
      <c r="A476" s="1" t="str" cm="1">
        <f t="array" ref="A476">IF($H476="","",INDEX(tblFacturasRecibidas[Fecha factura],$H476))</f>
        <v/>
      </c>
      <c r="B476" t="str" cm="1">
        <f t="array" ref="B476">IF($H476="","",INDEX(tblFacturasRecibidas[Concepto],$H476))</f>
        <v/>
      </c>
      <c r="C476" t="str" cm="1">
        <f t="array" ref="C476">IF($H476="","",INDEX(tblFacturasRecibidas[Proveedor],$H476))</f>
        <v/>
      </c>
      <c r="H476" t="str" cm="1">
        <f t="array" ref="H4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GASTOS],tblCategorias[Tipo],"")="Inversión")),ROWS($H$5:H476)),"")</f>
        <v/>
      </c>
    </row>
    <row r="477" spans="1:8" x14ac:dyDescent="0.35">
      <c r="A477" s="1" t="str" cm="1">
        <f t="array" ref="A477">IF($H477="","",INDEX(tblFacturasRecibidas[Fecha factura],$H477))</f>
        <v/>
      </c>
      <c r="B477" t="str" cm="1">
        <f t="array" ref="B477">IF($H477="","",INDEX(tblFacturasRecibidas[Concepto],$H477))</f>
        <v/>
      </c>
      <c r="C477" t="str" cm="1">
        <f t="array" ref="C477">IF($H477="","",INDEX(tblFacturasRecibidas[Proveedor],$H477))</f>
        <v/>
      </c>
      <c r="H477" t="str" cm="1">
        <f t="array" ref="H4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GASTOS],tblCategorias[Tipo],"")="Inversión")),ROWS($H$5:H477)),"")</f>
        <v/>
      </c>
    </row>
    <row r="478" spans="1:8" x14ac:dyDescent="0.35">
      <c r="A478" s="1" t="str" cm="1">
        <f t="array" ref="A478">IF($H478="","",INDEX(tblFacturasRecibidas[Fecha factura],$H478))</f>
        <v/>
      </c>
      <c r="B478" t="str" cm="1">
        <f t="array" ref="B478">IF($H478="","",INDEX(tblFacturasRecibidas[Concepto],$H478))</f>
        <v/>
      </c>
      <c r="C478" t="str" cm="1">
        <f t="array" ref="C478">IF($H478="","",INDEX(tblFacturasRecibidas[Proveedor],$H478))</f>
        <v/>
      </c>
      <c r="H478" t="str" cm="1">
        <f t="array" ref="H4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GASTOS],tblCategorias[Tipo],"")="Inversión")),ROWS($H$5:H478)),"")</f>
        <v/>
      </c>
    </row>
    <row r="479" spans="1:8" x14ac:dyDescent="0.35">
      <c r="A479" s="1" t="str" cm="1">
        <f t="array" ref="A479">IF($H479="","",INDEX(tblFacturasRecibidas[Fecha factura],$H479))</f>
        <v/>
      </c>
      <c r="B479" t="str" cm="1">
        <f t="array" ref="B479">IF($H479="","",INDEX(tblFacturasRecibidas[Concepto],$H479))</f>
        <v/>
      </c>
      <c r="C479" t="str" cm="1">
        <f t="array" ref="C479">IF($H479="","",INDEX(tblFacturasRecibidas[Proveedor],$H479))</f>
        <v/>
      </c>
      <c r="H479" t="str" cm="1">
        <f t="array" ref="H4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GASTOS],tblCategorias[Tipo],"")="Inversión")),ROWS($H$5:H479)),"")</f>
        <v/>
      </c>
    </row>
    <row r="480" spans="1:8" x14ac:dyDescent="0.35">
      <c r="A480" s="1" t="str" cm="1">
        <f t="array" ref="A480">IF($H480="","",INDEX(tblFacturasRecibidas[Fecha factura],$H480))</f>
        <v/>
      </c>
      <c r="B480" t="str" cm="1">
        <f t="array" ref="B480">IF($H480="","",INDEX(tblFacturasRecibidas[Concepto],$H480))</f>
        <v/>
      </c>
      <c r="C480" t="str" cm="1">
        <f t="array" ref="C480">IF($H480="","",INDEX(tblFacturasRecibidas[Proveedor],$H480))</f>
        <v/>
      </c>
      <c r="H480" t="str" cm="1">
        <f t="array" ref="H4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GASTOS],tblCategorias[Tipo],"")="Inversión")),ROWS($H$5:H480)),"")</f>
        <v/>
      </c>
    </row>
    <row r="481" spans="1:8" x14ac:dyDescent="0.35">
      <c r="A481" s="1" t="str" cm="1">
        <f t="array" ref="A481">IF($H481="","",INDEX(tblFacturasRecibidas[Fecha factura],$H481))</f>
        <v/>
      </c>
      <c r="B481" t="str" cm="1">
        <f t="array" ref="B481">IF($H481="","",INDEX(tblFacturasRecibidas[Concepto],$H481))</f>
        <v/>
      </c>
      <c r="C481" t="str" cm="1">
        <f t="array" ref="C481">IF($H481="","",INDEX(tblFacturasRecibidas[Proveedor],$H481))</f>
        <v/>
      </c>
      <c r="H481" t="str" cm="1">
        <f t="array" ref="H4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GASTOS],tblCategorias[Tipo],"")="Inversión")),ROWS($H$5:H481)),"")</f>
        <v/>
      </c>
    </row>
    <row r="482" spans="1:8" x14ac:dyDescent="0.35">
      <c r="A482" s="1" t="str" cm="1">
        <f t="array" ref="A482">IF($H482="","",INDEX(tblFacturasRecibidas[Fecha factura],$H482))</f>
        <v/>
      </c>
      <c r="B482" t="str" cm="1">
        <f t="array" ref="B482">IF($H482="","",INDEX(tblFacturasRecibidas[Concepto],$H482))</f>
        <v/>
      </c>
      <c r="C482" t="str" cm="1">
        <f t="array" ref="C482">IF($H482="","",INDEX(tblFacturasRecibidas[Proveedor],$H482))</f>
        <v/>
      </c>
      <c r="H482" t="str" cm="1">
        <f t="array" ref="H4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GASTOS],tblCategorias[Tipo],"")="Inversión")),ROWS($H$5:H482)),"")</f>
        <v/>
      </c>
    </row>
    <row r="483" spans="1:8" x14ac:dyDescent="0.35">
      <c r="A483" s="1" t="str" cm="1">
        <f t="array" ref="A483">IF($H483="","",INDEX(tblFacturasRecibidas[Fecha factura],$H483))</f>
        <v/>
      </c>
      <c r="B483" t="str" cm="1">
        <f t="array" ref="B483">IF($H483="","",INDEX(tblFacturasRecibidas[Concepto],$H483))</f>
        <v/>
      </c>
      <c r="C483" t="str" cm="1">
        <f t="array" ref="C483">IF($H483="","",INDEX(tblFacturasRecibidas[Proveedor],$H483))</f>
        <v/>
      </c>
      <c r="H483" t="str" cm="1">
        <f t="array" ref="H4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GASTOS],tblCategorias[Tipo],"")="Inversión")),ROWS($H$5:H483)),"")</f>
        <v/>
      </c>
    </row>
    <row r="484" spans="1:8" x14ac:dyDescent="0.35">
      <c r="A484" s="1" t="str" cm="1">
        <f t="array" ref="A484">IF($H484="","",INDEX(tblFacturasRecibidas[Fecha factura],$H484))</f>
        <v/>
      </c>
      <c r="B484" t="str" cm="1">
        <f t="array" ref="B484">IF($H484="","",INDEX(tblFacturasRecibidas[Concepto],$H484))</f>
        <v/>
      </c>
      <c r="C484" t="str" cm="1">
        <f t="array" ref="C484">IF($H484="","",INDEX(tblFacturasRecibidas[Proveedor],$H484))</f>
        <v/>
      </c>
      <c r="H484" t="str" cm="1">
        <f t="array" ref="H4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GASTOS],tblCategorias[Tipo],"")="Inversión")),ROWS($H$5:H484)),"")</f>
        <v/>
      </c>
    </row>
    <row r="485" spans="1:8" x14ac:dyDescent="0.35">
      <c r="A485" s="1" t="str" cm="1">
        <f t="array" ref="A485">IF($H485="","",INDEX(tblFacturasRecibidas[Fecha factura],$H485))</f>
        <v/>
      </c>
      <c r="B485" t="str" cm="1">
        <f t="array" ref="B485">IF($H485="","",INDEX(tblFacturasRecibidas[Concepto],$H485))</f>
        <v/>
      </c>
      <c r="C485" t="str" cm="1">
        <f t="array" ref="C485">IF($H485="","",INDEX(tblFacturasRecibidas[Proveedor],$H485))</f>
        <v/>
      </c>
      <c r="H485" t="str" cm="1">
        <f t="array" ref="H4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GASTOS],tblCategorias[Tipo],"")="Inversión")),ROWS($H$5:H485)),"")</f>
        <v/>
      </c>
    </row>
    <row r="486" spans="1:8" x14ac:dyDescent="0.35">
      <c r="A486" s="1" t="str" cm="1">
        <f t="array" ref="A486">IF($H486="","",INDEX(tblFacturasRecibidas[Fecha factura],$H486))</f>
        <v/>
      </c>
      <c r="B486" t="str" cm="1">
        <f t="array" ref="B486">IF($H486="","",INDEX(tblFacturasRecibidas[Concepto],$H486))</f>
        <v/>
      </c>
      <c r="C486" t="str" cm="1">
        <f t="array" ref="C486">IF($H486="","",INDEX(tblFacturasRecibidas[Proveedor],$H486))</f>
        <v/>
      </c>
      <c r="H486" t="str" cm="1">
        <f t="array" ref="H4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GASTOS],tblCategorias[Tipo],"")="Inversión")),ROWS($H$5:H486)),"")</f>
        <v/>
      </c>
    </row>
    <row r="487" spans="1:8" x14ac:dyDescent="0.35">
      <c r="A487" s="1" t="str" cm="1">
        <f t="array" ref="A487">IF($H487="","",INDEX(tblFacturasRecibidas[Fecha factura],$H487))</f>
        <v/>
      </c>
      <c r="B487" t="str" cm="1">
        <f t="array" ref="B487">IF($H487="","",INDEX(tblFacturasRecibidas[Concepto],$H487))</f>
        <v/>
      </c>
      <c r="C487" t="str" cm="1">
        <f t="array" ref="C487">IF($H487="","",INDEX(tblFacturasRecibidas[Proveedor],$H487))</f>
        <v/>
      </c>
      <c r="H487" t="str" cm="1">
        <f t="array" ref="H4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GASTOS],tblCategorias[Tipo],"")="Inversión")),ROWS($H$5:H487)),"")</f>
        <v/>
      </c>
    </row>
    <row r="488" spans="1:8" x14ac:dyDescent="0.35">
      <c r="A488" s="1" t="str" cm="1">
        <f t="array" ref="A488">IF($H488="","",INDEX(tblFacturasRecibidas[Fecha factura],$H488))</f>
        <v/>
      </c>
      <c r="B488" t="str" cm="1">
        <f t="array" ref="B488">IF($H488="","",INDEX(tblFacturasRecibidas[Concepto],$H488))</f>
        <v/>
      </c>
      <c r="C488" t="str" cm="1">
        <f t="array" ref="C488">IF($H488="","",INDEX(tblFacturasRecibidas[Proveedor],$H488))</f>
        <v/>
      </c>
      <c r="H488" t="str" cm="1">
        <f t="array" ref="H4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GASTOS],tblCategorias[Tipo],"")="Inversión")),ROWS($H$5:H488)),"")</f>
        <v/>
      </c>
    </row>
    <row r="489" spans="1:8" x14ac:dyDescent="0.35">
      <c r="A489" s="1" t="str" cm="1">
        <f t="array" ref="A489">IF($H489="","",INDEX(tblFacturasRecibidas[Fecha factura],$H489))</f>
        <v/>
      </c>
      <c r="B489" t="str" cm="1">
        <f t="array" ref="B489">IF($H489="","",INDEX(tblFacturasRecibidas[Concepto],$H489))</f>
        <v/>
      </c>
      <c r="C489" t="str" cm="1">
        <f t="array" ref="C489">IF($H489="","",INDEX(tblFacturasRecibidas[Proveedor],$H489))</f>
        <v/>
      </c>
      <c r="H489" t="str" cm="1">
        <f t="array" ref="H4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GASTOS],tblCategorias[Tipo],"")="Inversión")),ROWS($H$5:H489)),"")</f>
        <v/>
      </c>
    </row>
    <row r="490" spans="1:8" x14ac:dyDescent="0.35">
      <c r="A490" s="1" t="str" cm="1">
        <f t="array" ref="A490">IF($H490="","",INDEX(tblFacturasRecibidas[Fecha factura],$H490))</f>
        <v/>
      </c>
      <c r="B490" t="str" cm="1">
        <f t="array" ref="B490">IF($H490="","",INDEX(tblFacturasRecibidas[Concepto],$H490))</f>
        <v/>
      </c>
      <c r="C490" t="str" cm="1">
        <f t="array" ref="C490">IF($H490="","",INDEX(tblFacturasRecibidas[Proveedor],$H490))</f>
        <v/>
      </c>
      <c r="H490" t="str" cm="1">
        <f t="array" ref="H4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GASTOS],tblCategorias[Tipo],"")="Inversión")),ROWS($H$5:H490)),"")</f>
        <v/>
      </c>
    </row>
    <row r="491" spans="1:8" x14ac:dyDescent="0.35">
      <c r="A491" s="1" t="str" cm="1">
        <f t="array" ref="A491">IF($H491="","",INDEX(tblFacturasRecibidas[Fecha factura],$H491))</f>
        <v/>
      </c>
      <c r="B491" t="str" cm="1">
        <f t="array" ref="B491">IF($H491="","",INDEX(tblFacturasRecibidas[Concepto],$H491))</f>
        <v/>
      </c>
      <c r="C491" t="str" cm="1">
        <f t="array" ref="C491">IF($H491="","",INDEX(tblFacturasRecibidas[Proveedor],$H491))</f>
        <v/>
      </c>
      <c r="H491" t="str" cm="1">
        <f t="array" ref="H4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GASTOS],tblCategorias[Tipo],"")="Inversión")),ROWS($H$5:H491)),"")</f>
        <v/>
      </c>
    </row>
    <row r="492" spans="1:8" x14ac:dyDescent="0.35">
      <c r="A492" s="1" t="str" cm="1">
        <f t="array" ref="A492">IF($H492="","",INDEX(tblFacturasRecibidas[Fecha factura],$H492))</f>
        <v/>
      </c>
      <c r="B492" t="str" cm="1">
        <f t="array" ref="B492">IF($H492="","",INDEX(tblFacturasRecibidas[Concepto],$H492))</f>
        <v/>
      </c>
      <c r="C492" t="str" cm="1">
        <f t="array" ref="C492">IF($H492="","",INDEX(tblFacturasRecibidas[Proveedor],$H492))</f>
        <v/>
      </c>
      <c r="H492" t="str" cm="1">
        <f t="array" ref="H4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GASTOS],tblCategorias[Tipo],"")="Inversión")),ROWS($H$5:H492)),"")</f>
        <v/>
      </c>
    </row>
    <row r="493" spans="1:8" x14ac:dyDescent="0.35">
      <c r="A493" s="1" t="str" cm="1">
        <f t="array" ref="A493">IF($H493="","",INDEX(tblFacturasRecibidas[Fecha factura],$H493))</f>
        <v/>
      </c>
      <c r="B493" t="str" cm="1">
        <f t="array" ref="B493">IF($H493="","",INDEX(tblFacturasRecibidas[Concepto],$H493))</f>
        <v/>
      </c>
      <c r="C493" t="str" cm="1">
        <f t="array" ref="C493">IF($H493="","",INDEX(tblFacturasRecibidas[Proveedor],$H493))</f>
        <v/>
      </c>
      <c r="H493" t="str" cm="1">
        <f t="array" ref="H4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GASTOS],tblCategorias[Tipo],"")="Inversión")),ROWS($H$5:H493)),"")</f>
        <v/>
      </c>
    </row>
    <row r="494" spans="1:8" x14ac:dyDescent="0.35">
      <c r="A494" s="1" t="str" cm="1">
        <f t="array" ref="A494">IF($H494="","",INDEX(tblFacturasRecibidas[Fecha factura],$H494))</f>
        <v/>
      </c>
      <c r="B494" t="str" cm="1">
        <f t="array" ref="B494">IF($H494="","",INDEX(tblFacturasRecibidas[Concepto],$H494))</f>
        <v/>
      </c>
      <c r="C494" t="str" cm="1">
        <f t="array" ref="C494">IF($H494="","",INDEX(tblFacturasRecibidas[Proveedor],$H494))</f>
        <v/>
      </c>
      <c r="H494" t="str" cm="1">
        <f t="array" ref="H4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GASTOS],tblCategorias[Tipo],"")="Inversión")),ROWS($H$5:H494)),"")</f>
        <v/>
      </c>
    </row>
    <row r="495" spans="1:8" x14ac:dyDescent="0.35">
      <c r="A495" s="1" t="str" cm="1">
        <f t="array" ref="A495">IF($H495="","",INDEX(tblFacturasRecibidas[Fecha factura],$H495))</f>
        <v/>
      </c>
      <c r="B495" t="str" cm="1">
        <f t="array" ref="B495">IF($H495="","",INDEX(tblFacturasRecibidas[Concepto],$H495))</f>
        <v/>
      </c>
      <c r="C495" t="str" cm="1">
        <f t="array" ref="C495">IF($H495="","",INDEX(tblFacturasRecibidas[Proveedor],$H495))</f>
        <v/>
      </c>
      <c r="H495" t="str" cm="1">
        <f t="array" ref="H4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GASTOS],tblCategorias[Tipo],"")="Inversión")),ROWS($H$5:H495)),"")</f>
        <v/>
      </c>
    </row>
    <row r="496" spans="1:8" x14ac:dyDescent="0.35">
      <c r="A496" s="1" t="str" cm="1">
        <f t="array" ref="A496">IF($H496="","",INDEX(tblFacturasRecibidas[Fecha factura],$H496))</f>
        <v/>
      </c>
      <c r="B496" t="str" cm="1">
        <f t="array" ref="B496">IF($H496="","",INDEX(tblFacturasRecibidas[Concepto],$H496))</f>
        <v/>
      </c>
      <c r="C496" t="str" cm="1">
        <f t="array" ref="C496">IF($H496="","",INDEX(tblFacturasRecibidas[Proveedor],$H496))</f>
        <v/>
      </c>
      <c r="H496" t="str" cm="1">
        <f t="array" ref="H4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GASTOS],tblCategorias[Tipo],"")="Inversión")),ROWS($H$5:H496)),"")</f>
        <v/>
      </c>
    </row>
    <row r="497" spans="1:8" x14ac:dyDescent="0.35">
      <c r="A497" s="1" t="str" cm="1">
        <f t="array" ref="A497">IF($H497="","",INDEX(tblFacturasRecibidas[Fecha factura],$H497))</f>
        <v/>
      </c>
      <c r="B497" t="str" cm="1">
        <f t="array" ref="B497">IF($H497="","",INDEX(tblFacturasRecibidas[Concepto],$H497))</f>
        <v/>
      </c>
      <c r="C497" t="str" cm="1">
        <f t="array" ref="C497">IF($H497="","",INDEX(tblFacturasRecibidas[Proveedor],$H497))</f>
        <v/>
      </c>
      <c r="H497" t="str" cm="1">
        <f t="array" ref="H4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GASTOS],tblCategorias[Tipo],"")="Inversión")),ROWS($H$5:H497)),"")</f>
        <v/>
      </c>
    </row>
    <row r="498" spans="1:8" x14ac:dyDescent="0.35">
      <c r="A498" s="1" t="str" cm="1">
        <f t="array" ref="A498">IF($H498="","",INDEX(tblFacturasRecibidas[Fecha factura],$H498))</f>
        <v/>
      </c>
      <c r="B498" t="str" cm="1">
        <f t="array" ref="B498">IF($H498="","",INDEX(tblFacturasRecibidas[Concepto],$H498))</f>
        <v/>
      </c>
      <c r="C498" t="str" cm="1">
        <f t="array" ref="C498">IF($H498="","",INDEX(tblFacturasRecibidas[Proveedor],$H498))</f>
        <v/>
      </c>
      <c r="H498" t="str" cm="1">
        <f t="array" ref="H4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GASTOS],tblCategorias[Tipo],"")="Inversión")),ROWS($H$5:H498)),"")</f>
        <v/>
      </c>
    </row>
    <row r="499" spans="1:8" x14ac:dyDescent="0.35">
      <c r="A499" s="1" t="str" cm="1">
        <f t="array" ref="A499">IF($H499="","",INDEX(tblFacturasRecibidas[Fecha factura],$H499))</f>
        <v/>
      </c>
      <c r="B499" t="str" cm="1">
        <f t="array" ref="B499">IF($H499="","",INDEX(tblFacturasRecibidas[Concepto],$H499))</f>
        <v/>
      </c>
      <c r="C499" t="str" cm="1">
        <f t="array" ref="C499">IF($H499="","",INDEX(tblFacturasRecibidas[Proveedor],$H499))</f>
        <v/>
      </c>
      <c r="H499" t="str" cm="1">
        <f t="array" ref="H4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GASTOS],tblCategorias[Tipo],"")="Inversión")),ROWS($H$5:H499)),"")</f>
        <v/>
      </c>
    </row>
    <row r="500" spans="1:8" x14ac:dyDescent="0.35">
      <c r="A500" s="1" t="str" cm="1">
        <f t="array" ref="A500">IF($H500="","",INDEX(tblFacturasRecibidas[Fecha factura],$H500))</f>
        <v/>
      </c>
      <c r="B500" t="str" cm="1">
        <f t="array" ref="B500">IF($H500="","",INDEX(tblFacturasRecibidas[Concepto],$H500))</f>
        <v/>
      </c>
      <c r="C500" t="str" cm="1">
        <f t="array" ref="C500">IF($H500="","",INDEX(tblFacturasRecibidas[Proveedor],$H500))</f>
        <v/>
      </c>
      <c r="H500" t="str" cm="1">
        <f t="array" ref="H5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GASTOS],tblCategorias[Tipo],"")="Inversión")),ROWS($H$5:H500)),"")</f>
        <v/>
      </c>
    </row>
    <row r="501" spans="1:8" x14ac:dyDescent="0.35">
      <c r="A501" s="1" t="str" cm="1">
        <f t="array" ref="A501">IF($H501="","",INDEX(tblFacturasRecibidas[Fecha factura],$H501))</f>
        <v/>
      </c>
      <c r="B501" t="str" cm="1">
        <f t="array" ref="B501">IF($H501="","",INDEX(tblFacturasRecibidas[Concepto],$H501))</f>
        <v/>
      </c>
      <c r="C501" t="str" cm="1">
        <f t="array" ref="C501">IF($H501="","",INDEX(tblFacturasRecibidas[Proveedor],$H501))</f>
        <v/>
      </c>
      <c r="H501" t="str" cm="1">
        <f t="array" ref="H5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GASTOS],tblCategorias[Tipo],"")="Inversión")),ROWS($H$5:H501)),"")</f>
        <v/>
      </c>
    </row>
    <row r="502" spans="1:8" x14ac:dyDescent="0.35">
      <c r="A502" s="1" t="str" cm="1">
        <f t="array" ref="A502">IF($H502="","",INDEX(tblFacturasRecibidas[Fecha factura],$H502))</f>
        <v/>
      </c>
      <c r="B502" t="str" cm="1">
        <f t="array" ref="B502">IF($H502="","",INDEX(tblFacturasRecibidas[Concepto],$H502))</f>
        <v/>
      </c>
      <c r="C502" t="str" cm="1">
        <f t="array" ref="C502">IF($H502="","",INDEX(tblFacturasRecibidas[Proveedor],$H502))</f>
        <v/>
      </c>
      <c r="H502" t="str" cm="1">
        <f t="array" ref="H5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GASTOS],tblCategorias[Tipo],"")="Inversión")),ROWS($H$5:H502)),"")</f>
        <v/>
      </c>
    </row>
    <row r="503" spans="1:8" x14ac:dyDescent="0.35">
      <c r="A503" s="1" t="str" cm="1">
        <f t="array" ref="A503">IF($H503="","",INDEX(tblFacturasRecibidas[Fecha factura],$H503))</f>
        <v/>
      </c>
      <c r="B503" t="str" cm="1">
        <f t="array" ref="B503">IF($H503="","",INDEX(tblFacturasRecibidas[Concepto],$H503))</f>
        <v/>
      </c>
      <c r="C503" t="str" cm="1">
        <f t="array" ref="C503">IF($H503="","",INDEX(tblFacturasRecibidas[Proveedor],$H503))</f>
        <v/>
      </c>
      <c r="H503" t="str" cm="1">
        <f t="array" ref="H5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GASTOS],tblCategorias[Tipo],"")="Inversión")),ROWS($H$5:H503)),"")</f>
        <v/>
      </c>
    </row>
    <row r="504" spans="1:8" x14ac:dyDescent="0.35">
      <c r="A504" s="1" t="str" cm="1">
        <f t="array" ref="A504">IF($H504="","",INDEX(tblFacturasRecibidas[Fecha factura],$H504))</f>
        <v/>
      </c>
      <c r="B504" t="str" cm="1">
        <f t="array" ref="B504">IF($H504="","",INDEX(tblFacturasRecibidas[Concepto],$H504))</f>
        <v/>
      </c>
      <c r="C504" t="str" cm="1">
        <f t="array" ref="C504">IF($H504="","",INDEX(tblFacturasRecibidas[Proveedor],$H504))</f>
        <v/>
      </c>
      <c r="H504" t="str" cm="1">
        <f t="array" ref="H5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GASTOS],tblCategorias[Tipo],"")="Inversión")),ROWS($H$5:H504)),"")</f>
        <v/>
      </c>
    </row>
    <row r="505" spans="1:8" x14ac:dyDescent="0.35">
      <c r="A505" s="1" t="str" cm="1">
        <f t="array" ref="A505">IF($H505="","",INDEX(tblFacturasRecibidas[Fecha factura],$H505))</f>
        <v/>
      </c>
      <c r="B505" t="str" cm="1">
        <f t="array" ref="B505">IF($H505="","",INDEX(tblFacturasRecibidas[Concepto],$H505))</f>
        <v/>
      </c>
      <c r="C505" t="str" cm="1">
        <f t="array" ref="C505">IF($H505="","",INDEX(tblFacturasRecibidas[Proveedor],$H505))</f>
        <v/>
      </c>
      <c r="H505" t="str" cm="1">
        <f t="array" ref="H5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GASTOS],tblCategorias[Tipo],"")="Inversión")),ROWS($H$5:H505)),"")</f>
        <v/>
      </c>
    </row>
    <row r="506" spans="1:8" x14ac:dyDescent="0.35">
      <c r="A506" s="1" t="str" cm="1">
        <f t="array" ref="A506">IF($H506="","",INDEX(tblFacturasRecibidas[Fecha factura],$H506))</f>
        <v/>
      </c>
      <c r="B506" t="str" cm="1">
        <f t="array" ref="B506">IF($H506="","",INDEX(tblFacturasRecibidas[Concepto],$H506))</f>
        <v/>
      </c>
      <c r="C506" t="str" cm="1">
        <f t="array" ref="C506">IF($H506="","",INDEX(tblFacturasRecibidas[Proveedor],$H506))</f>
        <v/>
      </c>
      <c r="H506" t="str" cm="1">
        <f t="array" ref="H5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GASTOS],tblCategorias[Tipo],"")="Inversión")),ROWS($H$5:H506)),"")</f>
        <v/>
      </c>
    </row>
    <row r="507" spans="1:8" x14ac:dyDescent="0.35">
      <c r="A507" s="1" t="str" cm="1">
        <f t="array" ref="A507">IF($H507="","",INDEX(tblFacturasRecibidas[Fecha factura],$H507))</f>
        <v/>
      </c>
      <c r="B507" t="str" cm="1">
        <f t="array" ref="B507">IF($H507="","",INDEX(tblFacturasRecibidas[Concepto],$H507))</f>
        <v/>
      </c>
      <c r="C507" t="str" cm="1">
        <f t="array" ref="C507">IF($H507="","",INDEX(tblFacturasRecibidas[Proveedor],$H507))</f>
        <v/>
      </c>
      <c r="H507" t="str" cm="1">
        <f t="array" ref="H5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GASTOS],tblCategorias[Tipo],"")="Inversión")),ROWS($H$5:H507)),"")</f>
        <v/>
      </c>
    </row>
    <row r="508" spans="1:8" x14ac:dyDescent="0.35">
      <c r="A508" s="1" t="str" cm="1">
        <f t="array" ref="A508">IF($H508="","",INDEX(tblFacturasRecibidas[Fecha factura],$H508))</f>
        <v/>
      </c>
      <c r="B508" t="str" cm="1">
        <f t="array" ref="B508">IF($H508="","",INDEX(tblFacturasRecibidas[Concepto],$H508))</f>
        <v/>
      </c>
      <c r="C508" t="str" cm="1">
        <f t="array" ref="C508">IF($H508="","",INDEX(tblFacturasRecibidas[Proveedor],$H508))</f>
        <v/>
      </c>
      <c r="H508" t="str" cm="1">
        <f t="array" ref="H5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GASTOS],tblCategorias[Tipo],"")="Inversión")),ROWS($H$5:H508)),"")</f>
        <v/>
      </c>
    </row>
    <row r="509" spans="1:8" x14ac:dyDescent="0.35">
      <c r="A509" s="1" t="str" cm="1">
        <f t="array" ref="A509">IF($H509="","",INDEX(tblFacturasRecibidas[Fecha factura],$H509))</f>
        <v/>
      </c>
      <c r="B509" t="str" cm="1">
        <f t="array" ref="B509">IF($H509="","",INDEX(tblFacturasRecibidas[Concepto],$H509))</f>
        <v/>
      </c>
      <c r="C509" t="str" cm="1">
        <f t="array" ref="C509">IF($H509="","",INDEX(tblFacturasRecibidas[Proveedor],$H509))</f>
        <v/>
      </c>
      <c r="H509" t="str" cm="1">
        <f t="array" ref="H5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GASTOS],tblCategorias[Tipo],"")="Inversión")),ROWS($H$5:H509)),"")</f>
        <v/>
      </c>
    </row>
    <row r="510" spans="1:8" x14ac:dyDescent="0.35">
      <c r="A510" s="1" t="str" cm="1">
        <f t="array" ref="A510">IF($H510="","",INDEX(tblFacturasRecibidas[Fecha factura],$H510))</f>
        <v/>
      </c>
      <c r="B510" t="str" cm="1">
        <f t="array" ref="B510">IF($H510="","",INDEX(tblFacturasRecibidas[Concepto],$H510))</f>
        <v/>
      </c>
      <c r="C510" t="str" cm="1">
        <f t="array" ref="C510">IF($H510="","",INDEX(tblFacturasRecibidas[Proveedor],$H510))</f>
        <v/>
      </c>
      <c r="H510" t="str" cm="1">
        <f t="array" ref="H5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GASTOS],tblCategorias[Tipo],"")="Inversión")),ROWS($H$5:H510)),"")</f>
        <v/>
      </c>
    </row>
    <row r="511" spans="1:8" x14ac:dyDescent="0.35">
      <c r="A511" s="1" t="str" cm="1">
        <f t="array" ref="A511">IF($H511="","",INDEX(tblFacturasRecibidas[Fecha factura],$H511))</f>
        <v/>
      </c>
      <c r="B511" t="str" cm="1">
        <f t="array" ref="B511">IF($H511="","",INDEX(tblFacturasRecibidas[Concepto],$H511))</f>
        <v/>
      </c>
      <c r="C511" t="str" cm="1">
        <f t="array" ref="C511">IF($H511="","",INDEX(tblFacturasRecibidas[Proveedor],$H511))</f>
        <v/>
      </c>
      <c r="H511" t="str" cm="1">
        <f t="array" ref="H5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GASTOS],tblCategorias[Tipo],"")="Inversión")),ROWS($H$5:H511)),"")</f>
        <v/>
      </c>
    </row>
    <row r="512" spans="1:8" x14ac:dyDescent="0.35">
      <c r="A512" s="1" t="str" cm="1">
        <f t="array" ref="A512">IF($H512="","",INDEX(tblFacturasRecibidas[Fecha factura],$H512))</f>
        <v/>
      </c>
      <c r="B512" t="str" cm="1">
        <f t="array" ref="B512">IF($H512="","",INDEX(tblFacturasRecibidas[Concepto],$H512))</f>
        <v/>
      </c>
      <c r="C512" t="str" cm="1">
        <f t="array" ref="C512">IF($H512="","",INDEX(tblFacturasRecibidas[Proveedor],$H512))</f>
        <v/>
      </c>
      <c r="H512" t="str" cm="1">
        <f t="array" ref="H5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GASTOS],tblCategorias[Tipo],"")="Inversión")),ROWS($H$5:H512)),"")</f>
        <v/>
      </c>
    </row>
    <row r="513" spans="1:8" x14ac:dyDescent="0.35">
      <c r="A513" s="1" t="str" cm="1">
        <f t="array" ref="A513">IF($H513="","",INDEX(tblFacturasRecibidas[Fecha factura],$H513))</f>
        <v/>
      </c>
      <c r="B513" t="str" cm="1">
        <f t="array" ref="B513">IF($H513="","",INDEX(tblFacturasRecibidas[Concepto],$H513))</f>
        <v/>
      </c>
      <c r="C513" t="str" cm="1">
        <f t="array" ref="C513">IF($H513="","",INDEX(tblFacturasRecibidas[Proveedor],$H513))</f>
        <v/>
      </c>
      <c r="H513" t="str" cm="1">
        <f t="array" ref="H5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GASTOS],tblCategorias[Tipo],"")="Inversión")),ROWS($H$5:H513)),"")</f>
        <v/>
      </c>
    </row>
    <row r="514" spans="1:8" x14ac:dyDescent="0.35">
      <c r="A514" s="1" t="str" cm="1">
        <f t="array" ref="A514">IF($H514="","",INDEX(tblFacturasRecibidas[Fecha factura],$H514))</f>
        <v/>
      </c>
      <c r="B514" t="str" cm="1">
        <f t="array" ref="B514">IF($H514="","",INDEX(tblFacturasRecibidas[Concepto],$H514))</f>
        <v/>
      </c>
      <c r="C514" t="str" cm="1">
        <f t="array" ref="C514">IF($H514="","",INDEX(tblFacturasRecibidas[Proveedor],$H514))</f>
        <v/>
      </c>
      <c r="H514" t="str" cm="1">
        <f t="array" ref="H5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GASTOS],tblCategorias[Tipo],"")="Inversión")),ROWS($H$5:H514)),"")</f>
        <v/>
      </c>
    </row>
    <row r="515" spans="1:8" x14ac:dyDescent="0.35">
      <c r="A515" s="1" t="str" cm="1">
        <f t="array" ref="A515">IF($H515="","",INDEX(tblFacturasRecibidas[Fecha factura],$H515))</f>
        <v/>
      </c>
      <c r="B515" t="str" cm="1">
        <f t="array" ref="B515">IF($H515="","",INDEX(tblFacturasRecibidas[Concepto],$H515))</f>
        <v/>
      </c>
      <c r="C515" t="str" cm="1">
        <f t="array" ref="C515">IF($H515="","",INDEX(tblFacturasRecibidas[Proveedor],$H515))</f>
        <v/>
      </c>
      <c r="H515" t="str" cm="1">
        <f t="array" ref="H5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GASTOS],tblCategorias[Tipo],"")="Inversión")),ROWS($H$5:H515)),"")</f>
        <v/>
      </c>
    </row>
    <row r="516" spans="1:8" x14ac:dyDescent="0.35">
      <c r="A516" s="1" t="str" cm="1">
        <f t="array" ref="A516">IF($H516="","",INDEX(tblFacturasRecibidas[Fecha factura],$H516))</f>
        <v/>
      </c>
      <c r="B516" t="str" cm="1">
        <f t="array" ref="B516">IF($H516="","",INDEX(tblFacturasRecibidas[Concepto],$H516))</f>
        <v/>
      </c>
      <c r="C516" t="str" cm="1">
        <f t="array" ref="C516">IF($H516="","",INDEX(tblFacturasRecibidas[Proveedor],$H516))</f>
        <v/>
      </c>
      <c r="H516" t="str" cm="1">
        <f t="array" ref="H5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GASTOS],tblCategorias[Tipo],"")="Inversión")),ROWS($H$5:H516)),"")</f>
        <v/>
      </c>
    </row>
    <row r="517" spans="1:8" x14ac:dyDescent="0.35">
      <c r="A517" s="1" t="str" cm="1">
        <f t="array" ref="A517">IF($H517="","",INDEX(tblFacturasRecibidas[Fecha factura],$H517))</f>
        <v/>
      </c>
      <c r="B517" t="str" cm="1">
        <f t="array" ref="B517">IF($H517="","",INDEX(tblFacturasRecibidas[Concepto],$H517))</f>
        <v/>
      </c>
      <c r="C517" t="str" cm="1">
        <f t="array" ref="C517">IF($H517="","",INDEX(tblFacturasRecibidas[Proveedor],$H517))</f>
        <v/>
      </c>
      <c r="H517" t="str" cm="1">
        <f t="array" ref="H5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GASTOS],tblCategorias[Tipo],"")="Inversión")),ROWS($H$5:H517)),"")</f>
        <v/>
      </c>
    </row>
    <row r="518" spans="1:8" x14ac:dyDescent="0.35">
      <c r="A518" s="1" t="str" cm="1">
        <f t="array" ref="A518">IF($H518="","",INDEX(tblFacturasRecibidas[Fecha factura],$H518))</f>
        <v/>
      </c>
      <c r="C518" t="str" cm="1">
        <f t="array" ref="C518">IF($H518="","",INDEX(tblFacturasRecibidas[Proveedor],$H518))</f>
        <v/>
      </c>
      <c r="H518" t="str" cm="1">
        <f t="array" ref="H5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GASTOS],tblCategorias[Tipo],"")="Inversión")),ROWS($H$5:H518)),"")</f>
        <v/>
      </c>
    </row>
    <row r="519" spans="1:8" x14ac:dyDescent="0.35">
      <c r="A519" s="1" t="str" cm="1">
        <f t="array" ref="A519">IF($H519="","",INDEX(tblFacturasRecibidas[Fecha factura],$H519))</f>
        <v/>
      </c>
      <c r="C519" t="str" cm="1">
        <f t="array" ref="C519">IF($H519="","",INDEX(tblFacturasRecibidas[Proveedor],$H519))</f>
        <v/>
      </c>
      <c r="H519" t="str" cm="1">
        <f t="array" ref="H5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GASTOS],tblCategorias[Tipo],"")="Inversión")),ROWS($H$5:H519)),"")</f>
        <v/>
      </c>
    </row>
    <row r="520" spans="1:8" x14ac:dyDescent="0.35">
      <c r="A520" s="1" t="str" cm="1">
        <f t="array" ref="A520">IF($H520="","",INDEX(tblFacturasRecibidas[Fecha factura],$H520))</f>
        <v/>
      </c>
      <c r="C520" t="str" cm="1">
        <f t="array" ref="C520">IF($H520="","",INDEX(tblFacturasRecibidas[Proveedor],$H520))</f>
        <v/>
      </c>
      <c r="H520" t="str" cm="1">
        <f t="array" ref="H5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GASTOS],tblCategorias[Tipo],"")="Inversión")),ROWS($H$5:H520)),"")</f>
        <v/>
      </c>
    </row>
    <row r="521" spans="1:8" x14ac:dyDescent="0.35">
      <c r="A521" s="1" t="str" cm="1">
        <f t="array" ref="A521">IF($H521="","",INDEX(tblFacturasRecibidas[Fecha factura],$H521))</f>
        <v/>
      </c>
      <c r="C521" t="str" cm="1">
        <f t="array" ref="C521">IF($H521="","",INDEX(tblFacturasRecibidas[Proveedor],$H521))</f>
        <v/>
      </c>
      <c r="H521" t="str" cm="1">
        <f t="array" ref="H5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GASTOS],tblCategorias[Tipo],"")="Inversión")),ROWS($H$5:H521)),"")</f>
        <v/>
      </c>
    </row>
    <row r="522" spans="1:8" x14ac:dyDescent="0.35">
      <c r="A522" s="1" t="str" cm="1">
        <f t="array" ref="A522">IF($H522="","",INDEX(tblFacturasRecibidas[Fecha factura],$H522))</f>
        <v/>
      </c>
      <c r="C522" t="str" cm="1">
        <f t="array" ref="C522">IF($H522="","",INDEX(tblFacturasRecibidas[Proveedor],$H522))</f>
        <v/>
      </c>
      <c r="H522" t="str" cm="1">
        <f t="array" ref="H5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GASTOS],tblCategorias[Tipo],"")="Inversión")),ROWS($H$5:H522)),"")</f>
        <v/>
      </c>
    </row>
    <row r="523" spans="1:8" x14ac:dyDescent="0.35">
      <c r="A523" s="1" t="str" cm="1">
        <f t="array" ref="A523">IF($H523="","",INDEX(tblFacturasRecibidas[Fecha factura],$H523))</f>
        <v/>
      </c>
      <c r="C523" t="str" cm="1">
        <f t="array" ref="C523">IF($H523="","",INDEX(tblFacturasRecibidas[Proveedor],$H523))</f>
        <v/>
      </c>
      <c r="H523" t="str" cm="1">
        <f t="array" ref="H5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GASTOS],tblCategorias[Tipo],"")="Inversión")),ROWS($H$5:H523)),"")</f>
        <v/>
      </c>
    </row>
    <row r="524" spans="1:8" x14ac:dyDescent="0.35">
      <c r="A524" s="1" t="str" cm="1">
        <f t="array" ref="A524">IF($H524="","",INDEX(tblFacturasRecibidas[Fecha factura],$H524))</f>
        <v/>
      </c>
      <c r="C524" t="str" cm="1">
        <f t="array" ref="C524">IF($H524="","",INDEX(tblFacturasRecibidas[Proveedor],$H524))</f>
        <v/>
      </c>
      <c r="H524" t="str" cm="1">
        <f t="array" ref="H5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GASTOS],tblCategorias[Tipo],"")="Inversión")),ROWS($H$5:H524)),"")</f>
        <v/>
      </c>
    </row>
    <row r="525" spans="1:8" x14ac:dyDescent="0.35">
      <c r="A525" s="1" t="str" cm="1">
        <f t="array" ref="A525">IF($H525="","",INDEX(tblFacturasRecibidas[Fecha factura],$H525))</f>
        <v/>
      </c>
      <c r="C525" t="str" cm="1">
        <f t="array" ref="C525">IF($H525="","",INDEX(tblFacturasRecibidas[Proveedor],$H525))</f>
        <v/>
      </c>
      <c r="H525" t="str" cm="1">
        <f t="array" ref="H5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GASTOS],tblCategorias[Tipo],"")="Inversión")),ROWS($H$5:H525)),"")</f>
        <v/>
      </c>
    </row>
    <row r="526" spans="1:8" x14ac:dyDescent="0.35">
      <c r="A526" s="1" t="str" cm="1">
        <f t="array" ref="A526">IF($H526="","",INDEX(tblFacturasRecibidas[Fecha factura],$H526))</f>
        <v/>
      </c>
      <c r="C526" t="str" cm="1">
        <f t="array" ref="C526">IF($H526="","",INDEX(tblFacturasRecibidas[Proveedor],$H526))</f>
        <v/>
      </c>
      <c r="H526" t="str" cm="1">
        <f t="array" ref="H5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GASTOS],tblCategorias[Tipo],"")="Inversión")),ROWS($H$5:H526)),"")</f>
        <v/>
      </c>
    </row>
    <row r="527" spans="1:8" x14ac:dyDescent="0.35">
      <c r="A527" s="1" t="str" cm="1">
        <f t="array" ref="A527">IF($H527="","",INDEX(tblFacturasRecibidas[Fecha factura],$H527))</f>
        <v/>
      </c>
      <c r="C527" t="str" cm="1">
        <f t="array" ref="C527">IF($H527="","",INDEX(tblFacturasRecibidas[Proveedor],$H527))</f>
        <v/>
      </c>
      <c r="H527" t="str" cm="1">
        <f t="array" ref="H5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GASTOS],tblCategorias[Tipo],"")="Inversión")),ROWS($H$5:H527)),"")</f>
        <v/>
      </c>
    </row>
    <row r="528" spans="1:8" x14ac:dyDescent="0.35">
      <c r="A528" s="1" t="str" cm="1">
        <f t="array" ref="A528">IF($H528="","",INDEX(tblFacturasRecibidas[Fecha factura],$H528))</f>
        <v/>
      </c>
      <c r="C528" t="str" cm="1">
        <f t="array" ref="C528">IF($H528="","",INDEX(tblFacturasRecibidas[Proveedor],$H528))</f>
        <v/>
      </c>
      <c r="H528" t="str" cm="1">
        <f t="array" ref="H5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GASTOS],tblCategorias[Tipo],"")="Inversión")),ROWS($H$5:H528)),"")</f>
        <v/>
      </c>
    </row>
    <row r="529" spans="1:8" x14ac:dyDescent="0.35">
      <c r="A529" s="1" t="str" cm="1">
        <f t="array" ref="A529">IF($H529="","",INDEX(tblFacturasRecibidas[Fecha factura],$H529))</f>
        <v/>
      </c>
      <c r="C529" t="str" cm="1">
        <f t="array" ref="C529">IF($H529="","",INDEX(tblFacturasRecibidas[Proveedor],$H529))</f>
        <v/>
      </c>
      <c r="H529" t="str" cm="1">
        <f t="array" ref="H5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GASTOS],tblCategorias[Tipo],"")="Inversión")),ROWS($H$5:H529)),"")</f>
        <v/>
      </c>
    </row>
    <row r="530" spans="1:8" x14ac:dyDescent="0.35">
      <c r="A530" s="1" t="str" cm="1">
        <f t="array" ref="A530">IF($H530="","",INDEX(tblFacturasRecibidas[Fecha factura],$H530))</f>
        <v/>
      </c>
      <c r="C530" t="str" cm="1">
        <f t="array" ref="C530">IF($H530="","",INDEX(tblFacturasRecibidas[Proveedor],$H530))</f>
        <v/>
      </c>
      <c r="H530" t="str" cm="1">
        <f t="array" ref="H5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GASTOS],tblCategorias[Tipo],"")="Inversión")),ROWS($H$5:H530)),"")</f>
        <v/>
      </c>
    </row>
    <row r="531" spans="1:8" x14ac:dyDescent="0.35">
      <c r="A531" s="1" t="str" cm="1">
        <f t="array" ref="A531">IF($H531="","",INDEX(tblFacturasRecibidas[Fecha factura],$H531))</f>
        <v/>
      </c>
      <c r="C531" t="str" cm="1">
        <f t="array" ref="C531">IF($H531="","",INDEX(tblFacturasRecibidas[Proveedor],$H531))</f>
        <v/>
      </c>
      <c r="H531" t="str" cm="1">
        <f t="array" ref="H5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GASTOS],tblCategorias[Tipo],"")="Inversión")),ROWS($H$5:H531)),"")</f>
        <v/>
      </c>
    </row>
    <row r="532" spans="1:8" x14ac:dyDescent="0.35">
      <c r="A532" s="1" t="str" cm="1">
        <f t="array" ref="A532">IF($H532="","",INDEX(tblFacturasRecibidas[Fecha factura],$H532))</f>
        <v/>
      </c>
      <c r="C532" t="str" cm="1">
        <f t="array" ref="C532">IF($H532="","",INDEX(tblFacturasRecibidas[Proveedor],$H532))</f>
        <v/>
      </c>
      <c r="H532" t="str" cm="1">
        <f t="array" ref="H5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GASTOS],tblCategorias[Tipo],"")="Inversión")),ROWS($H$5:H532)),"")</f>
        <v/>
      </c>
    </row>
    <row r="533" spans="1:8" x14ac:dyDescent="0.35">
      <c r="A533" s="1" t="str" cm="1">
        <f t="array" ref="A533">IF($H533="","",INDEX(tblFacturasRecibidas[Fecha factura],$H533))</f>
        <v/>
      </c>
      <c r="C533" t="str" cm="1">
        <f t="array" ref="C533">IF($H533="","",INDEX(tblFacturasRecibidas[Proveedor],$H533))</f>
        <v/>
      </c>
      <c r="H533" t="str" cm="1">
        <f t="array" ref="H5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GASTOS],tblCategorias[Tipo],"")="Inversión")),ROWS($H$5:H533)),"")</f>
        <v/>
      </c>
    </row>
    <row r="534" spans="1:8" x14ac:dyDescent="0.35">
      <c r="A534" s="1" t="str" cm="1">
        <f t="array" ref="A534">IF($H534="","",INDEX(tblFacturasRecibidas[Fecha factura],$H534))</f>
        <v/>
      </c>
      <c r="C534" t="str" cm="1">
        <f t="array" ref="C534">IF($H534="","",INDEX(tblFacturasRecibidas[Proveedor],$H534))</f>
        <v/>
      </c>
      <c r="H534" t="str" cm="1">
        <f t="array" ref="H5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GASTOS],tblCategorias[Tipo],"")="Inversión")),ROWS($H$5:H534)),"")</f>
        <v/>
      </c>
    </row>
    <row r="535" spans="1:8" x14ac:dyDescent="0.35">
      <c r="A535" s="1" t="str" cm="1">
        <f t="array" ref="A535">IF($H535="","",INDEX(tblFacturasRecibidas[Fecha factura],$H535))</f>
        <v/>
      </c>
      <c r="C535" t="str" cm="1">
        <f t="array" ref="C535">IF($H535="","",INDEX(tblFacturasRecibidas[Proveedor],$H535))</f>
        <v/>
      </c>
      <c r="H535" t="str" cm="1">
        <f t="array" ref="H5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GASTOS],tblCategorias[Tipo],"")="Inversión")),ROWS($H$5:H535)),"")</f>
        <v/>
      </c>
    </row>
    <row r="536" spans="1:8" x14ac:dyDescent="0.35">
      <c r="A536" s="1" t="str" cm="1">
        <f t="array" ref="A536">IF($H536="","",INDEX(tblFacturasRecibidas[Fecha factura],$H536))</f>
        <v/>
      </c>
      <c r="C536" t="str" cm="1">
        <f t="array" ref="C536">IF($H536="","",INDEX(tblFacturasRecibidas[Proveedor],$H536))</f>
        <v/>
      </c>
      <c r="H536" t="str" cm="1">
        <f t="array" ref="H5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GASTOS],tblCategorias[Tipo],"")="Inversión")),ROWS($H$5:H536)),"")</f>
        <v/>
      </c>
    </row>
    <row r="537" spans="1:8" x14ac:dyDescent="0.35">
      <c r="A537" s="1" t="str" cm="1">
        <f t="array" ref="A537">IF($H537="","",INDEX(tblFacturasRecibidas[Fecha factura],$H537))</f>
        <v/>
      </c>
      <c r="C537" t="str" cm="1">
        <f t="array" ref="C537">IF($H537="","",INDEX(tblFacturasRecibidas[Proveedor],$H537))</f>
        <v/>
      </c>
      <c r="H537" t="str" cm="1">
        <f t="array" ref="H5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GASTOS],tblCategorias[Tipo],"")="Inversión")),ROWS($H$5:H537)),"")</f>
        <v/>
      </c>
    </row>
    <row r="538" spans="1:8" x14ac:dyDescent="0.35">
      <c r="A538" s="1" t="str" cm="1">
        <f t="array" ref="A538">IF($H538="","",INDEX(tblFacturasRecibidas[Fecha factura],$H538))</f>
        <v/>
      </c>
      <c r="C538" t="str" cm="1">
        <f t="array" ref="C538">IF($H538="","",INDEX(tblFacturasRecibidas[Proveedor],$H538))</f>
        <v/>
      </c>
      <c r="H538" t="str" cm="1">
        <f t="array" ref="H5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GASTOS],tblCategorias[Tipo],"")="Inversión")),ROWS($H$5:H538)),"")</f>
        <v/>
      </c>
    </row>
    <row r="539" spans="1:8" x14ac:dyDescent="0.35">
      <c r="A539" s="1" t="str" cm="1">
        <f t="array" ref="A539">IF($H539="","",INDEX(tblFacturasRecibidas[Fecha factura],$H539))</f>
        <v/>
      </c>
      <c r="C539" t="str" cm="1">
        <f t="array" ref="C539">IF($H539="","",INDEX(tblFacturasRecibidas[Proveedor],$H539))</f>
        <v/>
      </c>
      <c r="H539" t="str" cm="1">
        <f t="array" ref="H5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GASTOS],tblCategorias[Tipo],"")="Inversión")),ROWS($H$5:H539)),"")</f>
        <v/>
      </c>
    </row>
    <row r="540" spans="1:8" x14ac:dyDescent="0.35">
      <c r="A540" s="1" t="str" cm="1">
        <f t="array" ref="A540">IF($H540="","",INDEX(tblFacturasRecibidas[Fecha factura],$H540))</f>
        <v/>
      </c>
      <c r="C540" t="str" cm="1">
        <f t="array" ref="C540">IF($H540="","",INDEX(tblFacturasRecibidas[Proveedor],$H540))</f>
        <v/>
      </c>
      <c r="H540" t="str" cm="1">
        <f t="array" ref="H5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GASTOS],tblCategorias[Tipo],"")="Inversión")),ROWS($H$5:H540)),"")</f>
        <v/>
      </c>
    </row>
    <row r="541" spans="1:8" x14ac:dyDescent="0.35">
      <c r="A541" s="1" t="str" cm="1">
        <f t="array" ref="A541">IF($H541="","",INDEX(tblFacturasRecibidas[Fecha factura],$H541))</f>
        <v/>
      </c>
      <c r="C541" t="str" cm="1">
        <f t="array" ref="C541">IF($H541="","",INDEX(tblFacturasRecibidas[Proveedor],$H541))</f>
        <v/>
      </c>
      <c r="H541" t="str" cm="1">
        <f t="array" ref="H5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GASTOS],tblCategorias[Tipo],"")="Inversión")),ROWS($H$5:H541)),"")</f>
        <v/>
      </c>
    </row>
    <row r="542" spans="1:8" x14ac:dyDescent="0.35">
      <c r="A542" s="1" t="str" cm="1">
        <f t="array" ref="A542">IF($H542="","",INDEX(tblFacturasRecibidas[Fecha factura],$H542))</f>
        <v/>
      </c>
      <c r="C542" t="str" cm="1">
        <f t="array" ref="C542">IF($H542="","",INDEX(tblFacturasRecibidas[Proveedor],$H542))</f>
        <v/>
      </c>
      <c r="H542" t="str" cm="1">
        <f t="array" ref="H5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GASTOS],tblCategorias[Tipo],"")="Inversión")),ROWS($H$5:H542)),"")</f>
        <v/>
      </c>
    </row>
    <row r="543" spans="1:8" x14ac:dyDescent="0.35">
      <c r="A543" s="1" t="str" cm="1">
        <f t="array" ref="A543">IF($H543="","",INDEX(tblFacturasRecibidas[Fecha factura],$H543))</f>
        <v/>
      </c>
      <c r="C543" t="str" cm="1">
        <f t="array" ref="C543">IF($H543="","",INDEX(tblFacturasRecibidas[Proveedor],$H543))</f>
        <v/>
      </c>
      <c r="H543" t="str" cm="1">
        <f t="array" ref="H5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GASTOS],tblCategorias[Tipo],"")="Inversión")),ROWS($H$5:H543)),"")</f>
        <v/>
      </c>
    </row>
    <row r="544" spans="1:8" x14ac:dyDescent="0.35">
      <c r="A544" s="1" t="str" cm="1">
        <f t="array" ref="A544">IF($H544="","",INDEX(tblFacturasRecibidas[Fecha factura],$H544))</f>
        <v/>
      </c>
      <c r="C544" t="str" cm="1">
        <f t="array" ref="C544">IF($H544="","",INDEX(tblFacturasRecibidas[Proveedor],$H544))</f>
        <v/>
      </c>
      <c r="H544" t="str" cm="1">
        <f t="array" ref="H5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GASTOS],tblCategorias[Tipo],"")="Inversión")),ROWS($H$5:H544)),"")</f>
        <v/>
      </c>
    </row>
    <row r="545" spans="1:8" x14ac:dyDescent="0.35">
      <c r="A545" s="1" t="str" cm="1">
        <f t="array" ref="A545">IF($H545="","",INDEX(tblFacturasRecibidas[Fecha factura],$H545))</f>
        <v/>
      </c>
      <c r="C545" t="str" cm="1">
        <f t="array" ref="C545">IF($H545="","",INDEX(tblFacturasRecibidas[Proveedor],$H545))</f>
        <v/>
      </c>
      <c r="H545" t="str" cm="1">
        <f t="array" ref="H5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GASTOS],tblCategorias[Tipo],"")="Inversión")),ROWS($H$5:H545)),"")</f>
        <v/>
      </c>
    </row>
    <row r="546" spans="1:8" x14ac:dyDescent="0.35">
      <c r="A546" s="1" t="str" cm="1">
        <f t="array" ref="A546">IF($H546="","",INDEX(tblFacturasRecibidas[Fecha factura],$H546))</f>
        <v/>
      </c>
      <c r="C546" t="str" cm="1">
        <f t="array" ref="C546">IF($H546="","",INDEX(tblFacturasRecibidas[Proveedor],$H546))</f>
        <v/>
      </c>
      <c r="H546" t="str" cm="1">
        <f t="array" ref="H5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GASTOS],tblCategorias[Tipo],"")="Inversión")),ROWS($H$5:H546)),"")</f>
        <v/>
      </c>
    </row>
    <row r="547" spans="1:8" x14ac:dyDescent="0.35">
      <c r="A547" s="1" t="str" cm="1">
        <f t="array" ref="A547">IF($H547="","",INDEX(tblFacturasRecibidas[Fecha factura],$H547))</f>
        <v/>
      </c>
      <c r="C547" t="str" cm="1">
        <f t="array" ref="C547">IF($H547="","",INDEX(tblFacturasRecibidas[Proveedor],$H547))</f>
        <v/>
      </c>
      <c r="H547" t="str" cm="1">
        <f t="array" ref="H5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GASTOS],tblCategorias[Tipo],"")="Inversión")),ROWS($H$5:H547)),"")</f>
        <v/>
      </c>
    </row>
    <row r="548" spans="1:8" x14ac:dyDescent="0.35">
      <c r="A548" s="1" t="str" cm="1">
        <f t="array" ref="A548">IF($H548="","",INDEX(tblFacturasRecibidas[Fecha factura],$H548))</f>
        <v/>
      </c>
      <c r="C548" t="str" cm="1">
        <f t="array" ref="C548">IF($H548="","",INDEX(tblFacturasRecibidas[Proveedor],$H548))</f>
        <v/>
      </c>
      <c r="H548" t="str" cm="1">
        <f t="array" ref="H5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GASTOS],tblCategorias[Tipo],"")="Inversión")),ROWS($H$5:H548)),"")</f>
        <v/>
      </c>
    </row>
    <row r="549" spans="1:8" x14ac:dyDescent="0.35">
      <c r="A549" s="1" t="str" cm="1">
        <f t="array" ref="A549">IF($H549="","",INDEX(tblFacturasRecibidas[Fecha factura],$H549))</f>
        <v/>
      </c>
      <c r="C549" t="str" cm="1">
        <f t="array" ref="C549">IF($H549="","",INDEX(tblFacturasRecibidas[Proveedor],$H549))</f>
        <v/>
      </c>
      <c r="H549" t="str" cm="1">
        <f t="array" ref="H5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GASTOS],tblCategorias[Tipo],"")="Inversión")),ROWS($H$5:H549)),"")</f>
        <v/>
      </c>
    </row>
    <row r="550" spans="1:8" x14ac:dyDescent="0.35">
      <c r="A550" s="1" t="str" cm="1">
        <f t="array" ref="A550">IF($H550="","",INDEX(tblFacturasRecibidas[Fecha factura],$H550))</f>
        <v/>
      </c>
      <c r="C550" t="str" cm="1">
        <f t="array" ref="C550">IF($H550="","",INDEX(tblFacturasRecibidas[Proveedor],$H550))</f>
        <v/>
      </c>
      <c r="H550" t="str" cm="1">
        <f t="array" ref="H5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GASTOS],tblCategorias[Tipo],"")="Inversión")),ROWS($H$5:H550)),"")</f>
        <v/>
      </c>
    </row>
    <row r="551" spans="1:8" x14ac:dyDescent="0.35">
      <c r="A551" s="1" t="str" cm="1">
        <f t="array" ref="A551">IF($H551="","",INDEX(tblFacturasRecibidas[Fecha factura],$H551))</f>
        <v/>
      </c>
      <c r="C551" t="str" cm="1">
        <f t="array" ref="C551">IF($H551="","",INDEX(tblFacturasRecibidas[Proveedor],$H551))</f>
        <v/>
      </c>
      <c r="H551" t="str" cm="1">
        <f t="array" ref="H5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GASTOS],tblCategorias[Tipo],"")="Inversión")),ROWS($H$5:H551)),"")</f>
        <v/>
      </c>
    </row>
    <row r="552" spans="1:8" x14ac:dyDescent="0.35">
      <c r="A552" s="1" t="str" cm="1">
        <f t="array" ref="A552">IF($H552="","",INDEX(tblFacturasRecibidas[Fecha factura],$H552))</f>
        <v/>
      </c>
      <c r="C552" t="str" cm="1">
        <f t="array" ref="C552">IF($H552="","",INDEX(tblFacturasRecibidas[Proveedor],$H552))</f>
        <v/>
      </c>
      <c r="H552" t="str" cm="1">
        <f t="array" ref="H5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GASTOS],tblCategorias[Tipo],"")="Inversión")),ROWS($H$5:H552)),"")</f>
        <v/>
      </c>
    </row>
    <row r="553" spans="1:8" x14ac:dyDescent="0.35">
      <c r="A553" s="1" t="str" cm="1">
        <f t="array" ref="A553">IF($H553="","",INDEX(tblFacturasRecibidas[Fecha factura],$H553))</f>
        <v/>
      </c>
      <c r="C553" t="str" cm="1">
        <f t="array" ref="C553">IF($H553="","",INDEX(tblFacturasRecibidas[Proveedor],$H553))</f>
        <v/>
      </c>
      <c r="H553" t="str" cm="1">
        <f t="array" ref="H5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GASTOS],tblCategorias[Tipo],"")="Inversión")),ROWS($H$5:H553)),"")</f>
        <v/>
      </c>
    </row>
    <row r="554" spans="1:8" x14ac:dyDescent="0.35">
      <c r="A554" s="1" t="str" cm="1">
        <f t="array" ref="A554">IF($H554="","",INDEX(tblFacturasRecibidas[Fecha factura],$H554))</f>
        <v/>
      </c>
      <c r="C554" t="str" cm="1">
        <f t="array" ref="C554">IF($H554="","",INDEX(tblFacturasRecibidas[Proveedor],$H554))</f>
        <v/>
      </c>
      <c r="H554" t="str" cm="1">
        <f t="array" ref="H5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GASTOS],tblCategorias[Tipo],"")="Inversión")),ROWS($H$5:H554)),"")</f>
        <v/>
      </c>
    </row>
    <row r="555" spans="1:8" x14ac:dyDescent="0.35">
      <c r="A555" s="1" t="str" cm="1">
        <f t="array" ref="A555">IF($H555="","",INDEX(tblFacturasRecibidas[Fecha factura],$H555))</f>
        <v/>
      </c>
      <c r="C555" t="str" cm="1">
        <f t="array" ref="C555">IF($H555="","",INDEX(tblFacturasRecibidas[Proveedor],$H555))</f>
        <v/>
      </c>
      <c r="H555" t="str" cm="1">
        <f t="array" ref="H5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GASTOS],tblCategorias[Tipo],"")="Inversión")),ROWS($H$5:H555)),"")</f>
        <v/>
      </c>
    </row>
    <row r="556" spans="1:8" x14ac:dyDescent="0.35">
      <c r="A556" s="1" t="str" cm="1">
        <f t="array" ref="A556">IF($H556="","",INDEX(tblFacturasRecibidas[Fecha factura],$H556))</f>
        <v/>
      </c>
      <c r="C556" t="str" cm="1">
        <f t="array" ref="C556">IF($H556="","",INDEX(tblFacturasRecibidas[Proveedor],$H556))</f>
        <v/>
      </c>
      <c r="H556" t="str" cm="1">
        <f t="array" ref="H5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GASTOS],tblCategorias[Tipo],"")="Inversión")),ROWS($H$5:H556)),"")</f>
        <v/>
      </c>
    </row>
    <row r="557" spans="1:8" x14ac:dyDescent="0.35">
      <c r="A557" s="1" t="str" cm="1">
        <f t="array" ref="A557">IF($H557="","",INDEX(tblFacturasRecibidas[Fecha factura],$H557))</f>
        <v/>
      </c>
      <c r="C557" t="str" cm="1">
        <f t="array" ref="C557">IF($H557="","",INDEX(tblFacturasRecibidas[Proveedor],$H557))</f>
        <v/>
      </c>
      <c r="H557" t="str" cm="1">
        <f t="array" ref="H5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GASTOS],tblCategorias[Tipo],"")="Inversión")),ROWS($H$5:H557)),"")</f>
        <v/>
      </c>
    </row>
    <row r="558" spans="1:8" x14ac:dyDescent="0.35">
      <c r="A558" s="1" t="str" cm="1">
        <f t="array" ref="A558">IF($H558="","",INDEX(tblFacturasRecibidas[Fecha factura],$H558))</f>
        <v/>
      </c>
      <c r="C558" t="str" cm="1">
        <f t="array" ref="C558">IF($H558="","",INDEX(tblFacturasRecibidas[Proveedor],$H558))</f>
        <v/>
      </c>
      <c r="H558" t="str" cm="1">
        <f t="array" ref="H5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GASTOS],tblCategorias[Tipo],"")="Inversión")),ROWS($H$5:H558)),"")</f>
        <v/>
      </c>
    </row>
    <row r="559" spans="1:8" x14ac:dyDescent="0.35">
      <c r="A559" s="1" t="str" cm="1">
        <f t="array" ref="A559">IF($H559="","",INDEX(tblFacturasRecibidas[Fecha factura],$H559))</f>
        <v/>
      </c>
      <c r="C559" t="str" cm="1">
        <f t="array" ref="C559">IF($H559="","",INDEX(tblFacturasRecibidas[Proveedor],$H559))</f>
        <v/>
      </c>
      <c r="H559" t="str" cm="1">
        <f t="array" ref="H5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GASTOS],tblCategorias[Tipo],"")="Inversión")),ROWS($H$5:H559)),"")</f>
        <v/>
      </c>
    </row>
    <row r="560" spans="1:8" x14ac:dyDescent="0.35">
      <c r="A560" s="1" t="str" cm="1">
        <f t="array" ref="A560">IF($H560="","",INDEX(tblFacturasRecibidas[Fecha factura],$H560))</f>
        <v/>
      </c>
      <c r="C560" t="str" cm="1">
        <f t="array" ref="C560">IF($H560="","",INDEX(tblFacturasRecibidas[Proveedor],$H560))</f>
        <v/>
      </c>
      <c r="H560" t="str" cm="1">
        <f t="array" ref="H5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GASTOS],tblCategorias[Tipo],"")="Inversión")),ROWS($H$5:H560)),"")</f>
        <v/>
      </c>
    </row>
    <row r="561" spans="1:8" x14ac:dyDescent="0.35">
      <c r="A561" s="1" t="str" cm="1">
        <f t="array" ref="A561">IF($H561="","",INDEX(tblFacturasRecibidas[Fecha factura],$H561))</f>
        <v/>
      </c>
      <c r="C561" t="str" cm="1">
        <f t="array" ref="C561">IF($H561="","",INDEX(tblFacturasRecibidas[Proveedor],$H561))</f>
        <v/>
      </c>
      <c r="H561" t="str" cm="1">
        <f t="array" ref="H5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GASTOS],tblCategorias[Tipo],"")="Inversión")),ROWS($H$5:H561)),"")</f>
        <v/>
      </c>
    </row>
    <row r="562" spans="1:8" x14ac:dyDescent="0.35">
      <c r="A562" s="1" t="str" cm="1">
        <f t="array" ref="A562">IF($H562="","",INDEX(tblFacturasRecibidas[Fecha factura],$H562))</f>
        <v/>
      </c>
      <c r="C562" t="str" cm="1">
        <f t="array" ref="C562">IF($H562="","",INDEX(tblFacturasRecibidas[Proveedor],$H562))</f>
        <v/>
      </c>
      <c r="H562" t="str" cm="1">
        <f t="array" ref="H5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GASTOS],tblCategorias[Tipo],"")="Inversión")),ROWS($H$5:H562)),"")</f>
        <v/>
      </c>
    </row>
    <row r="563" spans="1:8" x14ac:dyDescent="0.35">
      <c r="A563" s="1" t="str" cm="1">
        <f t="array" ref="A563">IF($H563="","",INDEX(tblFacturasRecibidas[Fecha factura],$H563))</f>
        <v/>
      </c>
      <c r="C563" t="str" cm="1">
        <f t="array" ref="C563">IF($H563="","",INDEX(tblFacturasRecibidas[Proveedor],$H563))</f>
        <v/>
      </c>
      <c r="H563" t="str" cm="1">
        <f t="array" ref="H5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GASTOS],tblCategorias[Tipo],"")="Inversión")),ROWS($H$5:H563)),"")</f>
        <v/>
      </c>
    </row>
    <row r="564" spans="1:8" x14ac:dyDescent="0.35">
      <c r="A564" s="1" t="str" cm="1">
        <f t="array" ref="A564">IF($H564="","",INDEX(tblFacturasRecibidas[Fecha factura],$H564))</f>
        <v/>
      </c>
      <c r="C564" t="str" cm="1">
        <f t="array" ref="C564">IF($H564="","",INDEX(tblFacturasRecibidas[Proveedor],$H564))</f>
        <v/>
      </c>
      <c r="H564" t="str" cm="1">
        <f t="array" ref="H5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GASTOS],tblCategorias[Tipo],"")="Inversión")),ROWS($H$5:H564)),"")</f>
        <v/>
      </c>
    </row>
    <row r="565" spans="1:8" x14ac:dyDescent="0.35">
      <c r="A565" s="1" t="str" cm="1">
        <f t="array" ref="A565">IF($H565="","",INDEX(tblFacturasRecibidas[Fecha factura],$H565))</f>
        <v/>
      </c>
      <c r="C565" t="str" cm="1">
        <f t="array" ref="C565">IF($H565="","",INDEX(tblFacturasRecibidas[Proveedor],$H565))</f>
        <v/>
      </c>
      <c r="H565" t="str" cm="1">
        <f t="array" ref="H5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GASTOS],tblCategorias[Tipo],"")="Inversión")),ROWS($H$5:H565)),"")</f>
        <v/>
      </c>
    </row>
    <row r="566" spans="1:8" x14ac:dyDescent="0.35">
      <c r="A566" s="1" t="str" cm="1">
        <f t="array" ref="A566">IF($H566="","",INDEX(tblFacturasRecibidas[Fecha factura],$H566))</f>
        <v/>
      </c>
      <c r="C566" t="str" cm="1">
        <f t="array" ref="C566">IF($H566="","",INDEX(tblFacturasRecibidas[Proveedor],$H566))</f>
        <v/>
      </c>
      <c r="H566" t="str" cm="1">
        <f t="array" ref="H5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GASTOS],tblCategorias[Tipo],"")="Inversión")),ROWS($H$5:H566)),"")</f>
        <v/>
      </c>
    </row>
    <row r="567" spans="1:8" x14ac:dyDescent="0.35">
      <c r="A567" s="1" t="str" cm="1">
        <f t="array" ref="A567">IF($H567="","",INDEX(tblFacturasRecibidas[Fecha factura],$H567))</f>
        <v/>
      </c>
      <c r="C567" t="str" cm="1">
        <f t="array" ref="C567">IF($H567="","",INDEX(tblFacturasRecibidas[Proveedor],$H567))</f>
        <v/>
      </c>
      <c r="H567" t="str" cm="1">
        <f t="array" ref="H5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GASTOS],tblCategorias[Tipo],"")="Inversión")),ROWS($H$5:H567)),"")</f>
        <v/>
      </c>
    </row>
    <row r="568" spans="1:8" x14ac:dyDescent="0.35">
      <c r="A568" s="1" t="str" cm="1">
        <f t="array" ref="A568">IF($H568="","",INDEX(tblFacturasRecibidas[Fecha factura],$H568))</f>
        <v/>
      </c>
      <c r="C568" t="str" cm="1">
        <f t="array" ref="C568">IF($H568="","",INDEX(tblFacturasRecibidas[Proveedor],$H568))</f>
        <v/>
      </c>
      <c r="H568" t="str" cm="1">
        <f t="array" ref="H5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GASTOS],tblCategorias[Tipo],"")="Inversión")),ROWS($H$5:H568)),"")</f>
        <v/>
      </c>
    </row>
    <row r="569" spans="1:8" x14ac:dyDescent="0.35">
      <c r="A569" s="1" t="str" cm="1">
        <f t="array" ref="A569">IF($H569="","",INDEX(tblFacturasRecibidas[Fecha factura],$H569))</f>
        <v/>
      </c>
      <c r="C569" t="str" cm="1">
        <f t="array" ref="C569">IF($H569="","",INDEX(tblFacturasRecibidas[Proveedor],$H569))</f>
        <v/>
      </c>
      <c r="H569" t="str" cm="1">
        <f t="array" ref="H5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GASTOS],tblCategorias[Tipo],"")="Inversión")),ROWS($H$5:H569)),"")</f>
        <v/>
      </c>
    </row>
    <row r="570" spans="1:8" x14ac:dyDescent="0.35">
      <c r="A570" s="1" t="str" cm="1">
        <f t="array" ref="A570">IF($H570="","",INDEX(tblFacturasRecibidas[Fecha factura],$H570))</f>
        <v/>
      </c>
      <c r="C570" t="str" cm="1">
        <f t="array" ref="C570">IF($H570="","",INDEX(tblFacturasRecibidas[Proveedor],$H570))</f>
        <v/>
      </c>
      <c r="H570" t="str" cm="1">
        <f t="array" ref="H5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GASTOS],tblCategorias[Tipo],"")="Inversión")),ROWS($H$5:H570)),"")</f>
        <v/>
      </c>
    </row>
    <row r="571" spans="1:8" x14ac:dyDescent="0.35">
      <c r="A571" s="1" t="str" cm="1">
        <f t="array" ref="A571">IF($H571="","",INDEX(tblFacturasRecibidas[Fecha factura],$H571))</f>
        <v/>
      </c>
      <c r="C571" t="str" cm="1">
        <f t="array" ref="C571">IF($H571="","",INDEX(tblFacturasRecibidas[Proveedor],$H571))</f>
        <v/>
      </c>
      <c r="H571" t="str" cm="1">
        <f t="array" ref="H5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GASTOS],tblCategorias[Tipo],"")="Inversión")),ROWS($H$5:H571)),"")</f>
        <v/>
      </c>
    </row>
    <row r="572" spans="1:8" x14ac:dyDescent="0.35">
      <c r="A572" s="1" t="str" cm="1">
        <f t="array" ref="A572">IF($H572="","",INDEX(tblFacturasRecibidas[Fecha factura],$H572))</f>
        <v/>
      </c>
      <c r="C572" t="str" cm="1">
        <f t="array" ref="C572">IF($H572="","",INDEX(tblFacturasRecibidas[Proveedor],$H572))</f>
        <v/>
      </c>
      <c r="H572" t="str" cm="1">
        <f t="array" ref="H5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GASTOS],tblCategorias[Tipo],"")="Inversión")),ROWS($H$5:H572)),"")</f>
        <v/>
      </c>
    </row>
    <row r="573" spans="1:8" x14ac:dyDescent="0.35">
      <c r="A573" s="1" t="str" cm="1">
        <f t="array" ref="A573">IF($H573="","",INDEX(tblFacturasRecibidas[Fecha factura],$H573))</f>
        <v/>
      </c>
      <c r="C573" t="str" cm="1">
        <f t="array" ref="C573">IF($H573="","",INDEX(tblFacturasRecibidas[Proveedor],$H573))</f>
        <v/>
      </c>
      <c r="H573" t="str" cm="1">
        <f t="array" ref="H5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GASTOS],tblCategorias[Tipo],"")="Inversión")),ROWS($H$5:H573)),"")</f>
        <v/>
      </c>
    </row>
    <row r="574" spans="1:8" x14ac:dyDescent="0.35">
      <c r="A574" s="1" t="str" cm="1">
        <f t="array" ref="A574">IF($H574="","",INDEX(tblFacturasRecibidas[Fecha factura],$H574))</f>
        <v/>
      </c>
      <c r="C574" t="str" cm="1">
        <f t="array" ref="C574">IF($H574="","",INDEX(tblFacturasRecibidas[Proveedor],$H574))</f>
        <v/>
      </c>
      <c r="H574" t="str" cm="1">
        <f t="array" ref="H5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GASTOS],tblCategorias[Tipo],"")="Inversión")),ROWS($H$5:H574)),"")</f>
        <v/>
      </c>
    </row>
    <row r="575" spans="1:8" x14ac:dyDescent="0.35">
      <c r="A575" s="1" t="str" cm="1">
        <f t="array" ref="A575">IF($H575="","",INDEX(tblFacturasRecibidas[Fecha factura],$H575))</f>
        <v/>
      </c>
      <c r="C575" t="str" cm="1">
        <f t="array" ref="C575">IF($H575="","",INDEX(tblFacturasRecibidas[Proveedor],$H575))</f>
        <v/>
      </c>
      <c r="H575" t="str" cm="1">
        <f t="array" ref="H5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GASTOS],tblCategorias[Tipo],"")="Inversión")),ROWS($H$5:H575)),"")</f>
        <v/>
      </c>
    </row>
    <row r="576" spans="1:8" x14ac:dyDescent="0.35">
      <c r="A576" s="1" t="str" cm="1">
        <f t="array" ref="A576">IF($H576="","",INDEX(tblFacturasRecibidas[Fecha factura],$H576))</f>
        <v/>
      </c>
      <c r="C576" t="str" cm="1">
        <f t="array" ref="C576">IF($H576="","",INDEX(tblFacturasRecibidas[Proveedor],$H576))</f>
        <v/>
      </c>
      <c r="H576" t="str" cm="1">
        <f t="array" ref="H5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GASTOS],tblCategorias[Tipo],"")="Inversión")),ROWS($H$5:H576)),"")</f>
        <v/>
      </c>
    </row>
    <row r="577" spans="1:8" x14ac:dyDescent="0.35">
      <c r="A577" s="1" t="str" cm="1">
        <f t="array" ref="A577">IF($H577="","",INDEX(tblFacturasRecibidas[Fecha factura],$H577))</f>
        <v/>
      </c>
      <c r="C577" t="str" cm="1">
        <f t="array" ref="C577">IF($H577="","",INDEX(tblFacturasRecibidas[Proveedor],$H577))</f>
        <v/>
      </c>
      <c r="H577" t="str" cm="1">
        <f t="array" ref="H5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GASTOS],tblCategorias[Tipo],"")="Inversión")),ROWS($H$5:H577)),"")</f>
        <v/>
      </c>
    </row>
    <row r="578" spans="1:8" x14ac:dyDescent="0.35">
      <c r="A578" s="1" t="str" cm="1">
        <f t="array" ref="A578">IF($H578="","",INDEX(tblFacturasRecibidas[Fecha factura],$H578))</f>
        <v/>
      </c>
      <c r="C578" t="str" cm="1">
        <f t="array" ref="C578">IF($H578="","",INDEX(tblFacturasRecibidas[Proveedor],$H578))</f>
        <v/>
      </c>
      <c r="H578" t="str" cm="1">
        <f t="array" ref="H5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GASTOS],tblCategorias[Tipo],"")="Inversión")),ROWS($H$5:H578)),"")</f>
        <v/>
      </c>
    </row>
    <row r="579" spans="1:8" x14ac:dyDescent="0.35">
      <c r="A579" s="1" t="str" cm="1">
        <f t="array" ref="A579">IF($H579="","",INDEX(tblFacturasRecibidas[Fecha factura],$H579))</f>
        <v/>
      </c>
      <c r="C579" t="str" cm="1">
        <f t="array" ref="C579">IF($H579="","",INDEX(tblFacturasRecibidas[Proveedor],$H579))</f>
        <v/>
      </c>
      <c r="H579" t="str" cm="1">
        <f t="array" ref="H5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GASTOS],tblCategorias[Tipo],"")="Inversión")),ROWS($H$5:H579)),"")</f>
        <v/>
      </c>
    </row>
    <row r="580" spans="1:8" x14ac:dyDescent="0.35">
      <c r="A580" s="1" t="str" cm="1">
        <f t="array" ref="A580">IF($H580="","",INDEX(tblFacturasRecibidas[Fecha factura],$H580))</f>
        <v/>
      </c>
      <c r="C580" t="str" cm="1">
        <f t="array" ref="C580">IF($H580="","",INDEX(tblFacturasRecibidas[Proveedor],$H580))</f>
        <v/>
      </c>
      <c r="H580" t="str" cm="1">
        <f t="array" ref="H5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GASTOS],tblCategorias[Tipo],"")="Inversión")),ROWS($H$5:H580)),"")</f>
        <v/>
      </c>
    </row>
    <row r="581" spans="1:8" x14ac:dyDescent="0.35">
      <c r="A581" s="1" t="str" cm="1">
        <f t="array" ref="A581">IF($H581="","",INDEX(tblFacturasRecibidas[Fecha factura],$H581))</f>
        <v/>
      </c>
      <c r="C581" t="str" cm="1">
        <f t="array" ref="C581">IF($H581="","",INDEX(tblFacturasRecibidas[Proveedor],$H581))</f>
        <v/>
      </c>
      <c r="H581" t="str" cm="1">
        <f t="array" ref="H5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GASTOS],tblCategorias[Tipo],"")="Inversión")),ROWS($H$5:H581)),"")</f>
        <v/>
      </c>
    </row>
    <row r="582" spans="1:8" x14ac:dyDescent="0.35">
      <c r="A582" s="1" t="str" cm="1">
        <f t="array" ref="A582">IF($H582="","",INDEX(tblFacturasRecibidas[Fecha factura],$H582))</f>
        <v/>
      </c>
      <c r="C582" t="str" cm="1">
        <f t="array" ref="C582">IF($H582="","",INDEX(tblFacturasRecibidas[Proveedor],$H582))</f>
        <v/>
      </c>
      <c r="H582" t="str" cm="1">
        <f t="array" ref="H5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GASTOS],tblCategorias[Tipo],"")="Inversión")),ROWS($H$5:H582)),"")</f>
        <v/>
      </c>
    </row>
    <row r="583" spans="1:8" x14ac:dyDescent="0.35">
      <c r="A583" s="1" t="str" cm="1">
        <f t="array" ref="A583">IF($H583="","",INDEX(tblFacturasRecibidas[Fecha factura],$H583))</f>
        <v/>
      </c>
      <c r="C583" t="str" cm="1">
        <f t="array" ref="C583">IF($H583="","",INDEX(tblFacturasRecibidas[Proveedor],$H583))</f>
        <v/>
      </c>
      <c r="H583" t="str" cm="1">
        <f t="array" ref="H5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GASTOS],tblCategorias[Tipo],"")="Inversión")),ROWS($H$5:H583)),"")</f>
        <v/>
      </c>
    </row>
    <row r="584" spans="1:8" x14ac:dyDescent="0.35">
      <c r="A584" s="1" t="str" cm="1">
        <f t="array" ref="A584">IF($H584="","",INDEX(tblFacturasRecibidas[Fecha factura],$H584))</f>
        <v/>
      </c>
      <c r="C584" t="str" cm="1">
        <f t="array" ref="C584">IF($H584="","",INDEX(tblFacturasRecibidas[Proveedor],$H584))</f>
        <v/>
      </c>
      <c r="H584" t="str" cm="1">
        <f t="array" ref="H5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GASTOS],tblCategorias[Tipo],"")="Inversión")),ROWS($H$5:H584)),"")</f>
        <v/>
      </c>
    </row>
    <row r="585" spans="1:8" x14ac:dyDescent="0.35">
      <c r="A585" s="1" t="str" cm="1">
        <f t="array" ref="A585">IF($H585="","",INDEX(tblFacturasRecibidas[Fecha factura],$H585))</f>
        <v/>
      </c>
      <c r="C585" t="str" cm="1">
        <f t="array" ref="C585">IF($H585="","",INDEX(tblFacturasRecibidas[Proveedor],$H585))</f>
        <v/>
      </c>
      <c r="H585" t="str" cm="1">
        <f t="array" ref="H5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GASTOS],tblCategorias[Tipo],"")="Inversión")),ROWS($H$5:H585)),"")</f>
        <v/>
      </c>
    </row>
    <row r="586" spans="1:8" x14ac:dyDescent="0.35">
      <c r="A586" s="1" t="str" cm="1">
        <f t="array" ref="A586">IF($H586="","",INDEX(tblFacturasRecibidas[Fecha factura],$H586))</f>
        <v/>
      </c>
      <c r="C586" t="str" cm="1">
        <f t="array" ref="C586">IF($H586="","",INDEX(tblFacturasRecibidas[Proveedor],$H586))</f>
        <v/>
      </c>
      <c r="H586" t="str" cm="1">
        <f t="array" ref="H5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GASTOS],tblCategorias[Tipo],"")="Inversión")),ROWS($H$5:H586)),"")</f>
        <v/>
      </c>
    </row>
    <row r="587" spans="1:8" x14ac:dyDescent="0.35">
      <c r="A587" s="1" t="str" cm="1">
        <f t="array" ref="A587">IF($H587="","",INDEX(tblFacturasRecibidas[Fecha factura],$H587))</f>
        <v/>
      </c>
      <c r="C587" t="str" cm="1">
        <f t="array" ref="C587">IF($H587="","",INDEX(tblFacturasRecibidas[Proveedor],$H587))</f>
        <v/>
      </c>
      <c r="H587" t="str" cm="1">
        <f t="array" ref="H5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GASTOS],tblCategorias[Tipo],"")="Inversión")),ROWS($H$5:H587)),"")</f>
        <v/>
      </c>
    </row>
    <row r="588" spans="1:8" x14ac:dyDescent="0.35">
      <c r="A588" s="1" t="str" cm="1">
        <f t="array" ref="A588">IF($H588="","",INDEX(tblFacturasRecibidas[Fecha factura],$H588))</f>
        <v/>
      </c>
      <c r="C588" t="str" cm="1">
        <f t="array" ref="C588">IF($H588="","",INDEX(tblFacturasRecibidas[Proveedor],$H588))</f>
        <v/>
      </c>
      <c r="H588" t="str" cm="1">
        <f t="array" ref="H5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GASTOS],tblCategorias[Tipo],"")="Inversión")),ROWS($H$5:H588)),"")</f>
        <v/>
      </c>
    </row>
    <row r="589" spans="1:8" x14ac:dyDescent="0.35">
      <c r="A589" s="1" t="str" cm="1">
        <f t="array" ref="A589">IF($H589="","",INDEX(tblFacturasRecibidas[Fecha factura],$H589))</f>
        <v/>
      </c>
      <c r="C589" t="str" cm="1">
        <f t="array" ref="C589">IF($H589="","",INDEX(tblFacturasRecibidas[Proveedor],$H589))</f>
        <v/>
      </c>
      <c r="H589" t="str" cm="1">
        <f t="array" ref="H5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GASTOS],tblCategorias[Tipo],"")="Inversión")),ROWS($H$5:H589)),"")</f>
        <v/>
      </c>
    </row>
    <row r="590" spans="1:8" x14ac:dyDescent="0.35">
      <c r="A590" s="1" t="str" cm="1">
        <f t="array" ref="A590">IF($H590="","",INDEX(tblFacturasRecibidas[Fecha factura],$H590))</f>
        <v/>
      </c>
      <c r="C590" t="str" cm="1">
        <f t="array" ref="C590">IF($H590="","",INDEX(tblFacturasRecibidas[Proveedor],$H590))</f>
        <v/>
      </c>
      <c r="H590" t="str" cm="1">
        <f t="array" ref="H5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GASTOS],tblCategorias[Tipo],"")="Inversión")),ROWS($H$5:H590)),"")</f>
        <v/>
      </c>
    </row>
    <row r="591" spans="1:8" x14ac:dyDescent="0.35">
      <c r="A591" s="1" t="str" cm="1">
        <f t="array" ref="A591">IF($H591="","",INDEX(tblFacturasRecibidas[Fecha factura],$H591))</f>
        <v/>
      </c>
      <c r="C591" t="str" cm="1">
        <f t="array" ref="C591">IF($H591="","",INDEX(tblFacturasRecibidas[Proveedor],$H591))</f>
        <v/>
      </c>
      <c r="H591" t="str" cm="1">
        <f t="array" ref="H5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GASTOS],tblCategorias[Tipo],"")="Inversión")),ROWS($H$5:H591)),"")</f>
        <v/>
      </c>
    </row>
    <row r="592" spans="1:8" x14ac:dyDescent="0.35">
      <c r="A592" s="1" t="str" cm="1">
        <f t="array" ref="A592">IF($H592="","",INDEX(tblFacturasRecibidas[Fecha factura],$H592))</f>
        <v/>
      </c>
      <c r="C592" t="str" cm="1">
        <f t="array" ref="C592">IF($H592="","",INDEX(tblFacturasRecibidas[Proveedor],$H592))</f>
        <v/>
      </c>
      <c r="H592" t="str" cm="1">
        <f t="array" ref="H5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GASTOS],tblCategorias[Tipo],"")="Inversión")),ROWS($H$5:H592)),"")</f>
        <v/>
      </c>
    </row>
    <row r="593" spans="1:8" x14ac:dyDescent="0.35">
      <c r="A593" s="1" t="str" cm="1">
        <f t="array" ref="A593">IF($H593="","",INDEX(tblFacturasRecibidas[Fecha factura],$H593))</f>
        <v/>
      </c>
      <c r="C593" t="str" cm="1">
        <f t="array" ref="C593">IF($H593="","",INDEX(tblFacturasRecibidas[Proveedor],$H593))</f>
        <v/>
      </c>
      <c r="H593" t="str" cm="1">
        <f t="array" ref="H5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GASTOS],tblCategorias[Tipo],"")="Inversión")),ROWS($H$5:H593)),"")</f>
        <v/>
      </c>
    </row>
    <row r="594" spans="1:8" x14ac:dyDescent="0.35">
      <c r="A594" s="1" t="str" cm="1">
        <f t="array" ref="A594">IF($H594="","",INDEX(tblFacturasRecibidas[Fecha factura],$H594))</f>
        <v/>
      </c>
      <c r="C594" t="str" cm="1">
        <f t="array" ref="C594">IF($H594="","",INDEX(tblFacturasRecibidas[Proveedor],$H594))</f>
        <v/>
      </c>
      <c r="H594" t="str" cm="1">
        <f t="array" ref="H5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GASTOS],tblCategorias[Tipo],"")="Inversión")),ROWS($H$5:H594)),"")</f>
        <v/>
      </c>
    </row>
    <row r="595" spans="1:8" x14ac:dyDescent="0.35">
      <c r="A595" s="1" t="str" cm="1">
        <f t="array" ref="A595">IF($H595="","",INDEX(tblFacturasRecibidas[Fecha factura],$H595))</f>
        <v/>
      </c>
      <c r="C595" t="str" cm="1">
        <f t="array" ref="C595">IF($H595="","",INDEX(tblFacturasRecibidas[Proveedor],$H595))</f>
        <v/>
      </c>
      <c r="H595" t="str" cm="1">
        <f t="array" ref="H5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GASTOS],tblCategorias[Tipo],"")="Inversión")),ROWS($H$5:H595)),"")</f>
        <v/>
      </c>
    </row>
    <row r="596" spans="1:8" x14ac:dyDescent="0.35">
      <c r="A596" s="1" t="str" cm="1">
        <f t="array" ref="A596">IF($H596="","",INDEX(tblFacturasRecibidas[Fecha factura],$H596))</f>
        <v/>
      </c>
      <c r="C596" t="str" cm="1">
        <f t="array" ref="C596">IF($H596="","",INDEX(tblFacturasRecibidas[Proveedor],$H596))</f>
        <v/>
      </c>
      <c r="H596" t="str" cm="1">
        <f t="array" ref="H5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GASTOS],tblCategorias[Tipo],"")="Inversión")),ROWS($H$5:H596)),"")</f>
        <v/>
      </c>
    </row>
    <row r="597" spans="1:8" x14ac:dyDescent="0.35">
      <c r="A597" s="1" t="str" cm="1">
        <f t="array" ref="A597">IF($H597="","",INDEX(tblFacturasRecibidas[Fecha factura],$H597))</f>
        <v/>
      </c>
      <c r="C597" t="str" cm="1">
        <f t="array" ref="C597">IF($H597="","",INDEX(tblFacturasRecibidas[Proveedor],$H597))</f>
        <v/>
      </c>
      <c r="H597" t="str" cm="1">
        <f t="array" ref="H5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GASTOS],tblCategorias[Tipo],"")="Inversión")),ROWS($H$5:H597)),"")</f>
        <v/>
      </c>
    </row>
    <row r="598" spans="1:8" x14ac:dyDescent="0.35">
      <c r="A598" s="1" t="str" cm="1">
        <f t="array" ref="A598">IF($H598="","",INDEX(tblFacturasRecibidas[Fecha factura],$H598))</f>
        <v/>
      </c>
      <c r="C598" t="str" cm="1">
        <f t="array" ref="C598">IF($H598="","",INDEX(tblFacturasRecibidas[Proveedor],$H598))</f>
        <v/>
      </c>
      <c r="H598" t="str" cm="1">
        <f t="array" ref="H5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GASTOS],tblCategorias[Tipo],"")="Inversión")),ROWS($H$5:H598)),"")</f>
        <v/>
      </c>
    </row>
    <row r="599" spans="1:8" x14ac:dyDescent="0.35">
      <c r="A599" s="1" t="str" cm="1">
        <f t="array" ref="A599">IF($H599="","",INDEX(tblFacturasRecibidas[Fecha factura],$H599))</f>
        <v/>
      </c>
      <c r="C599" t="str" cm="1">
        <f t="array" ref="C599">IF($H599="","",INDEX(tblFacturasRecibidas[Proveedor],$H599))</f>
        <v/>
      </c>
      <c r="H599" t="str" cm="1">
        <f t="array" ref="H5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GASTOS],tblCategorias[Tipo],"")="Inversión")),ROWS($H$5:H599)),"")</f>
        <v/>
      </c>
    </row>
    <row r="600" spans="1:8" x14ac:dyDescent="0.35">
      <c r="A600" s="1" t="str" cm="1">
        <f t="array" ref="A600">IF($H600="","",INDEX(tblFacturasRecibidas[Fecha factura],$H600))</f>
        <v/>
      </c>
      <c r="C600" t="str" cm="1">
        <f t="array" ref="C600">IF($H600="","",INDEX(tblFacturasRecibidas[Proveedor],$H600))</f>
        <v/>
      </c>
      <c r="H600" t="str" cm="1">
        <f t="array" ref="H6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GASTOS],tblCategorias[Tipo],"")="Inversión")),ROWS($H$5:H600)),"")</f>
        <v/>
      </c>
    </row>
    <row r="601" spans="1:8" x14ac:dyDescent="0.35">
      <c r="A601" s="1" t="str" cm="1">
        <f t="array" ref="A601">IF($H601="","",INDEX(tblFacturasRecibidas[Fecha factura],$H601))</f>
        <v/>
      </c>
      <c r="C601" t="str" cm="1">
        <f t="array" ref="C601">IF($H601="","",INDEX(tblFacturasRecibidas[Proveedor],$H601))</f>
        <v/>
      </c>
      <c r="H601" t="str" cm="1">
        <f t="array" ref="H6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GASTOS],tblCategorias[Tipo],"")="Inversión")),ROWS($H$5:H601)),"")</f>
        <v/>
      </c>
    </row>
    <row r="602" spans="1:8" x14ac:dyDescent="0.35">
      <c r="A602" s="1" t="str" cm="1">
        <f t="array" ref="A602">IF($H602="","",INDEX(tblFacturasRecibidas[Fecha factura],$H602))</f>
        <v/>
      </c>
      <c r="C602" t="str" cm="1">
        <f t="array" ref="C602">IF($H602="","",INDEX(tblFacturasRecibidas[Proveedor],$H602))</f>
        <v/>
      </c>
      <c r="H602" t="str" cm="1">
        <f t="array" ref="H6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GASTOS],tblCategorias[Tipo],"")="Inversión")),ROWS($H$5:H602)),"")</f>
        <v/>
      </c>
    </row>
    <row r="603" spans="1:8" x14ac:dyDescent="0.35">
      <c r="A603" s="1" t="str" cm="1">
        <f t="array" ref="A603">IF($H603="","",INDEX(tblFacturasRecibidas[Fecha factura],$H603))</f>
        <v/>
      </c>
      <c r="C603" t="str" cm="1">
        <f t="array" ref="C603">IF($H603="","",INDEX(tblFacturasRecibidas[Proveedor],$H603))</f>
        <v/>
      </c>
      <c r="H603" t="str" cm="1">
        <f t="array" ref="H6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GASTOS],tblCategorias[Tipo],"")="Inversión")),ROWS($H$5:H603)),"")</f>
        <v/>
      </c>
    </row>
    <row r="604" spans="1:8" x14ac:dyDescent="0.35">
      <c r="A604" s="1" t="str" cm="1">
        <f t="array" ref="A604">IF($H604="","",INDEX(tblFacturasRecibidas[Fecha factura],$H604))</f>
        <v/>
      </c>
      <c r="C604" t="str" cm="1">
        <f t="array" ref="C604">IF($H604="","",INDEX(tblFacturasRecibidas[Proveedor],$H604))</f>
        <v/>
      </c>
      <c r="H604" t="str" cm="1">
        <f t="array" ref="H6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GASTOS],tblCategorias[Tipo],"")="Inversión")),ROWS($H$5:H604)),"")</f>
        <v/>
      </c>
    </row>
    <row r="605" spans="1:8" x14ac:dyDescent="0.35">
      <c r="A605" s="1" t="str" cm="1">
        <f t="array" ref="A605">IF($H605="","",INDEX(tblFacturasRecibidas[Fecha factura],$H605))</f>
        <v/>
      </c>
      <c r="C605" t="str" cm="1">
        <f t="array" ref="C605">IF($H605="","",INDEX(tblFacturasRecibidas[Proveedor],$H605))</f>
        <v/>
      </c>
      <c r="H605" t="str" cm="1">
        <f t="array" ref="H6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GASTOS],tblCategorias[Tipo],"")="Inversión")),ROWS($H$5:H605)),"")</f>
        <v/>
      </c>
    </row>
    <row r="606" spans="1:8" x14ac:dyDescent="0.35">
      <c r="A606" s="1" t="str" cm="1">
        <f t="array" ref="A606">IF($H606="","",INDEX(tblFacturasRecibidas[Fecha factura],$H606))</f>
        <v/>
      </c>
      <c r="C606" t="str" cm="1">
        <f t="array" ref="C606">IF($H606="","",INDEX(tblFacturasRecibidas[Proveedor],$H606))</f>
        <v/>
      </c>
      <c r="H606" t="str" cm="1">
        <f t="array" ref="H6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GASTOS],tblCategorias[Tipo],"")="Inversión")),ROWS($H$5:H606)),"")</f>
        <v/>
      </c>
    </row>
    <row r="607" spans="1:8" x14ac:dyDescent="0.35">
      <c r="A607" s="1" t="str" cm="1">
        <f t="array" ref="A607">IF($H607="","",INDEX(tblFacturasRecibidas[Fecha factura],$H607))</f>
        <v/>
      </c>
      <c r="C607" t="str" cm="1">
        <f t="array" ref="C607">IF($H607="","",INDEX(tblFacturasRecibidas[Proveedor],$H607))</f>
        <v/>
      </c>
      <c r="H607" t="str" cm="1">
        <f t="array" ref="H6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GASTOS],tblCategorias[Tipo],"")="Inversión")),ROWS($H$5:H607)),"")</f>
        <v/>
      </c>
    </row>
    <row r="608" spans="1:8" x14ac:dyDescent="0.35">
      <c r="A608" s="1" t="str" cm="1">
        <f t="array" ref="A608">IF($H608="","",INDEX(tblFacturasRecibidas[Fecha factura],$H608))</f>
        <v/>
      </c>
      <c r="C608" t="str" cm="1">
        <f t="array" ref="C608">IF($H608="","",INDEX(tblFacturasRecibidas[Proveedor],$H608))</f>
        <v/>
      </c>
      <c r="H608" t="str" cm="1">
        <f t="array" ref="H6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GASTOS],tblCategorias[Tipo],"")="Inversión")),ROWS($H$5:H608)),"")</f>
        <v/>
      </c>
    </row>
    <row r="609" spans="1:8" x14ac:dyDescent="0.35">
      <c r="A609" s="1" t="str" cm="1">
        <f t="array" ref="A609">IF($H609="","",INDEX(tblFacturasRecibidas[Fecha factura],$H609))</f>
        <v/>
      </c>
      <c r="C609" t="str" cm="1">
        <f t="array" ref="C609">IF($H609="","",INDEX(tblFacturasRecibidas[Proveedor],$H609))</f>
        <v/>
      </c>
      <c r="H609" t="str" cm="1">
        <f t="array" ref="H6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GASTOS],tblCategorias[Tipo],"")="Inversión")),ROWS($H$5:H609)),"")</f>
        <v/>
      </c>
    </row>
    <row r="610" spans="1:8" x14ac:dyDescent="0.35">
      <c r="A610" s="1" t="str" cm="1">
        <f t="array" ref="A610">IF($H610="","",INDEX(tblFacturasRecibidas[Fecha factura],$H610))</f>
        <v/>
      </c>
      <c r="C610" t="str" cm="1">
        <f t="array" ref="C610">IF($H610="","",INDEX(tblFacturasRecibidas[Proveedor],$H610))</f>
        <v/>
      </c>
      <c r="H610" t="str" cm="1">
        <f t="array" ref="H6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GASTOS],tblCategorias[Tipo],"")="Inversión")),ROWS($H$5:H610)),"")</f>
        <v/>
      </c>
    </row>
    <row r="611" spans="1:8" x14ac:dyDescent="0.35">
      <c r="A611" s="1" t="str" cm="1">
        <f t="array" ref="A611">IF($H611="","",INDEX(tblFacturasRecibidas[Fecha factura],$H611))</f>
        <v/>
      </c>
      <c r="C611" t="str" cm="1">
        <f t="array" ref="C611">IF($H611="","",INDEX(tblFacturasRecibidas[Proveedor],$H611))</f>
        <v/>
      </c>
      <c r="H611" t="str" cm="1">
        <f t="array" ref="H6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GASTOS],tblCategorias[Tipo],"")="Inversión")),ROWS($H$5:H611)),"")</f>
        <v/>
      </c>
    </row>
    <row r="612" spans="1:8" x14ac:dyDescent="0.35">
      <c r="A612" s="1" t="str" cm="1">
        <f t="array" ref="A612">IF($H612="","",INDEX(tblFacturasRecibidas[Fecha factura],$H612))</f>
        <v/>
      </c>
      <c r="C612" t="str" cm="1">
        <f t="array" ref="C612">IF($H612="","",INDEX(tblFacturasRecibidas[Proveedor],$H612))</f>
        <v/>
      </c>
      <c r="H612" t="str" cm="1">
        <f t="array" ref="H6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GASTOS],tblCategorias[Tipo],"")="Inversión")),ROWS($H$5:H612)),"")</f>
        <v/>
      </c>
    </row>
    <row r="613" spans="1:8" x14ac:dyDescent="0.35">
      <c r="A613" s="1" t="str" cm="1">
        <f t="array" ref="A613">IF($H613="","",INDEX(tblFacturasRecibidas[Fecha factura],$H613))</f>
        <v/>
      </c>
      <c r="C613" t="str" cm="1">
        <f t="array" ref="C613">IF($H613="","",INDEX(tblFacturasRecibidas[Proveedor],$H613))</f>
        <v/>
      </c>
      <c r="H613" t="str" cm="1">
        <f t="array" ref="H6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GASTOS],tblCategorias[Tipo],"")="Inversión")),ROWS($H$5:H613)),"")</f>
        <v/>
      </c>
    </row>
    <row r="614" spans="1:8" x14ac:dyDescent="0.35">
      <c r="A614" s="1" t="str" cm="1">
        <f t="array" ref="A614">IF($H614="","",INDEX(tblFacturasRecibidas[Fecha factura],$H614))</f>
        <v/>
      </c>
      <c r="C614" t="str" cm="1">
        <f t="array" ref="C614">IF($H614="","",INDEX(tblFacturasRecibidas[Proveedor],$H614))</f>
        <v/>
      </c>
      <c r="H614" t="str" cm="1">
        <f t="array" ref="H6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GASTOS],tblCategorias[Tipo],"")="Inversión")),ROWS($H$5:H614)),"")</f>
        <v/>
      </c>
    </row>
    <row r="615" spans="1:8" x14ac:dyDescent="0.35">
      <c r="A615" s="1" t="str" cm="1">
        <f t="array" ref="A615">IF($H615="","",INDEX(tblFacturasRecibidas[Fecha factura],$H615))</f>
        <v/>
      </c>
      <c r="C615" t="str" cm="1">
        <f t="array" ref="C615">IF($H615="","",INDEX(tblFacturasRecibidas[Proveedor],$H615))</f>
        <v/>
      </c>
      <c r="H615" t="str" cm="1">
        <f t="array" ref="H6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GASTOS],tblCategorias[Tipo],"")="Inversión")),ROWS($H$5:H615)),"")</f>
        <v/>
      </c>
    </row>
    <row r="616" spans="1:8" x14ac:dyDescent="0.35">
      <c r="A616" s="1" t="str" cm="1">
        <f t="array" ref="A616">IF($H616="","",INDEX(tblFacturasRecibidas[Fecha factura],$H616))</f>
        <v/>
      </c>
      <c r="C616" t="str" cm="1">
        <f t="array" ref="C616">IF($H616="","",INDEX(tblFacturasRecibidas[Proveedor],$H616))</f>
        <v/>
      </c>
      <c r="H616" t="str" cm="1">
        <f t="array" ref="H6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GASTOS],tblCategorias[Tipo],"")="Inversión")),ROWS($H$5:H616)),"")</f>
        <v/>
      </c>
    </row>
    <row r="617" spans="1:8" x14ac:dyDescent="0.35">
      <c r="A617" s="1" t="str" cm="1">
        <f t="array" ref="A617">IF($H617="","",INDEX(tblFacturasRecibidas[Fecha factura],$H617))</f>
        <v/>
      </c>
      <c r="C617" t="str" cm="1">
        <f t="array" ref="C617">IF($H617="","",INDEX(tblFacturasRecibidas[Proveedor],$H617))</f>
        <v/>
      </c>
      <c r="H617" t="str" cm="1">
        <f t="array" ref="H6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GASTOS],tblCategorias[Tipo],"")="Inversión")),ROWS($H$5:H617)),"")</f>
        <v/>
      </c>
    </row>
    <row r="618" spans="1:8" x14ac:dyDescent="0.35">
      <c r="A618" s="1" t="str" cm="1">
        <f t="array" ref="A618">IF($H618="","",INDEX(tblFacturasRecibidas[Fecha factura],$H618))</f>
        <v/>
      </c>
      <c r="C618" t="str" cm="1">
        <f t="array" ref="C618">IF($H618="","",INDEX(tblFacturasRecibidas[Proveedor],$H618))</f>
        <v/>
      </c>
      <c r="H618" t="str" cm="1">
        <f t="array" ref="H6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GASTOS],tblCategorias[Tipo],"")="Inversión")),ROWS($H$5:H618)),"")</f>
        <v/>
      </c>
    </row>
    <row r="619" spans="1:8" x14ac:dyDescent="0.35">
      <c r="A619" s="1" t="str" cm="1">
        <f t="array" ref="A619">IF($H619="","",INDEX(tblFacturasRecibidas[Fecha factura],$H619))</f>
        <v/>
      </c>
      <c r="C619" t="str" cm="1">
        <f t="array" ref="C619">IF($H619="","",INDEX(tblFacturasRecibidas[Proveedor],$H619))</f>
        <v/>
      </c>
      <c r="H619" t="str" cm="1">
        <f t="array" ref="H6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GASTOS],tblCategorias[Tipo],"")="Inversión")),ROWS($H$5:H619)),"")</f>
        <v/>
      </c>
    </row>
    <row r="620" spans="1:8" x14ac:dyDescent="0.35">
      <c r="A620" s="1" t="str" cm="1">
        <f t="array" ref="A620">IF($H620="","",INDEX(tblFacturasRecibidas[Fecha factura],$H620))</f>
        <v/>
      </c>
      <c r="C620" t="str" cm="1">
        <f t="array" ref="C620">IF($H620="","",INDEX(tblFacturasRecibidas[Proveedor],$H620))</f>
        <v/>
      </c>
      <c r="H620" t="str" cm="1">
        <f t="array" ref="H6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GASTOS],tblCategorias[Tipo],"")="Inversión")),ROWS($H$5:H620)),"")</f>
        <v/>
      </c>
    </row>
    <row r="621" spans="1:8" x14ac:dyDescent="0.35">
      <c r="A621" s="1" t="str" cm="1">
        <f t="array" ref="A621">IF($H621="","",INDEX(tblFacturasRecibidas[Fecha factura],$H621))</f>
        <v/>
      </c>
      <c r="C621" t="str" cm="1">
        <f t="array" ref="C621">IF($H621="","",INDEX(tblFacturasRecibidas[Proveedor],$H621))</f>
        <v/>
      </c>
      <c r="H621" t="str" cm="1">
        <f t="array" ref="H6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GASTOS],tblCategorias[Tipo],"")="Inversión")),ROWS($H$5:H621)),"")</f>
        <v/>
      </c>
    </row>
    <row r="622" spans="1:8" x14ac:dyDescent="0.35">
      <c r="A622" s="1" t="str" cm="1">
        <f t="array" ref="A622">IF($H622="","",INDEX(tblFacturasRecibidas[Fecha factura],$H622))</f>
        <v/>
      </c>
      <c r="C622" t="str" cm="1">
        <f t="array" ref="C622">IF($H622="","",INDEX(tblFacturasRecibidas[Proveedor],$H622))</f>
        <v/>
      </c>
      <c r="H622" t="str" cm="1">
        <f t="array" ref="H6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GASTOS],tblCategorias[Tipo],"")="Inversión")),ROWS($H$5:H622)),"")</f>
        <v/>
      </c>
    </row>
    <row r="623" spans="1:8" x14ac:dyDescent="0.35">
      <c r="A623" s="1" t="str" cm="1">
        <f t="array" ref="A623">IF($H623="","",INDEX(tblFacturasRecibidas[Fecha factura],$H623))</f>
        <v/>
      </c>
      <c r="C623" t="str" cm="1">
        <f t="array" ref="C623">IF($H623="","",INDEX(tblFacturasRecibidas[Proveedor],$H623))</f>
        <v/>
      </c>
      <c r="H623" t="str" cm="1">
        <f t="array" ref="H6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GASTOS],tblCategorias[Tipo],"")="Inversión")),ROWS($H$5:H623)),"")</f>
        <v/>
      </c>
    </row>
    <row r="624" spans="1:8" x14ac:dyDescent="0.35">
      <c r="A624" s="1" t="str" cm="1">
        <f t="array" ref="A624">IF($H624="","",INDEX(tblFacturasRecibidas[Fecha factura],$H624))</f>
        <v/>
      </c>
      <c r="C624" t="str" cm="1">
        <f t="array" ref="C624">IF($H624="","",INDEX(tblFacturasRecibidas[Proveedor],$H624))</f>
        <v/>
      </c>
      <c r="H624" t="str" cm="1">
        <f t="array" ref="H6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GASTOS],tblCategorias[Tipo],"")="Inversión")),ROWS($H$5:H624)),"")</f>
        <v/>
      </c>
    </row>
    <row r="625" spans="1:8" x14ac:dyDescent="0.35">
      <c r="A625" s="1" t="str" cm="1">
        <f t="array" ref="A625">IF($H625="","",INDEX(tblFacturasRecibidas[Fecha factura],$H625))</f>
        <v/>
      </c>
      <c r="C625" t="str" cm="1">
        <f t="array" ref="C625">IF($H625="","",INDEX(tblFacturasRecibidas[Proveedor],$H625))</f>
        <v/>
      </c>
      <c r="H625" t="str" cm="1">
        <f t="array" ref="H6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GASTOS],tblCategorias[Tipo],"")="Inversión")),ROWS($H$5:H625)),"")</f>
        <v/>
      </c>
    </row>
    <row r="626" spans="1:8" x14ac:dyDescent="0.35">
      <c r="A626" s="1" t="str" cm="1">
        <f t="array" ref="A626">IF($H626="","",INDEX(tblFacturasRecibidas[Fecha factura],$H626))</f>
        <v/>
      </c>
      <c r="C626" t="str" cm="1">
        <f t="array" ref="C626">IF($H626="","",INDEX(tblFacturasRecibidas[Proveedor],$H626))</f>
        <v/>
      </c>
      <c r="H626" t="str" cm="1">
        <f t="array" ref="H6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GASTOS],tblCategorias[Tipo],"")="Inversión")),ROWS($H$5:H626)),"")</f>
        <v/>
      </c>
    </row>
    <row r="627" spans="1:8" x14ac:dyDescent="0.35">
      <c r="A627" s="1" t="str" cm="1">
        <f t="array" ref="A627">IF($H627="","",INDEX(tblFacturasRecibidas[Fecha factura],$H627))</f>
        <v/>
      </c>
      <c r="C627" t="str" cm="1">
        <f t="array" ref="C627">IF($H627="","",INDEX(tblFacturasRecibidas[Proveedor],$H627))</f>
        <v/>
      </c>
      <c r="H627" t="str" cm="1">
        <f t="array" ref="H6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GASTOS],tblCategorias[Tipo],"")="Inversión")),ROWS($H$5:H627)),"")</f>
        <v/>
      </c>
    </row>
    <row r="628" spans="1:8" x14ac:dyDescent="0.35">
      <c r="A628" s="1" t="str" cm="1">
        <f t="array" ref="A628">IF($H628="","",INDEX(tblFacturasRecibidas[Fecha factura],$H628))</f>
        <v/>
      </c>
      <c r="C628" t="str" cm="1">
        <f t="array" ref="C628">IF($H628="","",INDEX(tblFacturasRecibidas[Proveedor],$H628))</f>
        <v/>
      </c>
      <c r="H628" t="str" cm="1">
        <f t="array" ref="H6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GASTOS],tblCategorias[Tipo],"")="Inversión")),ROWS($H$5:H628)),"")</f>
        <v/>
      </c>
    </row>
    <row r="629" spans="1:8" x14ac:dyDescent="0.35">
      <c r="A629" s="1" t="str" cm="1">
        <f t="array" ref="A629">IF($H629="","",INDEX(tblFacturasRecibidas[Fecha factura],$H629))</f>
        <v/>
      </c>
      <c r="C629" t="str" cm="1">
        <f t="array" ref="C629">IF($H629="","",INDEX(tblFacturasRecibidas[Proveedor],$H629))</f>
        <v/>
      </c>
      <c r="H629" t="str" cm="1">
        <f t="array" ref="H6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GASTOS],tblCategorias[Tipo],"")="Inversión")),ROWS($H$5:H629)),"")</f>
        <v/>
      </c>
    </row>
    <row r="630" spans="1:8" x14ac:dyDescent="0.35">
      <c r="A630" s="1" t="str" cm="1">
        <f t="array" ref="A630">IF($H630="","",INDEX(tblFacturasRecibidas[Fecha factura],$H630))</f>
        <v/>
      </c>
      <c r="C630" t="str" cm="1">
        <f t="array" ref="C630">IF($H630="","",INDEX(tblFacturasRecibidas[Proveedor],$H630))</f>
        <v/>
      </c>
      <c r="H630" t="str" cm="1">
        <f t="array" ref="H6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GASTOS],tblCategorias[Tipo],"")="Inversión")),ROWS($H$5:H630)),"")</f>
        <v/>
      </c>
    </row>
    <row r="631" spans="1:8" x14ac:dyDescent="0.35">
      <c r="A631" s="1" t="str" cm="1">
        <f t="array" ref="A631">IF($H631="","",INDEX(tblFacturasRecibidas[Fecha factura],$H631))</f>
        <v/>
      </c>
      <c r="C631" t="str" cm="1">
        <f t="array" ref="C631">IF($H631="","",INDEX(tblFacturasRecibidas[Proveedor],$H631))</f>
        <v/>
      </c>
      <c r="H631" t="str" cm="1">
        <f t="array" ref="H6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GASTOS],tblCategorias[Tipo],"")="Inversión")),ROWS($H$5:H631)),"")</f>
        <v/>
      </c>
    </row>
    <row r="632" spans="1:8" x14ac:dyDescent="0.35">
      <c r="A632" s="1" t="str" cm="1">
        <f t="array" ref="A632">IF($H632="","",INDEX(tblFacturasRecibidas[Fecha factura],$H632))</f>
        <v/>
      </c>
      <c r="H632" t="str" cm="1">
        <f t="array" ref="H6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GASTOS],tblCategorias[Tipo],"")="Inversión")),ROWS($H$5:H632)),"")</f>
        <v/>
      </c>
    </row>
    <row r="633" spans="1:8" x14ac:dyDescent="0.35">
      <c r="A633" s="1" t="str" cm="1">
        <f t="array" ref="A633">IF($H633="","",INDEX(tblFacturasRecibidas[Fecha factura],$H633))</f>
        <v/>
      </c>
      <c r="H633" t="str" cm="1">
        <f t="array" ref="H6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GASTOS],tblCategorias[Tipo],"")="Inversión")),ROWS($H$5:H633)),"")</f>
        <v/>
      </c>
    </row>
    <row r="634" spans="1:8" x14ac:dyDescent="0.35">
      <c r="A634" s="1" t="str" cm="1">
        <f t="array" ref="A634">IF($H634="","",INDEX(tblFacturasRecibidas[Fecha factura],$H634))</f>
        <v/>
      </c>
      <c r="H634" t="str" cm="1">
        <f t="array" ref="H6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GASTOS],tblCategorias[Tipo],"")="Inversión")),ROWS($H$5:H634)),"")</f>
        <v/>
      </c>
    </row>
    <row r="635" spans="1:8" x14ac:dyDescent="0.35">
      <c r="A635" s="1" t="str" cm="1">
        <f t="array" ref="A635">IF($H635="","",INDEX(tblFacturasRecibidas[Fecha factura],$H635))</f>
        <v/>
      </c>
      <c r="H635" t="str" cm="1">
        <f t="array" ref="H6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GASTOS],tblCategorias[Tipo],"")="Inversión")),ROWS($H$5:H635)),"")</f>
        <v/>
      </c>
    </row>
    <row r="636" spans="1:8" x14ac:dyDescent="0.35">
      <c r="A636" s="1" t="str" cm="1">
        <f t="array" ref="A636">IF($H636="","",INDEX(tblFacturasRecibidas[Fecha factura],$H636))</f>
        <v/>
      </c>
      <c r="H636" t="str" cm="1">
        <f t="array" ref="H6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GASTOS],tblCategorias[Tipo],"")="Inversión")),ROWS($H$5:H636)),"")</f>
        <v/>
      </c>
    </row>
    <row r="637" spans="1:8" x14ac:dyDescent="0.35">
      <c r="A637" s="1" t="str" cm="1">
        <f t="array" ref="A637">IF($H637="","",INDEX(tblFacturasRecibidas[Fecha factura],$H637))</f>
        <v/>
      </c>
      <c r="H637" t="str" cm="1">
        <f t="array" ref="H6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GASTOS],tblCategorias[Tipo],"")="Inversión")),ROWS($H$5:H637)),"")</f>
        <v/>
      </c>
    </row>
    <row r="638" spans="1:8" x14ac:dyDescent="0.35">
      <c r="A638" s="1" t="str" cm="1">
        <f t="array" ref="A638">IF($H638="","",INDEX(tblFacturasRecibidas[Fecha factura],$H638))</f>
        <v/>
      </c>
      <c r="H638" t="str" cm="1">
        <f t="array" ref="H6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GASTOS],tblCategorias[Tipo],"")="Inversión")),ROWS($H$5:H638)),"")</f>
        <v/>
      </c>
    </row>
    <row r="639" spans="1:8" x14ac:dyDescent="0.35">
      <c r="A639" s="1" t="str" cm="1">
        <f t="array" ref="A639">IF($H639="","",INDEX(tblFacturasRecibidas[Fecha factura],$H639))</f>
        <v/>
      </c>
      <c r="H639" t="str" cm="1">
        <f t="array" ref="H6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GASTOS],tblCategorias[Tipo],"")="Inversión")),ROWS($H$5:H639)),"")</f>
        <v/>
      </c>
    </row>
    <row r="640" spans="1:8" x14ac:dyDescent="0.35">
      <c r="A640" s="1" t="str" cm="1">
        <f t="array" ref="A640">IF($H640="","",INDEX(tblFacturasRecibidas[Fecha factura],$H640))</f>
        <v/>
      </c>
      <c r="H640" t="str" cm="1">
        <f t="array" ref="H6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GASTOS],tblCategorias[Tipo],"")="Inversión")),ROWS($H$5:H640)),"")</f>
        <v/>
      </c>
    </row>
    <row r="641" spans="1:8" x14ac:dyDescent="0.35">
      <c r="A641" s="1" t="str" cm="1">
        <f t="array" ref="A641">IF($H641="","",INDEX(tblFacturasRecibidas[Fecha factura],$H641))</f>
        <v/>
      </c>
      <c r="H641" t="str" cm="1">
        <f t="array" ref="H6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GASTOS],tblCategorias[Tipo],"")="Inversión")),ROWS($H$5:H641)),"")</f>
        <v/>
      </c>
    </row>
    <row r="642" spans="1:8" x14ac:dyDescent="0.35">
      <c r="A642" s="1" t="str" cm="1">
        <f t="array" ref="A642">IF($H642="","",INDEX(tblFacturasRecibidas[Fecha factura],$H642))</f>
        <v/>
      </c>
      <c r="H642" t="str" cm="1">
        <f t="array" ref="H6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GASTOS],tblCategorias[Tipo],"")="Inversión")),ROWS($H$5:H642)),"")</f>
        <v/>
      </c>
    </row>
    <row r="643" spans="1:8" x14ac:dyDescent="0.35">
      <c r="A643" s="1" t="str" cm="1">
        <f t="array" ref="A643">IF($H643="","",INDEX(tblFacturasRecibidas[Fecha factura],$H643))</f>
        <v/>
      </c>
      <c r="H643" t="str" cm="1">
        <f t="array" ref="H6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GASTOS],tblCategorias[Tipo],"")="Inversión")),ROWS($H$5:H643)),"")</f>
        <v/>
      </c>
    </row>
    <row r="644" spans="1:8" x14ac:dyDescent="0.35">
      <c r="A644" s="1" t="str" cm="1">
        <f t="array" ref="A644">IF($H644="","",INDEX(tblFacturasRecibidas[Fecha factura],$H644))</f>
        <v/>
      </c>
      <c r="H644" t="str" cm="1">
        <f t="array" ref="H6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GASTOS],tblCategorias[Tipo],"")="Inversión")),ROWS($H$5:H644)),"")</f>
        <v/>
      </c>
    </row>
    <row r="645" spans="1:8" x14ac:dyDescent="0.35">
      <c r="A645" s="1" t="str" cm="1">
        <f t="array" ref="A645">IF($H645="","",INDEX(tblFacturasRecibidas[Fecha factura],$H645))</f>
        <v/>
      </c>
      <c r="H645" t="str" cm="1">
        <f t="array" ref="H6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GASTOS],tblCategorias[Tipo],"")="Inversión")),ROWS($H$5:H645)),"")</f>
        <v/>
      </c>
    </row>
    <row r="646" spans="1:8" x14ac:dyDescent="0.35">
      <c r="A646" s="1" t="str" cm="1">
        <f t="array" ref="A646">IF($H646="","",INDEX(tblFacturasRecibidas[Fecha factura],$H646))</f>
        <v/>
      </c>
      <c r="H646" t="str" cm="1">
        <f t="array" ref="H6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GASTOS],tblCategorias[Tipo],"")="Inversión")),ROWS($H$5:H646)),"")</f>
        <v/>
      </c>
    </row>
    <row r="647" spans="1:8" x14ac:dyDescent="0.35">
      <c r="A647" s="1" t="str" cm="1">
        <f t="array" ref="A647">IF($H647="","",INDEX(tblFacturasRecibidas[Fecha factura],$H647))</f>
        <v/>
      </c>
      <c r="H647" t="str" cm="1">
        <f t="array" ref="H6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GASTOS],tblCategorias[Tipo],"")="Inversión")),ROWS($H$5:H647)),"")</f>
        <v/>
      </c>
    </row>
    <row r="648" spans="1:8" x14ac:dyDescent="0.35">
      <c r="A648" s="1" t="str" cm="1">
        <f t="array" ref="A648">IF($H648="","",INDEX(tblFacturasRecibidas[Fecha factura],$H648))</f>
        <v/>
      </c>
      <c r="H648" t="str" cm="1">
        <f t="array" ref="H6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GASTOS],tblCategorias[Tipo],"")="Inversión")),ROWS($H$5:H648)),"")</f>
        <v/>
      </c>
    </row>
    <row r="649" spans="1:8" x14ac:dyDescent="0.35">
      <c r="A649" s="1" t="str" cm="1">
        <f t="array" ref="A649">IF($H649="","",INDEX(tblFacturasRecibidas[Fecha factura],$H649))</f>
        <v/>
      </c>
      <c r="H649" t="str" cm="1">
        <f t="array" ref="H6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GASTOS],tblCategorias[Tipo],"")="Inversión")),ROWS($H$5:H649)),"")</f>
        <v/>
      </c>
    </row>
    <row r="650" spans="1:8" x14ac:dyDescent="0.35">
      <c r="A650" s="1" t="str" cm="1">
        <f t="array" ref="A650">IF($H650="","",INDEX(tblFacturasRecibidas[Fecha factura],$H650))</f>
        <v/>
      </c>
      <c r="H650" t="str" cm="1">
        <f t="array" ref="H6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GASTOS],tblCategorias[Tipo],"")="Inversión")),ROWS($H$5:H650)),"")</f>
        <v/>
      </c>
    </row>
    <row r="651" spans="1:8" x14ac:dyDescent="0.35">
      <c r="A651" s="1" t="str" cm="1">
        <f t="array" ref="A651">IF($H651="","",INDEX(tblFacturasRecibidas[Fecha factura],$H651))</f>
        <v/>
      </c>
      <c r="H651" t="str" cm="1">
        <f t="array" ref="H6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GASTOS],tblCategorias[Tipo],"")="Inversión")),ROWS($H$5:H651)),"")</f>
        <v/>
      </c>
    </row>
    <row r="652" spans="1:8" x14ac:dyDescent="0.35">
      <c r="A652" s="1" t="str" cm="1">
        <f t="array" ref="A652">IF($H652="","",INDEX(tblFacturasRecibidas[Fecha factura],$H652))</f>
        <v/>
      </c>
      <c r="H652" t="str" cm="1">
        <f t="array" ref="H6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GASTOS],tblCategorias[Tipo],"")="Inversión")),ROWS($H$5:H652)),"")</f>
        <v/>
      </c>
    </row>
    <row r="653" spans="1:8" x14ac:dyDescent="0.35">
      <c r="A653" s="1" t="str" cm="1">
        <f t="array" ref="A653">IF($H653="","",INDEX(tblFacturasRecibidas[Fecha factura],$H653))</f>
        <v/>
      </c>
      <c r="H653" t="str" cm="1">
        <f t="array" ref="H6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GASTOS],tblCategorias[Tipo],"")="Inversión")),ROWS($H$5:H653)),"")</f>
        <v/>
      </c>
    </row>
    <row r="654" spans="1:8" x14ac:dyDescent="0.35">
      <c r="A654" s="1" t="str" cm="1">
        <f t="array" ref="A654">IF($H654="","",INDEX(tblFacturasRecibidas[Fecha factura],$H654))</f>
        <v/>
      </c>
      <c r="H654" t="str" cm="1">
        <f t="array" ref="H6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GASTOS],tblCategorias[Tipo],"")="Inversión")),ROWS($H$5:H654)),"")</f>
        <v/>
      </c>
    </row>
    <row r="655" spans="1:8" x14ac:dyDescent="0.35">
      <c r="A655" s="1" t="str" cm="1">
        <f t="array" ref="A655">IF($H655="","",INDEX(tblFacturasRecibidas[Fecha factura],$H655))</f>
        <v/>
      </c>
      <c r="H655" t="str" cm="1">
        <f t="array" ref="H6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GASTOS],tblCategorias[Tipo],"")="Inversión")),ROWS($H$5:H655)),"")</f>
        <v/>
      </c>
    </row>
    <row r="656" spans="1:8" x14ac:dyDescent="0.35">
      <c r="A656" s="1" t="str" cm="1">
        <f t="array" ref="A656">IF($H656="","",INDEX(tblFacturasRecibidas[Fecha factura],$H656))</f>
        <v/>
      </c>
      <c r="H656" t="str" cm="1">
        <f t="array" ref="H6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GASTOS],tblCategorias[Tipo],"")="Inversión")),ROWS($H$5:H656)),"")</f>
        <v/>
      </c>
    </row>
    <row r="657" spans="1:8" x14ac:dyDescent="0.35">
      <c r="A657" s="1" t="str" cm="1">
        <f t="array" ref="A657">IF($H657="","",INDEX(tblFacturasRecibidas[Fecha factura],$H657))</f>
        <v/>
      </c>
      <c r="H657" t="str" cm="1">
        <f t="array" ref="H6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GASTOS],tblCategorias[Tipo],"")="Inversión")),ROWS($H$5:H657)),"")</f>
        <v/>
      </c>
    </row>
    <row r="658" spans="1:8" x14ac:dyDescent="0.35">
      <c r="A658" s="1" t="str" cm="1">
        <f t="array" ref="A658">IF($H658="","",INDEX(tblFacturasRecibidas[Fecha factura],$H658))</f>
        <v/>
      </c>
      <c r="H658" t="str" cm="1">
        <f t="array" ref="H6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GASTOS],tblCategorias[Tipo],"")="Inversión")),ROWS($H$5:H658)),"")</f>
        <v/>
      </c>
    </row>
    <row r="659" spans="1:8" x14ac:dyDescent="0.35">
      <c r="A659" s="1" t="str" cm="1">
        <f t="array" ref="A659">IF($H659="","",INDEX(tblFacturasRecibidas[Fecha factura],$H659))</f>
        <v/>
      </c>
      <c r="H659" t="str" cm="1">
        <f t="array" ref="H6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GASTOS],tblCategorias[Tipo],"")="Inversión")),ROWS($H$5:H659)),"")</f>
        <v/>
      </c>
    </row>
    <row r="660" spans="1:8" x14ac:dyDescent="0.35">
      <c r="A660" s="1" t="str" cm="1">
        <f t="array" ref="A660">IF($H660="","",INDEX(tblFacturasRecibidas[Fecha factura],$H660))</f>
        <v/>
      </c>
      <c r="H660" t="str" cm="1">
        <f t="array" ref="H6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GASTOS],tblCategorias[Tipo],"")="Inversión")),ROWS($H$5:H660)),"")</f>
        <v/>
      </c>
    </row>
    <row r="661" spans="1:8" x14ac:dyDescent="0.35">
      <c r="A661" s="1" t="str" cm="1">
        <f t="array" ref="A661">IF($H661="","",INDEX(tblFacturasRecibidas[Fecha factura],$H661))</f>
        <v/>
      </c>
      <c r="H661" t="str" cm="1">
        <f t="array" ref="H6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GASTOS],tblCategorias[Tipo],"")="Inversión")),ROWS($H$5:H661)),"")</f>
        <v/>
      </c>
    </row>
    <row r="662" spans="1:8" x14ac:dyDescent="0.35">
      <c r="A662" s="1" t="str" cm="1">
        <f t="array" ref="A662">IF($H662="","",INDEX(tblFacturasRecibidas[Fecha factura],$H662))</f>
        <v/>
      </c>
      <c r="H662" t="str" cm="1">
        <f t="array" ref="H6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GASTOS],tblCategorias[Tipo],"")="Inversión")),ROWS($H$5:H662)),"")</f>
        <v/>
      </c>
    </row>
    <row r="663" spans="1:8" x14ac:dyDescent="0.35">
      <c r="A663" s="1" t="str" cm="1">
        <f t="array" ref="A663">IF($H663="","",INDEX(tblFacturasRecibidas[Fecha factura],$H663))</f>
        <v/>
      </c>
      <c r="H663" t="str" cm="1">
        <f t="array" ref="H6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GASTOS],tblCategorias[Tipo],"")="Inversión")),ROWS($H$5:H663)),"")</f>
        <v/>
      </c>
    </row>
    <row r="664" spans="1:8" x14ac:dyDescent="0.35">
      <c r="A664" s="1" t="str" cm="1">
        <f t="array" ref="A664">IF($H664="","",INDEX(tblFacturasRecibidas[Fecha factura],$H664))</f>
        <v/>
      </c>
      <c r="H664" t="str" cm="1">
        <f t="array" ref="H6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GASTOS],tblCategorias[Tipo],"")="Inversión")),ROWS($H$5:H664)),"")</f>
        <v/>
      </c>
    </row>
    <row r="665" spans="1:8" x14ac:dyDescent="0.35">
      <c r="A665" s="1" t="str" cm="1">
        <f t="array" ref="A665">IF($H665="","",INDEX(tblFacturasRecibidas[Fecha factura],$H665))</f>
        <v/>
      </c>
      <c r="H665" t="str" cm="1">
        <f t="array" ref="H6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GASTOS],tblCategorias[Tipo],"")="Inversión")),ROWS($H$5:H665)),"")</f>
        <v/>
      </c>
    </row>
    <row r="666" spans="1:8" x14ac:dyDescent="0.35">
      <c r="A666" s="1" t="str" cm="1">
        <f t="array" ref="A666">IF($H666="","",INDEX(tblFacturasRecibidas[Fecha factura],$H666))</f>
        <v/>
      </c>
      <c r="H666" t="str" cm="1">
        <f t="array" ref="H6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GASTOS],tblCategorias[Tipo],"")="Inversión")),ROWS($H$5:H666)),"")</f>
        <v/>
      </c>
    </row>
    <row r="667" spans="1:8" x14ac:dyDescent="0.35">
      <c r="A667" s="1" t="str" cm="1">
        <f t="array" ref="A667">IF($H667="","",INDEX(tblFacturasRecibidas[Fecha factura],$H667))</f>
        <v/>
      </c>
      <c r="H667" t="str" cm="1">
        <f t="array" ref="H6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GASTOS],tblCategorias[Tipo],"")="Inversión")),ROWS($H$5:H667)),"")</f>
        <v/>
      </c>
    </row>
    <row r="668" spans="1:8" x14ac:dyDescent="0.35">
      <c r="A668" s="1" t="str" cm="1">
        <f t="array" ref="A668">IF($H668="","",INDEX(tblFacturasRecibidas[Fecha factura],$H668))</f>
        <v/>
      </c>
      <c r="H668" t="str" cm="1">
        <f t="array" ref="H6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GASTOS],tblCategorias[Tipo],"")="Inversión")),ROWS($H$5:H668)),"")</f>
        <v/>
      </c>
    </row>
    <row r="669" spans="1:8" x14ac:dyDescent="0.35">
      <c r="A669" s="1" t="str" cm="1">
        <f t="array" ref="A669">IF($H669="","",INDEX(tblFacturasRecibidas[Fecha factura],$H669))</f>
        <v/>
      </c>
      <c r="H669" t="str" cm="1">
        <f t="array" ref="H6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GASTOS],tblCategorias[Tipo],"")="Inversión")),ROWS($H$5:H669)),"")</f>
        <v/>
      </c>
    </row>
    <row r="670" spans="1:8" x14ac:dyDescent="0.35">
      <c r="A670" s="1" t="str" cm="1">
        <f t="array" ref="A670">IF($H670="","",INDEX(tblFacturasRecibidas[Fecha factura],$H670))</f>
        <v/>
      </c>
      <c r="H670" t="str" cm="1">
        <f t="array" ref="H6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GASTOS],tblCategorias[Tipo],"")="Inversión")),ROWS($H$5:H670)),"")</f>
        <v/>
      </c>
    </row>
    <row r="671" spans="1:8" x14ac:dyDescent="0.35">
      <c r="A671" s="1" t="str" cm="1">
        <f t="array" ref="A671">IF($H671="","",INDEX(tblFacturasRecibidas[Fecha factura],$H671))</f>
        <v/>
      </c>
      <c r="H671" t="str" cm="1">
        <f t="array" ref="H6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GASTOS],tblCategorias[Tipo],"")="Inversión")),ROWS($H$5:H671)),"")</f>
        <v/>
      </c>
    </row>
    <row r="672" spans="1:8" x14ac:dyDescent="0.35">
      <c r="A672" s="1" t="str" cm="1">
        <f t="array" ref="A672">IF($H672="","",INDEX(tblFacturasRecibidas[Fecha factura],$H672))</f>
        <v/>
      </c>
      <c r="H672" t="str" cm="1">
        <f t="array" ref="H6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GASTOS],tblCategorias[Tipo],"")="Inversión")),ROWS($H$5:H672)),"")</f>
        <v/>
      </c>
    </row>
    <row r="673" spans="1:8" x14ac:dyDescent="0.35">
      <c r="A673" s="1" t="str" cm="1">
        <f t="array" ref="A673">IF($H673="","",INDEX(tblFacturasRecibidas[Fecha factura],$H673))</f>
        <v/>
      </c>
      <c r="H673" t="str" cm="1">
        <f t="array" ref="H6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GASTOS],tblCategorias[Tipo],"")="Inversión")),ROWS($H$5:H673)),"")</f>
        <v/>
      </c>
    </row>
    <row r="674" spans="1:8" x14ac:dyDescent="0.35">
      <c r="A674" s="1" t="str" cm="1">
        <f t="array" ref="A674">IF($H674="","",INDEX(tblFacturasRecibidas[Fecha factura],$H674))</f>
        <v/>
      </c>
      <c r="H674" t="str" cm="1">
        <f t="array" ref="H6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GASTOS],tblCategorias[Tipo],"")="Inversión")),ROWS($H$5:H674)),"")</f>
        <v/>
      </c>
    </row>
    <row r="675" spans="1:8" x14ac:dyDescent="0.35">
      <c r="A675" s="1" t="str" cm="1">
        <f t="array" ref="A675">IF($H675="","",INDEX(tblFacturasRecibidas[Fecha factura],$H675))</f>
        <v/>
      </c>
      <c r="H675" t="str" cm="1">
        <f t="array" ref="H6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GASTOS],tblCategorias[Tipo],"")="Inversión")),ROWS($H$5:H675)),"")</f>
        <v/>
      </c>
    </row>
    <row r="676" spans="1:8" x14ac:dyDescent="0.35">
      <c r="A676" s="1" t="str" cm="1">
        <f t="array" ref="A676">IF($H676="","",INDEX(tblFacturasRecibidas[Fecha factura],$H676))</f>
        <v/>
      </c>
      <c r="H676" t="str" cm="1">
        <f t="array" ref="H6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GASTOS],tblCategorias[Tipo],"")="Inversión")),ROWS($H$5:H676)),"")</f>
        <v/>
      </c>
    </row>
    <row r="677" spans="1:8" x14ac:dyDescent="0.35">
      <c r="A677" s="1" t="str" cm="1">
        <f t="array" ref="A677">IF($H677="","",INDEX(tblFacturasRecibidas[Fecha factura],$H677))</f>
        <v/>
      </c>
      <c r="H677" t="str" cm="1">
        <f t="array" ref="H6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GASTOS],tblCategorias[Tipo],"")="Inversión")),ROWS($H$5:H677)),"")</f>
        <v/>
      </c>
    </row>
    <row r="678" spans="1:8" x14ac:dyDescent="0.35">
      <c r="A678" s="1" t="str" cm="1">
        <f t="array" ref="A678">IF($H678="","",INDEX(tblFacturasRecibidas[Fecha factura],$H678))</f>
        <v/>
      </c>
      <c r="H678" t="str" cm="1">
        <f t="array" ref="H6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GASTOS],tblCategorias[Tipo],"")="Inversión")),ROWS($H$5:H678)),"")</f>
        <v/>
      </c>
    </row>
    <row r="679" spans="1:8" x14ac:dyDescent="0.35">
      <c r="A679" s="1" t="str" cm="1">
        <f t="array" ref="A679">IF($H679="","",INDEX(tblFacturasRecibidas[Fecha factura],$H679))</f>
        <v/>
      </c>
      <c r="H679" t="str" cm="1">
        <f t="array" ref="H6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GASTOS],tblCategorias[Tipo],"")="Inversión")),ROWS($H$5:H679)),"")</f>
        <v/>
      </c>
    </row>
    <row r="680" spans="1:8" x14ac:dyDescent="0.35">
      <c r="A680" s="1" t="str" cm="1">
        <f t="array" ref="A680">IF($H680="","",INDEX(tblFacturasRecibidas[Fecha factura],$H680))</f>
        <v/>
      </c>
    </row>
    <row r="681" spans="1:8" x14ac:dyDescent="0.35">
      <c r="A681" s="1" t="str" cm="1">
        <f t="array" ref="A681">IF($H681="","",INDEX(tblFacturasRecibidas[Fecha factura],$H681))</f>
        <v/>
      </c>
    </row>
    <row r="682" spans="1:8" x14ac:dyDescent="0.35">
      <c r="A682" s="1" t="str" cm="1">
        <f t="array" ref="A682">IF($H682="","",INDEX(tblFacturasRecibidas[Fecha factura],$H682))</f>
        <v/>
      </c>
    </row>
    <row r="683" spans="1:8" x14ac:dyDescent="0.35">
      <c r="A683" s="1" t="str" cm="1">
        <f t="array" ref="A683">IF($H683="","",INDEX(tblFacturasRecibidas[Fecha factura],$H683))</f>
        <v/>
      </c>
    </row>
  </sheetData>
  <conditionalFormatting sqref="I1">
    <cfRule type="cellIs" dxfId="1" priority="1" operator="equal">
      <formula>"NO"</formula>
    </cfRule>
    <cfRule type="cellIs" dxfId="0" priority="2" operator="equal">
      <formula>"SI"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AD32B5-8D9A-4A99-BE0D-7A135EC40257}">
          <x14:formula1>
            <xm:f>'99_Listas'!$C$2:$C$6</xm:f>
          </x14:formula1>
          <xm:sqref>B1:C1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06199-6F55-41FE-9F6A-447BDF833700}">
  <sheetPr codeName="Hoja14"/>
  <dimension ref="A1:H6"/>
  <sheetViews>
    <sheetView zoomScale="98" workbookViewId="0">
      <selection activeCell="E7" sqref="E7"/>
    </sheetView>
  </sheetViews>
  <sheetFormatPr baseColWidth="10" defaultColWidth="11.453125" defaultRowHeight="14.5" x14ac:dyDescent="0.35"/>
  <cols>
    <col min="1" max="1" width="18.54296875" bestFit="1" customWidth="1"/>
    <col min="2" max="2" width="19.81640625" bestFit="1" customWidth="1"/>
    <col min="3" max="3" width="20.453125" bestFit="1" customWidth="1"/>
    <col min="4" max="4" width="17.54296875" style="1" bestFit="1" customWidth="1"/>
    <col min="5" max="5" width="15.453125" bestFit="1" customWidth="1"/>
    <col min="6" max="6" width="13.1796875" bestFit="1" customWidth="1"/>
    <col min="7" max="7" width="15" style="1" bestFit="1" customWidth="1"/>
    <col min="8" max="8" width="15.26953125" bestFit="1" customWidth="1"/>
  </cols>
  <sheetData>
    <row r="1" spans="1:8" x14ac:dyDescent="0.35">
      <c r="A1" t="s">
        <v>693</v>
      </c>
      <c r="B1" t="s">
        <v>3</v>
      </c>
      <c r="C1" t="s">
        <v>249</v>
      </c>
      <c r="D1" s="1" t="s">
        <v>694</v>
      </c>
      <c r="E1" t="s">
        <v>695</v>
      </c>
      <c r="F1" t="s">
        <v>696</v>
      </c>
      <c r="G1" s="1" t="s">
        <v>697</v>
      </c>
      <c r="H1" t="s">
        <v>44</v>
      </c>
    </row>
    <row r="2" spans="1:8" x14ac:dyDescent="0.35">
      <c r="A2" t="s">
        <v>698</v>
      </c>
      <c r="B2" t="s">
        <v>334</v>
      </c>
      <c r="C2" t="s">
        <v>254</v>
      </c>
      <c r="D2" s="1">
        <v>46259</v>
      </c>
      <c r="F2" t="str">
        <f>IF(tblMantenimientos[[#This Row],[Tipo]]="Cambio de aceite",tblMantenimientos[[#This Row],[Km realizacion]]+'99_Config'!$B$6,"")</f>
        <v/>
      </c>
      <c r="G2" s="1">
        <f>IF(tblMantenimientos[[#This Row],[Tipo]]="ITV",EDATE(tblMantenimientos[[#This Row],[Fecha realización]],6),"")</f>
        <v>46443</v>
      </c>
    </row>
    <row r="3" spans="1:8" x14ac:dyDescent="0.35">
      <c r="A3" t="s">
        <v>699</v>
      </c>
      <c r="B3" t="s">
        <v>13</v>
      </c>
      <c r="C3" t="s">
        <v>700</v>
      </c>
      <c r="F3" t="str">
        <f>IF(tblMantenimientos[[#This Row],[Tipo]]="Cambio de aceite",tblMantenimientos[[#This Row],[Km realizacion]]+'99_Config'!$B$6,"")</f>
        <v/>
      </c>
      <c r="G3" s="1" t="str">
        <f>IF(tblMantenimientos[[#This Row],[Tipo]]="ITV",EDATE(tblMantenimientos[[#This Row],[Fecha realización]],6),"")</f>
        <v/>
      </c>
    </row>
    <row r="4" spans="1:8" x14ac:dyDescent="0.35">
      <c r="A4" t="s">
        <v>701</v>
      </c>
      <c r="B4" t="s">
        <v>13</v>
      </c>
      <c r="C4" t="s">
        <v>259</v>
      </c>
      <c r="D4" s="1">
        <v>46188</v>
      </c>
      <c r="F4" t="str">
        <f>IF(tblMantenimientos[[#This Row],[Tipo]]="Cambio de aceite",tblMantenimientos[[#This Row],[Km realizacion]]+'99_Config'!$B$6,"")</f>
        <v/>
      </c>
      <c r="G4" s="1">
        <v>46296</v>
      </c>
    </row>
    <row r="5" spans="1:8" x14ac:dyDescent="0.35">
      <c r="A5" t="s">
        <v>702</v>
      </c>
      <c r="B5" t="s">
        <v>13</v>
      </c>
      <c r="C5" t="s">
        <v>254</v>
      </c>
      <c r="D5" s="1">
        <v>46109</v>
      </c>
      <c r="E5">
        <v>612401</v>
      </c>
      <c r="F5" t="str">
        <f>IF(tblMantenimientos[[#This Row],[Tipo]]="Cambio de aceite",tblMantenimientos[[#This Row],[Km realizacion]]+'99_Config'!$B$6,"")</f>
        <v/>
      </c>
      <c r="G5" s="1">
        <f>IF(tblMantenimientos[[#This Row],[Tipo]]="ITV",EDATE(tblMantenimientos[[#This Row],[Fecha realización]],6),"")</f>
        <v>46293</v>
      </c>
    </row>
    <row r="6" spans="1:8" x14ac:dyDescent="0.35">
      <c r="A6" t="s">
        <v>703</v>
      </c>
      <c r="B6" t="s">
        <v>13</v>
      </c>
      <c r="C6" t="s">
        <v>307</v>
      </c>
      <c r="D6" s="1">
        <v>46243</v>
      </c>
      <c r="E6">
        <v>627481</v>
      </c>
      <c r="F6">
        <f>IF(tblMantenimientos[[#This Row],[Tipo]]="Cambio de aceite",tblMantenimientos[[#This Row],[Km realizacion]]+'99_Config'!$B$6,"")</f>
        <v>642481</v>
      </c>
      <c r="G6" s="1" t="str">
        <f>IF(tblMantenimientos[[#This Row],[Tipo]]="ITV",EDATE(tblMantenimientos[[#This Row],[Fecha realización]],6),"")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NuevoMantenimiento.NuevoMantenimiento">
                <anchor moveWithCells="1" sizeWithCells="1">
                  <from>
                    <xdr:col>9</xdr:col>
                    <xdr:colOff>12700</xdr:colOff>
                    <xdr:row>1</xdr:row>
                    <xdr:rowOff>12700</xdr:rowOff>
                  </from>
                  <to>
                    <xdr:col>11</xdr:col>
                    <xdr:colOff>736600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A662DFD-3174-4ECA-9ADF-F122A66B225D}">
          <x14:formula1>
            <xm:f>'99_Listas'!$C$2:$C$6</xm:f>
          </x14:formula1>
          <xm:sqref>B2:B6</xm:sqref>
        </x14:dataValidation>
        <x14:dataValidation type="list" allowBlank="1" showInputMessage="1" showErrorMessage="1" xr:uid="{E93E8756-9F29-4292-9A2D-A1949A053E25}">
          <x14:formula1>
            <xm:f>'99_Listas'!$X$2:$X$7</xm:f>
          </x14:formula1>
          <xm:sqref>C2:C6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F293-C7F3-44DE-88F2-37923ADD71A4}">
  <sheetPr codeName="Hoja4"/>
  <dimension ref="A1:X32"/>
  <sheetViews>
    <sheetView topLeftCell="F1" zoomScale="93" workbookViewId="0">
      <selection activeCell="J5" sqref="J5"/>
    </sheetView>
  </sheetViews>
  <sheetFormatPr baseColWidth="10" defaultColWidth="8.7265625" defaultRowHeight="14.5" x14ac:dyDescent="0.35"/>
  <cols>
    <col min="1" max="1" width="12.453125" bestFit="1" customWidth="1"/>
    <col min="2" max="2" width="26.1796875" bestFit="1" customWidth="1"/>
    <col min="3" max="3" width="20.54296875" bestFit="1" customWidth="1"/>
    <col min="4" max="4" width="26.453125" bestFit="1" customWidth="1"/>
    <col min="5" max="5" width="16.54296875" bestFit="1" customWidth="1"/>
    <col min="6" max="6" width="19.81640625" bestFit="1" customWidth="1"/>
    <col min="7" max="7" width="14.453125" customWidth="1"/>
    <col min="8" max="8" width="19" bestFit="1" customWidth="1"/>
    <col min="9" max="9" width="18.54296875" customWidth="1"/>
    <col min="10" max="10" width="34.453125" bestFit="1" customWidth="1"/>
    <col min="11" max="11" width="24.7265625" bestFit="1" customWidth="1"/>
    <col min="12" max="12" width="11.54296875" bestFit="1" customWidth="1"/>
    <col min="13" max="13" width="11.26953125" bestFit="1" customWidth="1"/>
    <col min="14" max="14" width="17.1796875" customWidth="1"/>
    <col min="15" max="15" width="17.453125" bestFit="1" customWidth="1"/>
    <col min="16" max="16" width="17.453125" customWidth="1"/>
    <col min="17" max="17" width="13" customWidth="1"/>
    <col min="18" max="18" width="13" bestFit="1" customWidth="1"/>
    <col min="19" max="19" width="9.7265625" bestFit="1" customWidth="1"/>
    <col min="20" max="20" width="11.26953125" bestFit="1" customWidth="1"/>
    <col min="21" max="21" width="25.453125" bestFit="1" customWidth="1"/>
    <col min="22" max="22" width="15" bestFit="1" customWidth="1"/>
    <col min="23" max="23" width="22.453125" customWidth="1"/>
    <col min="24" max="24" width="23.1796875" customWidth="1"/>
  </cols>
  <sheetData>
    <row r="1" spans="1:24" x14ac:dyDescent="0.35">
      <c r="A1" t="s">
        <v>704</v>
      </c>
      <c r="B1" t="s">
        <v>705</v>
      </c>
      <c r="C1" t="s">
        <v>706</v>
      </c>
      <c r="D1" t="s">
        <v>707</v>
      </c>
      <c r="E1" t="s">
        <v>708</v>
      </c>
      <c r="F1" t="s">
        <v>709</v>
      </c>
      <c r="G1" t="s">
        <v>710</v>
      </c>
      <c r="H1" t="s">
        <v>711</v>
      </c>
      <c r="I1" t="s">
        <v>712</v>
      </c>
      <c r="J1" t="s">
        <v>713</v>
      </c>
      <c r="K1" t="s">
        <v>714</v>
      </c>
      <c r="L1" t="s">
        <v>249</v>
      </c>
      <c r="M1" t="s">
        <v>715</v>
      </c>
      <c r="N1" t="s">
        <v>313</v>
      </c>
      <c r="O1" t="s">
        <v>716</v>
      </c>
      <c r="P1" t="s">
        <v>717</v>
      </c>
      <c r="Q1" t="s">
        <v>718</v>
      </c>
      <c r="R1" t="s">
        <v>719</v>
      </c>
      <c r="S1" t="s">
        <v>720</v>
      </c>
      <c r="T1" t="s">
        <v>721</v>
      </c>
      <c r="U1" t="s">
        <v>705</v>
      </c>
      <c r="V1" t="s">
        <v>722</v>
      </c>
      <c r="W1" t="s">
        <v>723</v>
      </c>
      <c r="X1" t="s">
        <v>724</v>
      </c>
    </row>
    <row r="2" spans="1:24" x14ac:dyDescent="0.35">
      <c r="A2" t="s">
        <v>49</v>
      </c>
      <c r="B2" t="s">
        <v>31</v>
      </c>
      <c r="C2" t="s">
        <v>623</v>
      </c>
      <c r="D2" t="s">
        <v>14</v>
      </c>
      <c r="E2" t="s">
        <v>46</v>
      </c>
      <c r="F2" t="s">
        <v>211</v>
      </c>
      <c r="G2" t="s">
        <v>322</v>
      </c>
      <c r="H2" t="s">
        <v>323</v>
      </c>
      <c r="I2" t="s">
        <v>324</v>
      </c>
      <c r="J2" t="s">
        <v>510</v>
      </c>
      <c r="K2" t="s">
        <v>256</v>
      </c>
      <c r="L2" t="s">
        <v>725</v>
      </c>
      <c r="M2" t="s">
        <v>389</v>
      </c>
      <c r="N2" s="4">
        <v>0.21</v>
      </c>
      <c r="O2" t="s">
        <v>328</v>
      </c>
      <c r="P2" t="s">
        <v>726</v>
      </c>
      <c r="Q2">
        <v>2026</v>
      </c>
      <c r="R2" t="s">
        <v>726</v>
      </c>
      <c r="S2">
        <v>0</v>
      </c>
      <c r="T2" t="s">
        <v>146</v>
      </c>
      <c r="U2" t="s">
        <v>31</v>
      </c>
      <c r="V2">
        <v>40</v>
      </c>
      <c r="W2" t="s">
        <v>727</v>
      </c>
      <c r="X2" t="s">
        <v>307</v>
      </c>
    </row>
    <row r="3" spans="1:24" x14ac:dyDescent="0.35">
      <c r="A3" t="s">
        <v>122</v>
      </c>
      <c r="B3" t="s">
        <v>22</v>
      </c>
      <c r="C3" t="s">
        <v>395</v>
      </c>
      <c r="D3" t="s">
        <v>23</v>
      </c>
      <c r="F3" t="s">
        <v>47</v>
      </c>
      <c r="G3" t="s">
        <v>349</v>
      </c>
      <c r="H3" t="s">
        <v>728</v>
      </c>
      <c r="I3" t="s">
        <v>328</v>
      </c>
      <c r="J3" t="s">
        <v>448</v>
      </c>
      <c r="K3" t="s">
        <v>729</v>
      </c>
      <c r="L3" t="s">
        <v>725</v>
      </c>
      <c r="M3" t="s">
        <v>400</v>
      </c>
      <c r="N3" s="4">
        <v>0.1</v>
      </c>
      <c r="O3" t="s">
        <v>399</v>
      </c>
      <c r="P3">
        <v>1</v>
      </c>
      <c r="Q3">
        <v>2027</v>
      </c>
      <c r="R3" t="s">
        <v>730</v>
      </c>
      <c r="S3">
        <v>1</v>
      </c>
      <c r="T3" t="s">
        <v>731</v>
      </c>
      <c r="U3" t="s">
        <v>12</v>
      </c>
      <c r="V3">
        <v>180</v>
      </c>
      <c r="W3" t="s">
        <v>676</v>
      </c>
      <c r="X3" t="s">
        <v>254</v>
      </c>
    </row>
    <row r="4" spans="1:24" x14ac:dyDescent="0.35">
      <c r="A4" t="s">
        <v>732</v>
      </c>
      <c r="B4" t="s">
        <v>18</v>
      </c>
      <c r="C4" t="s">
        <v>404</v>
      </c>
      <c r="D4" t="s">
        <v>28</v>
      </c>
      <c r="F4" t="s">
        <v>243</v>
      </c>
      <c r="G4" t="s">
        <v>733</v>
      </c>
      <c r="H4" t="s">
        <v>734</v>
      </c>
      <c r="I4" t="s">
        <v>373</v>
      </c>
      <c r="J4" t="s">
        <v>386</v>
      </c>
      <c r="K4" t="s">
        <v>394</v>
      </c>
      <c r="L4" t="s">
        <v>735</v>
      </c>
      <c r="N4" s="4">
        <v>0.04</v>
      </c>
      <c r="O4" t="s">
        <v>527</v>
      </c>
      <c r="P4">
        <v>2</v>
      </c>
      <c r="Q4">
        <v>2028</v>
      </c>
      <c r="R4" t="s">
        <v>736</v>
      </c>
      <c r="S4">
        <v>2</v>
      </c>
      <c r="T4" t="s">
        <v>82</v>
      </c>
      <c r="U4" t="s">
        <v>16</v>
      </c>
      <c r="V4">
        <v>120</v>
      </c>
      <c r="W4" t="s">
        <v>679</v>
      </c>
      <c r="X4" t="s">
        <v>259</v>
      </c>
    </row>
    <row r="5" spans="1:24" x14ac:dyDescent="0.35">
      <c r="A5" t="s">
        <v>737</v>
      </c>
      <c r="B5" t="s">
        <v>24</v>
      </c>
      <c r="C5" t="s">
        <v>334</v>
      </c>
      <c r="D5" t="s">
        <v>17</v>
      </c>
      <c r="F5" t="s">
        <v>228</v>
      </c>
      <c r="G5" t="s">
        <v>421</v>
      </c>
      <c r="J5" t="s">
        <v>428</v>
      </c>
      <c r="K5" t="s">
        <v>526</v>
      </c>
      <c r="L5" t="s">
        <v>725</v>
      </c>
      <c r="N5" t="s">
        <v>390</v>
      </c>
      <c r="O5" t="s">
        <v>373</v>
      </c>
      <c r="P5">
        <v>3</v>
      </c>
      <c r="Q5">
        <v>2029</v>
      </c>
      <c r="R5" t="s">
        <v>738</v>
      </c>
      <c r="S5">
        <v>3</v>
      </c>
      <c r="T5" t="s">
        <v>739</v>
      </c>
      <c r="U5" t="s">
        <v>26</v>
      </c>
      <c r="V5">
        <v>60</v>
      </c>
      <c r="X5" t="s">
        <v>700</v>
      </c>
    </row>
    <row r="6" spans="1:24" x14ac:dyDescent="0.35">
      <c r="B6" t="s">
        <v>15</v>
      </c>
      <c r="C6" t="s">
        <v>13</v>
      </c>
      <c r="F6" t="s">
        <v>225</v>
      </c>
      <c r="G6" t="s">
        <v>372</v>
      </c>
      <c r="J6" t="s">
        <v>443</v>
      </c>
      <c r="K6" t="s">
        <v>740</v>
      </c>
      <c r="L6" t="s">
        <v>725</v>
      </c>
      <c r="P6">
        <v>4</v>
      </c>
      <c r="Q6">
        <v>2030</v>
      </c>
      <c r="R6" t="s">
        <v>741</v>
      </c>
      <c r="S6">
        <v>4</v>
      </c>
      <c r="T6" t="s">
        <v>742</v>
      </c>
      <c r="U6" t="s">
        <v>15</v>
      </c>
      <c r="V6">
        <v>160</v>
      </c>
      <c r="X6" t="s">
        <v>743</v>
      </c>
    </row>
    <row r="7" spans="1:24" x14ac:dyDescent="0.35">
      <c r="B7" t="s">
        <v>744</v>
      </c>
      <c r="F7" t="s">
        <v>221</v>
      </c>
      <c r="G7" t="s">
        <v>327</v>
      </c>
      <c r="J7" t="s">
        <v>409</v>
      </c>
      <c r="K7" t="s">
        <v>441</v>
      </c>
      <c r="L7" t="s">
        <v>725</v>
      </c>
      <c r="R7" t="s">
        <v>745</v>
      </c>
      <c r="S7">
        <v>5</v>
      </c>
      <c r="T7" t="s">
        <v>746</v>
      </c>
      <c r="X7" t="s">
        <v>747</v>
      </c>
    </row>
    <row r="8" spans="1:24" x14ac:dyDescent="0.35">
      <c r="B8" t="s">
        <v>16</v>
      </c>
      <c r="F8" t="s">
        <v>218</v>
      </c>
      <c r="G8" t="s">
        <v>748</v>
      </c>
      <c r="J8" t="s">
        <v>563</v>
      </c>
      <c r="K8" t="s">
        <v>565</v>
      </c>
      <c r="L8" t="s">
        <v>725</v>
      </c>
      <c r="R8" t="s">
        <v>749</v>
      </c>
      <c r="S8">
        <v>6</v>
      </c>
      <c r="T8" t="s">
        <v>157</v>
      </c>
    </row>
    <row r="9" spans="1:24" x14ac:dyDescent="0.35">
      <c r="B9" t="s">
        <v>12</v>
      </c>
      <c r="F9" t="s">
        <v>237</v>
      </c>
      <c r="G9" t="s">
        <v>750</v>
      </c>
      <c r="J9" t="s">
        <v>553</v>
      </c>
      <c r="K9" t="s">
        <v>254</v>
      </c>
      <c r="L9" t="s">
        <v>725</v>
      </c>
      <c r="R9" t="s">
        <v>751</v>
      </c>
      <c r="S9">
        <v>7</v>
      </c>
    </row>
    <row r="10" spans="1:24" x14ac:dyDescent="0.35">
      <c r="F10" t="s">
        <v>232</v>
      </c>
      <c r="J10" t="s">
        <v>489</v>
      </c>
      <c r="K10" t="s">
        <v>752</v>
      </c>
      <c r="L10" t="s">
        <v>725</v>
      </c>
      <c r="R10" t="s">
        <v>650</v>
      </c>
      <c r="S10">
        <v>8</v>
      </c>
    </row>
    <row r="11" spans="1:24" x14ac:dyDescent="0.35">
      <c r="J11" t="s">
        <v>581</v>
      </c>
      <c r="K11" t="s">
        <v>753</v>
      </c>
      <c r="L11" t="s">
        <v>725</v>
      </c>
      <c r="R11" t="s">
        <v>247</v>
      </c>
      <c r="S11">
        <v>9</v>
      </c>
    </row>
    <row r="12" spans="1:24" x14ac:dyDescent="0.35">
      <c r="J12" t="s">
        <v>524</v>
      </c>
      <c r="K12" t="s">
        <v>430</v>
      </c>
      <c r="L12" t="s">
        <v>725</v>
      </c>
      <c r="R12" t="s">
        <v>754</v>
      </c>
      <c r="S12">
        <v>10</v>
      </c>
    </row>
    <row r="13" spans="1:24" x14ac:dyDescent="0.35">
      <c r="J13" t="s">
        <v>600</v>
      </c>
      <c r="K13" t="s">
        <v>755</v>
      </c>
      <c r="L13" t="s">
        <v>725</v>
      </c>
      <c r="R13" t="s">
        <v>756</v>
      </c>
      <c r="S13">
        <v>11</v>
      </c>
    </row>
    <row r="14" spans="1:24" x14ac:dyDescent="0.35">
      <c r="J14" t="s">
        <v>596</v>
      </c>
      <c r="K14" t="s">
        <v>757</v>
      </c>
      <c r="L14" t="s">
        <v>725</v>
      </c>
      <c r="R14" t="s">
        <v>758</v>
      </c>
      <c r="S14">
        <v>12</v>
      </c>
    </row>
    <row r="15" spans="1:24" x14ac:dyDescent="0.35">
      <c r="J15" t="s">
        <v>604</v>
      </c>
      <c r="K15" t="s">
        <v>759</v>
      </c>
      <c r="L15" t="s">
        <v>760</v>
      </c>
    </row>
    <row r="16" spans="1:24" x14ac:dyDescent="0.35">
      <c r="J16" t="s">
        <v>414</v>
      </c>
      <c r="K16" t="s">
        <v>761</v>
      </c>
      <c r="L16" t="s">
        <v>725</v>
      </c>
    </row>
    <row r="17" spans="10:12" x14ac:dyDescent="0.35">
      <c r="J17" t="s">
        <v>556</v>
      </c>
      <c r="K17" t="s">
        <v>762</v>
      </c>
      <c r="L17" t="s">
        <v>725</v>
      </c>
    </row>
    <row r="18" spans="10:12" x14ac:dyDescent="0.35">
      <c r="J18" t="s">
        <v>500</v>
      </c>
      <c r="K18" t="s">
        <v>763</v>
      </c>
      <c r="L18" t="s">
        <v>725</v>
      </c>
    </row>
    <row r="19" spans="10:12" x14ac:dyDescent="0.35">
      <c r="J19" t="s">
        <v>493</v>
      </c>
      <c r="K19" t="s">
        <v>558</v>
      </c>
      <c r="L19" t="s">
        <v>735</v>
      </c>
    </row>
    <row r="20" spans="10:12" x14ac:dyDescent="0.35">
      <c r="J20" t="s">
        <v>608</v>
      </c>
      <c r="K20" t="s">
        <v>495</v>
      </c>
      <c r="L20" t="s">
        <v>735</v>
      </c>
    </row>
    <row r="21" spans="10:12" x14ac:dyDescent="0.35">
      <c r="J21" t="s">
        <v>611</v>
      </c>
      <c r="K21" t="s">
        <v>445</v>
      </c>
      <c r="L21" t="s">
        <v>735</v>
      </c>
    </row>
    <row r="22" spans="10:12" x14ac:dyDescent="0.35">
      <c r="J22" t="s">
        <v>632</v>
      </c>
      <c r="K22" t="s">
        <v>639</v>
      </c>
      <c r="L22" t="s">
        <v>735</v>
      </c>
    </row>
    <row r="23" spans="10:12" x14ac:dyDescent="0.35">
      <c r="J23" t="s">
        <v>505</v>
      </c>
      <c r="K23" t="s">
        <v>388</v>
      </c>
      <c r="L23" t="s">
        <v>735</v>
      </c>
    </row>
    <row r="24" spans="10:12" x14ac:dyDescent="0.35">
      <c r="J24" t="s">
        <v>521</v>
      </c>
      <c r="K24" t="s">
        <v>747</v>
      </c>
      <c r="L24" t="s">
        <v>725</v>
      </c>
    </row>
    <row r="25" spans="10:12" x14ac:dyDescent="0.35">
      <c r="J25" t="s">
        <v>530</v>
      </c>
    </row>
    <row r="26" spans="10:12" x14ac:dyDescent="0.35">
      <c r="J26" t="s">
        <v>402</v>
      </c>
    </row>
    <row r="27" spans="10:12" x14ac:dyDescent="0.35">
      <c r="J27" t="s">
        <v>474</v>
      </c>
    </row>
    <row r="28" spans="10:12" x14ac:dyDescent="0.35">
      <c r="J28" t="s">
        <v>550</v>
      </c>
    </row>
    <row r="29" spans="10:12" x14ac:dyDescent="0.35">
      <c r="J29" t="s">
        <v>421</v>
      </c>
    </row>
    <row r="30" spans="10:12" x14ac:dyDescent="0.35">
      <c r="J30" t="s">
        <v>392</v>
      </c>
    </row>
    <row r="31" spans="10:12" x14ac:dyDescent="0.35">
      <c r="J31" t="s">
        <v>764</v>
      </c>
    </row>
    <row r="32" spans="10:12" x14ac:dyDescent="0.35">
      <c r="J32" t="s">
        <v>621</v>
      </c>
    </row>
  </sheetData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D29F7-B162-4803-891A-5ABF8340157B}">
  <sheetPr codeName="Hoja5"/>
  <dimension ref="A1:B13"/>
  <sheetViews>
    <sheetView workbookViewId="0">
      <selection activeCell="B2" sqref="B2"/>
    </sheetView>
  </sheetViews>
  <sheetFormatPr baseColWidth="10" defaultColWidth="11.453125" defaultRowHeight="14.5" x14ac:dyDescent="0.35"/>
  <cols>
    <col min="1" max="1" width="24.54296875" bestFit="1" customWidth="1"/>
  </cols>
  <sheetData>
    <row r="1" spans="1:2" x14ac:dyDescent="0.35">
      <c r="A1" t="s">
        <v>765</v>
      </c>
      <c r="B1">
        <v>140</v>
      </c>
    </row>
    <row r="2" spans="1:2" x14ac:dyDescent="0.35">
      <c r="A2" t="s">
        <v>766</v>
      </c>
      <c r="B2">
        <v>46</v>
      </c>
    </row>
    <row r="3" spans="1:2" x14ac:dyDescent="0.35">
      <c r="A3" t="s">
        <v>767</v>
      </c>
      <c r="B3">
        <v>90</v>
      </c>
    </row>
    <row r="4" spans="1:2" x14ac:dyDescent="0.35">
      <c r="A4" t="s">
        <v>768</v>
      </c>
      <c r="B4">
        <v>3</v>
      </c>
    </row>
    <row r="5" spans="1:2" x14ac:dyDescent="0.35">
      <c r="A5" t="s">
        <v>769</v>
      </c>
      <c r="B5">
        <v>5</v>
      </c>
    </row>
    <row r="6" spans="1:2" x14ac:dyDescent="0.35">
      <c r="A6" t="s">
        <v>770</v>
      </c>
      <c r="B6">
        <v>15000</v>
      </c>
    </row>
    <row r="11" spans="1:2" x14ac:dyDescent="0.35">
      <c r="A11" t="s">
        <v>771</v>
      </c>
      <c r="B11" t="s">
        <v>772</v>
      </c>
    </row>
    <row r="12" spans="1:2" x14ac:dyDescent="0.35">
      <c r="A12" t="s">
        <v>303</v>
      </c>
      <c r="B12">
        <v>11</v>
      </c>
    </row>
    <row r="13" spans="1:2" x14ac:dyDescent="0.35">
      <c r="A13" t="s">
        <v>287</v>
      </c>
      <c r="B13">
        <v>1.52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E4374-F22C-4DD2-BB30-BDC52B82ABE0}">
  <sheetPr codeName="Hoja9"/>
  <dimension ref="A1:Z86"/>
  <sheetViews>
    <sheetView workbookViewId="0">
      <selection activeCell="M4" sqref="M4"/>
    </sheetView>
  </sheetViews>
  <sheetFormatPr baseColWidth="10" defaultColWidth="8.7265625" defaultRowHeight="14.5" x14ac:dyDescent="0.35"/>
  <cols>
    <col min="1" max="1" width="19.26953125" bestFit="1" customWidth="1"/>
    <col min="2" max="2" width="24.1796875" bestFit="1" customWidth="1"/>
    <col min="3" max="3" width="7.54296875" customWidth="1"/>
    <col min="4" max="4" width="16.54296875" bestFit="1" customWidth="1"/>
    <col min="5" max="5" width="24.08984375" bestFit="1" customWidth="1"/>
    <col min="6" max="7" width="7.54296875" customWidth="1"/>
    <col min="8" max="8" width="16.54296875" bestFit="1" customWidth="1"/>
    <col min="9" max="9" width="24.08984375" bestFit="1" customWidth="1"/>
    <col min="10" max="10" width="17.453125" customWidth="1"/>
    <col min="11" max="12" width="15" bestFit="1" customWidth="1"/>
    <col min="13" max="13" width="18.54296875" bestFit="1" customWidth="1"/>
    <col min="14" max="14" width="7.7265625" customWidth="1"/>
    <col min="15" max="15" width="24.453125" bestFit="1" customWidth="1"/>
    <col min="16" max="16" width="24.1796875" bestFit="1" customWidth="1"/>
    <col min="17" max="18" width="24.1796875" customWidth="1"/>
    <col min="20" max="20" width="24.453125" bestFit="1" customWidth="1"/>
    <col min="21" max="21" width="18" bestFit="1" customWidth="1"/>
    <col min="23" max="23" width="30.453125" bestFit="1" customWidth="1"/>
    <col min="24" max="24" width="16.7265625" bestFit="1" customWidth="1"/>
    <col min="25" max="25" width="26.1796875" bestFit="1" customWidth="1"/>
    <col min="26" max="26" width="16.7265625" bestFit="1" customWidth="1"/>
  </cols>
  <sheetData>
    <row r="1" spans="1:26" x14ac:dyDescent="0.35">
      <c r="A1" t="s">
        <v>773</v>
      </c>
    </row>
    <row r="4" spans="1:26" x14ac:dyDescent="0.35">
      <c r="D4" s="5" t="s">
        <v>3</v>
      </c>
      <c r="E4" t="s">
        <v>13</v>
      </c>
    </row>
    <row r="5" spans="1:26" x14ac:dyDescent="0.35">
      <c r="A5" t="s">
        <v>774</v>
      </c>
      <c r="H5" t="s">
        <v>775</v>
      </c>
      <c r="K5" t="s">
        <v>776</v>
      </c>
      <c r="O5" t="s">
        <v>777</v>
      </c>
      <c r="T5" t="s">
        <v>778</v>
      </c>
    </row>
    <row r="6" spans="1:26" x14ac:dyDescent="0.35">
      <c r="A6" s="5" t="s">
        <v>1</v>
      </c>
      <c r="B6" t="s">
        <v>779</v>
      </c>
      <c r="D6" s="5" t="s">
        <v>780</v>
      </c>
      <c r="E6" t="s">
        <v>779</v>
      </c>
      <c r="H6" s="5" t="s">
        <v>780</v>
      </c>
      <c r="I6" t="s">
        <v>779</v>
      </c>
      <c r="K6" s="5" t="s">
        <v>781</v>
      </c>
      <c r="L6" s="5" t="s">
        <v>782</v>
      </c>
      <c r="M6" t="s">
        <v>783</v>
      </c>
      <c r="O6" s="5" t="s">
        <v>781</v>
      </c>
      <c r="P6" s="5" t="s">
        <v>782</v>
      </c>
      <c r="Q6" s="5" t="s">
        <v>2</v>
      </c>
      <c r="R6" t="s">
        <v>779</v>
      </c>
      <c r="T6" s="5" t="s">
        <v>2</v>
      </c>
      <c r="U6" t="s">
        <v>784</v>
      </c>
      <c r="W6" s="5" t="s">
        <v>781</v>
      </c>
      <c r="X6" s="5" t="s">
        <v>782</v>
      </c>
      <c r="Y6" s="5" t="s">
        <v>2</v>
      </c>
      <c r="Z6" t="s">
        <v>785</v>
      </c>
    </row>
    <row r="7" spans="1:26" x14ac:dyDescent="0.35">
      <c r="A7" s="1">
        <v>46188</v>
      </c>
      <c r="B7" s="2">
        <v>250</v>
      </c>
      <c r="D7" s="8" t="s">
        <v>786</v>
      </c>
      <c r="E7" s="2"/>
      <c r="H7" s="8" t="s">
        <v>786</v>
      </c>
      <c r="I7" s="70">
        <v>3591.4919008264465</v>
      </c>
      <c r="K7" t="s">
        <v>786</v>
      </c>
      <c r="L7" t="s">
        <v>787</v>
      </c>
      <c r="M7" s="70">
        <v>25</v>
      </c>
      <c r="O7" t="s">
        <v>786</v>
      </c>
      <c r="P7" t="s">
        <v>787</v>
      </c>
      <c r="Q7" t="s">
        <v>31</v>
      </c>
      <c r="R7" s="2">
        <v>365</v>
      </c>
      <c r="T7" t="s">
        <v>31</v>
      </c>
      <c r="U7" s="70">
        <v>267.40000000000003</v>
      </c>
      <c r="W7" t="s">
        <v>786</v>
      </c>
      <c r="X7" t="s">
        <v>787</v>
      </c>
      <c r="Y7" t="s">
        <v>31</v>
      </c>
      <c r="Z7">
        <v>838</v>
      </c>
    </row>
    <row r="8" spans="1:26" x14ac:dyDescent="0.35">
      <c r="A8" s="1">
        <v>46189</v>
      </c>
      <c r="B8" s="2">
        <v>40</v>
      </c>
      <c r="D8" s="10" t="s">
        <v>787</v>
      </c>
      <c r="E8" s="2">
        <v>3420</v>
      </c>
      <c r="H8" s="9" t="s">
        <v>787</v>
      </c>
      <c r="I8" s="70">
        <v>586.36000000000013</v>
      </c>
      <c r="K8" t="s">
        <v>786</v>
      </c>
      <c r="L8" t="s">
        <v>788</v>
      </c>
      <c r="M8" s="70">
        <v>53</v>
      </c>
      <c r="O8" t="s">
        <v>786</v>
      </c>
      <c r="P8" t="s">
        <v>787</v>
      </c>
      <c r="Q8" t="s">
        <v>12</v>
      </c>
      <c r="R8" s="2">
        <v>2505</v>
      </c>
      <c r="T8" t="s">
        <v>12</v>
      </c>
      <c r="U8" s="70">
        <v>13021.500000000005</v>
      </c>
      <c r="W8" t="s">
        <v>786</v>
      </c>
      <c r="X8" t="s">
        <v>787</v>
      </c>
      <c r="Y8" t="s">
        <v>15</v>
      </c>
      <c r="Z8">
        <v>483.1</v>
      </c>
    </row>
    <row r="9" spans="1:26" x14ac:dyDescent="0.35">
      <c r="A9" s="1">
        <v>46190</v>
      </c>
      <c r="B9" s="2">
        <v>45</v>
      </c>
      <c r="D9" s="10" t="s">
        <v>788</v>
      </c>
      <c r="E9" s="2">
        <v>9132.5</v>
      </c>
      <c r="H9" s="9" t="s">
        <v>788</v>
      </c>
      <c r="I9" s="70">
        <v>1261.3100000000002</v>
      </c>
      <c r="K9" t="s">
        <v>786</v>
      </c>
      <c r="L9" t="s">
        <v>789</v>
      </c>
      <c r="M9" s="70">
        <v>47</v>
      </c>
      <c r="O9" t="s">
        <v>786</v>
      </c>
      <c r="P9" t="s">
        <v>787</v>
      </c>
      <c r="Q9" t="s">
        <v>15</v>
      </c>
      <c r="R9" s="2">
        <v>550</v>
      </c>
      <c r="T9" t="s">
        <v>15</v>
      </c>
      <c r="U9" s="70">
        <v>2843.5</v>
      </c>
      <c r="W9" t="s">
        <v>786</v>
      </c>
      <c r="X9" t="s">
        <v>787</v>
      </c>
      <c r="Y9" t="s">
        <v>12</v>
      </c>
      <c r="Z9">
        <v>2976.8</v>
      </c>
    </row>
    <row r="10" spans="1:26" x14ac:dyDescent="0.35">
      <c r="A10" s="1">
        <v>46191</v>
      </c>
      <c r="B10" s="2">
        <v>80</v>
      </c>
      <c r="D10" s="10" t="s">
        <v>789</v>
      </c>
      <c r="E10" s="2">
        <v>7100</v>
      </c>
      <c r="H10" s="9" t="s">
        <v>789</v>
      </c>
      <c r="I10" s="70">
        <v>1457.8466942148759</v>
      </c>
      <c r="K10" t="s">
        <v>786</v>
      </c>
      <c r="L10" t="s">
        <v>790</v>
      </c>
      <c r="M10" s="70">
        <v>11</v>
      </c>
      <c r="O10" t="s">
        <v>786</v>
      </c>
      <c r="P10" t="s">
        <v>788</v>
      </c>
      <c r="Q10" t="s">
        <v>12</v>
      </c>
      <c r="R10" s="2">
        <v>5702.5</v>
      </c>
      <c r="T10" t="s">
        <v>26</v>
      </c>
      <c r="U10" s="70">
        <v>83.1</v>
      </c>
      <c r="W10" t="s">
        <v>786</v>
      </c>
      <c r="X10" t="s">
        <v>788</v>
      </c>
      <c r="Y10" t="s">
        <v>15</v>
      </c>
      <c r="Z10">
        <v>2284.1000000000004</v>
      </c>
    </row>
    <row r="11" spans="1:26" x14ac:dyDescent="0.35">
      <c r="A11" s="1">
        <v>46192</v>
      </c>
      <c r="B11" s="2">
        <v>260</v>
      </c>
      <c r="D11" s="10" t="s">
        <v>790</v>
      </c>
      <c r="E11" s="2">
        <v>1640</v>
      </c>
      <c r="H11" s="9" t="s">
        <v>790</v>
      </c>
      <c r="I11" s="70">
        <v>285.97520661157023</v>
      </c>
      <c r="O11" t="s">
        <v>786</v>
      </c>
      <c r="P11" t="s">
        <v>788</v>
      </c>
      <c r="Q11" t="s">
        <v>15</v>
      </c>
      <c r="R11" s="2">
        <v>3310</v>
      </c>
      <c r="T11" t="s">
        <v>16</v>
      </c>
      <c r="U11" s="70">
        <v>1397.8</v>
      </c>
      <c r="W11" t="s">
        <v>786</v>
      </c>
      <c r="X11" t="s">
        <v>788</v>
      </c>
      <c r="Y11" t="s">
        <v>12</v>
      </c>
      <c r="Z11">
        <v>6597.0999999999995</v>
      </c>
    </row>
    <row r="12" spans="1:26" x14ac:dyDescent="0.35">
      <c r="A12" s="1">
        <v>46193</v>
      </c>
      <c r="B12" s="2">
        <v>180</v>
      </c>
      <c r="D12" s="8" t="s">
        <v>791</v>
      </c>
      <c r="E12" s="2">
        <v>21292.5</v>
      </c>
      <c r="H12" s="8" t="s">
        <v>791</v>
      </c>
      <c r="I12" s="70">
        <v>3591.4919008264465</v>
      </c>
      <c r="O12" t="s">
        <v>786</v>
      </c>
      <c r="P12" t="s">
        <v>788</v>
      </c>
      <c r="Q12" t="s">
        <v>26</v>
      </c>
      <c r="R12" s="2">
        <v>120</v>
      </c>
      <c r="W12" t="s">
        <v>786</v>
      </c>
      <c r="X12" t="s">
        <v>788</v>
      </c>
      <c r="Y12" t="s">
        <v>26</v>
      </c>
      <c r="Z12">
        <v>152.1</v>
      </c>
    </row>
    <row r="13" spans="1:26" x14ac:dyDescent="0.35">
      <c r="A13" s="1">
        <v>46194</v>
      </c>
      <c r="B13" s="2">
        <v>230</v>
      </c>
      <c r="O13" t="s">
        <v>786</v>
      </c>
      <c r="P13" t="s">
        <v>789</v>
      </c>
      <c r="Q13" t="s">
        <v>12</v>
      </c>
      <c r="R13" s="2">
        <v>4720</v>
      </c>
      <c r="W13" t="s">
        <v>786</v>
      </c>
      <c r="X13" t="s">
        <v>788</v>
      </c>
      <c r="Y13" t="s">
        <v>24</v>
      </c>
      <c r="Z13">
        <v>218.4</v>
      </c>
    </row>
    <row r="14" spans="1:26" x14ac:dyDescent="0.35">
      <c r="A14" s="1">
        <v>46195</v>
      </c>
      <c r="B14" s="2">
        <v>220</v>
      </c>
      <c r="O14" t="s">
        <v>786</v>
      </c>
      <c r="P14" t="s">
        <v>789</v>
      </c>
      <c r="Q14" t="s">
        <v>15</v>
      </c>
      <c r="R14" s="2">
        <v>1040</v>
      </c>
      <c r="W14" t="s">
        <v>786</v>
      </c>
      <c r="X14" t="s">
        <v>789</v>
      </c>
      <c r="Y14" t="s">
        <v>15</v>
      </c>
      <c r="Z14">
        <v>384.5</v>
      </c>
    </row>
    <row r="15" spans="1:26" x14ac:dyDescent="0.35">
      <c r="A15" s="1">
        <v>46196</v>
      </c>
      <c r="B15" s="2">
        <v>180</v>
      </c>
      <c r="O15" t="s">
        <v>786</v>
      </c>
      <c r="P15" t="s">
        <v>789</v>
      </c>
      <c r="Q15" t="s">
        <v>16</v>
      </c>
      <c r="R15" s="2">
        <v>1340</v>
      </c>
      <c r="W15" t="s">
        <v>786</v>
      </c>
      <c r="X15" t="s">
        <v>789</v>
      </c>
      <c r="Y15" t="s">
        <v>12</v>
      </c>
      <c r="Z15">
        <v>1569.7</v>
      </c>
    </row>
    <row r="16" spans="1:26" x14ac:dyDescent="0.35">
      <c r="A16" s="1">
        <v>46198</v>
      </c>
      <c r="B16" s="2">
        <v>205</v>
      </c>
      <c r="O16" t="s">
        <v>786</v>
      </c>
      <c r="P16" t="s">
        <v>790</v>
      </c>
      <c r="Q16" t="s">
        <v>12</v>
      </c>
      <c r="R16" s="2">
        <v>1080</v>
      </c>
      <c r="W16" t="s">
        <v>786</v>
      </c>
      <c r="X16" t="s">
        <v>789</v>
      </c>
      <c r="Y16" t="s">
        <v>22</v>
      </c>
      <c r="Z16">
        <v>117</v>
      </c>
    </row>
    <row r="17" spans="1:18" x14ac:dyDescent="0.35">
      <c r="A17" s="1">
        <v>46197</v>
      </c>
      <c r="B17" s="2">
        <v>180</v>
      </c>
      <c r="O17" t="s">
        <v>786</v>
      </c>
      <c r="P17" t="s">
        <v>790</v>
      </c>
      <c r="Q17" t="s">
        <v>15</v>
      </c>
      <c r="R17" s="2">
        <v>400</v>
      </c>
    </row>
    <row r="18" spans="1:18" x14ac:dyDescent="0.35">
      <c r="A18" s="1">
        <v>46199</v>
      </c>
      <c r="B18" s="2">
        <v>390</v>
      </c>
      <c r="O18" t="s">
        <v>786</v>
      </c>
      <c r="P18" t="s">
        <v>790</v>
      </c>
      <c r="Q18" t="s">
        <v>16</v>
      </c>
      <c r="R18" s="2">
        <v>160</v>
      </c>
    </row>
    <row r="19" spans="1:18" x14ac:dyDescent="0.35">
      <c r="A19" s="1">
        <v>46201</v>
      </c>
      <c r="B19" s="2">
        <v>180</v>
      </c>
    </row>
    <row r="20" spans="1:18" x14ac:dyDescent="0.35">
      <c r="A20" s="1">
        <v>46200</v>
      </c>
      <c r="B20" s="2">
        <v>205</v>
      </c>
    </row>
    <row r="21" spans="1:18" x14ac:dyDescent="0.35">
      <c r="A21" s="1">
        <v>46202</v>
      </c>
      <c r="B21" s="2">
        <v>400</v>
      </c>
    </row>
    <row r="22" spans="1:18" x14ac:dyDescent="0.35">
      <c r="A22" s="1">
        <v>46203</v>
      </c>
      <c r="B22" s="2">
        <v>375</v>
      </c>
    </row>
    <row r="23" spans="1:18" x14ac:dyDescent="0.35">
      <c r="A23" s="1">
        <v>46204</v>
      </c>
      <c r="B23" s="2">
        <v>340</v>
      </c>
    </row>
    <row r="24" spans="1:18" x14ac:dyDescent="0.35">
      <c r="A24" s="1">
        <v>46205</v>
      </c>
      <c r="B24" s="2">
        <v>340</v>
      </c>
    </row>
    <row r="25" spans="1:18" x14ac:dyDescent="0.35">
      <c r="A25" s="1">
        <v>46206</v>
      </c>
      <c r="B25" s="2">
        <v>180</v>
      </c>
    </row>
    <row r="26" spans="1:18" x14ac:dyDescent="0.35">
      <c r="A26" s="1">
        <v>46207</v>
      </c>
      <c r="B26" s="2">
        <v>180</v>
      </c>
    </row>
    <row r="27" spans="1:18" x14ac:dyDescent="0.35">
      <c r="A27" s="1">
        <v>46208</v>
      </c>
      <c r="B27" s="2">
        <v>340</v>
      </c>
    </row>
    <row r="28" spans="1:18" x14ac:dyDescent="0.35">
      <c r="A28" s="1">
        <v>46209</v>
      </c>
      <c r="B28" s="2">
        <v>360</v>
      </c>
    </row>
    <row r="29" spans="1:18" x14ac:dyDescent="0.35">
      <c r="A29" s="1">
        <v>46210</v>
      </c>
      <c r="B29" s="2">
        <v>340</v>
      </c>
    </row>
    <row r="30" spans="1:18" x14ac:dyDescent="0.35">
      <c r="A30" s="1">
        <v>46212</v>
      </c>
      <c r="B30" s="2">
        <v>340</v>
      </c>
    </row>
    <row r="31" spans="1:18" x14ac:dyDescent="0.35">
      <c r="A31" s="1">
        <v>46211</v>
      </c>
      <c r="B31" s="2">
        <v>340</v>
      </c>
    </row>
    <row r="32" spans="1:18" x14ac:dyDescent="0.35">
      <c r="A32" s="1">
        <v>46213</v>
      </c>
      <c r="B32" s="2">
        <v>340</v>
      </c>
    </row>
    <row r="33" spans="1:2" x14ac:dyDescent="0.35">
      <c r="A33" s="1">
        <v>46215</v>
      </c>
      <c r="B33" s="2">
        <v>340</v>
      </c>
    </row>
    <row r="34" spans="1:2" x14ac:dyDescent="0.35">
      <c r="A34" s="1">
        <v>46214</v>
      </c>
      <c r="B34" s="2">
        <v>340</v>
      </c>
    </row>
    <row r="35" spans="1:2" x14ac:dyDescent="0.35">
      <c r="A35" s="1">
        <v>46217</v>
      </c>
      <c r="B35" s="2">
        <v>400</v>
      </c>
    </row>
    <row r="36" spans="1:2" x14ac:dyDescent="0.35">
      <c r="A36" s="1">
        <v>46216</v>
      </c>
      <c r="B36" s="2">
        <v>485</v>
      </c>
    </row>
    <row r="37" spans="1:2" x14ac:dyDescent="0.35">
      <c r="A37" s="1">
        <v>46218</v>
      </c>
      <c r="B37" s="2">
        <v>370</v>
      </c>
    </row>
    <row r="38" spans="1:2" x14ac:dyDescent="0.35">
      <c r="A38" s="1">
        <v>46219</v>
      </c>
      <c r="B38" s="2">
        <v>340</v>
      </c>
    </row>
    <row r="39" spans="1:2" x14ac:dyDescent="0.35">
      <c r="A39" s="1">
        <v>46223</v>
      </c>
      <c r="B39" s="2">
        <v>340</v>
      </c>
    </row>
    <row r="40" spans="1:2" x14ac:dyDescent="0.35">
      <c r="A40" s="1">
        <v>46222</v>
      </c>
      <c r="B40" s="2">
        <v>340</v>
      </c>
    </row>
    <row r="41" spans="1:2" x14ac:dyDescent="0.35">
      <c r="A41" s="1">
        <v>46221</v>
      </c>
      <c r="B41" s="2">
        <v>180</v>
      </c>
    </row>
    <row r="42" spans="1:2" x14ac:dyDescent="0.35">
      <c r="A42" s="1">
        <v>46220</v>
      </c>
      <c r="B42" s="2">
        <v>277.5</v>
      </c>
    </row>
    <row r="43" spans="1:2" x14ac:dyDescent="0.35">
      <c r="A43" s="1">
        <v>46224</v>
      </c>
      <c r="B43" s="2">
        <v>180</v>
      </c>
    </row>
    <row r="44" spans="1:2" x14ac:dyDescent="0.35">
      <c r="A44" s="1">
        <v>46226</v>
      </c>
      <c r="B44" s="2">
        <v>340</v>
      </c>
    </row>
    <row r="45" spans="1:2" x14ac:dyDescent="0.35">
      <c r="A45" s="1">
        <v>46225</v>
      </c>
      <c r="B45" s="2">
        <v>180</v>
      </c>
    </row>
    <row r="46" spans="1:2" x14ac:dyDescent="0.35">
      <c r="A46" s="1">
        <v>46230</v>
      </c>
      <c r="B46" s="2">
        <v>340</v>
      </c>
    </row>
    <row r="47" spans="1:2" x14ac:dyDescent="0.35">
      <c r="A47" s="1">
        <v>46229</v>
      </c>
      <c r="B47" s="2">
        <v>180</v>
      </c>
    </row>
    <row r="48" spans="1:2" x14ac:dyDescent="0.35">
      <c r="A48" s="1">
        <v>46228</v>
      </c>
      <c r="B48" s="2">
        <v>180</v>
      </c>
    </row>
    <row r="49" spans="1:2" x14ac:dyDescent="0.35">
      <c r="A49" s="1">
        <v>46227</v>
      </c>
      <c r="B49" s="2">
        <v>180</v>
      </c>
    </row>
    <row r="50" spans="1:2" x14ac:dyDescent="0.35">
      <c r="A50" s="1">
        <v>46231</v>
      </c>
      <c r="B50" s="2">
        <v>340</v>
      </c>
    </row>
    <row r="51" spans="1:2" x14ac:dyDescent="0.35">
      <c r="A51" s="1">
        <v>46232</v>
      </c>
      <c r="B51" s="2">
        <v>180</v>
      </c>
    </row>
    <row r="52" spans="1:2" x14ac:dyDescent="0.35">
      <c r="A52" s="1">
        <v>46234</v>
      </c>
      <c r="B52" s="2">
        <v>340</v>
      </c>
    </row>
    <row r="53" spans="1:2" x14ac:dyDescent="0.35">
      <c r="A53" s="1">
        <v>46233</v>
      </c>
      <c r="B53" s="2">
        <v>180</v>
      </c>
    </row>
    <row r="54" spans="1:2" x14ac:dyDescent="0.35">
      <c r="A54" s="1">
        <v>46237</v>
      </c>
      <c r="B54" s="2">
        <v>260</v>
      </c>
    </row>
    <row r="55" spans="1:2" x14ac:dyDescent="0.35">
      <c r="A55" s="1">
        <v>46236</v>
      </c>
      <c r="B55" s="2">
        <v>180</v>
      </c>
    </row>
    <row r="56" spans="1:2" x14ac:dyDescent="0.35">
      <c r="A56" s="1">
        <v>46235</v>
      </c>
      <c r="B56" s="2">
        <v>180</v>
      </c>
    </row>
    <row r="57" spans="1:2" x14ac:dyDescent="0.35">
      <c r="A57" s="1">
        <v>46244</v>
      </c>
      <c r="B57" s="2">
        <v>300</v>
      </c>
    </row>
    <row r="58" spans="1:2" x14ac:dyDescent="0.35">
      <c r="A58" s="1">
        <v>46238</v>
      </c>
      <c r="B58" s="2">
        <v>180</v>
      </c>
    </row>
    <row r="59" spans="1:2" x14ac:dyDescent="0.35">
      <c r="A59" s="1">
        <v>46245</v>
      </c>
      <c r="B59" s="2">
        <v>300</v>
      </c>
    </row>
    <row r="60" spans="1:2" x14ac:dyDescent="0.35">
      <c r="A60" s="1">
        <v>46247</v>
      </c>
      <c r="B60" s="2">
        <v>300</v>
      </c>
    </row>
    <row r="61" spans="1:2" x14ac:dyDescent="0.35">
      <c r="A61" s="1">
        <v>46246</v>
      </c>
      <c r="B61" s="2">
        <v>180</v>
      </c>
    </row>
    <row r="62" spans="1:2" x14ac:dyDescent="0.35">
      <c r="A62" s="1">
        <v>46248</v>
      </c>
      <c r="B62" s="2">
        <v>300</v>
      </c>
    </row>
    <row r="63" spans="1:2" x14ac:dyDescent="0.35">
      <c r="A63" s="1">
        <v>46249</v>
      </c>
      <c r="B63" s="2">
        <v>180</v>
      </c>
    </row>
    <row r="64" spans="1:2" x14ac:dyDescent="0.35">
      <c r="A64" s="1">
        <v>46250</v>
      </c>
      <c r="B64" s="2">
        <v>180</v>
      </c>
    </row>
    <row r="65" spans="1:2" x14ac:dyDescent="0.35">
      <c r="A65" s="1">
        <v>46251</v>
      </c>
      <c r="B65" s="2">
        <v>300</v>
      </c>
    </row>
    <row r="66" spans="1:2" x14ac:dyDescent="0.35">
      <c r="A66" s="1">
        <v>46252</v>
      </c>
      <c r="B66" s="2">
        <v>300</v>
      </c>
    </row>
    <row r="67" spans="1:2" x14ac:dyDescent="0.35">
      <c r="A67" s="1">
        <v>46253</v>
      </c>
      <c r="B67" s="2">
        <v>300</v>
      </c>
    </row>
    <row r="68" spans="1:2" x14ac:dyDescent="0.35">
      <c r="A68" s="1">
        <v>46254</v>
      </c>
      <c r="B68" s="2">
        <v>380</v>
      </c>
    </row>
    <row r="69" spans="1:2" x14ac:dyDescent="0.35">
      <c r="A69" s="1">
        <v>46255</v>
      </c>
      <c r="B69" s="2">
        <v>380</v>
      </c>
    </row>
    <row r="70" spans="1:2" x14ac:dyDescent="0.35">
      <c r="A70" s="1">
        <v>46257</v>
      </c>
      <c r="B70" s="2">
        <v>180</v>
      </c>
    </row>
    <row r="71" spans="1:2" x14ac:dyDescent="0.35">
      <c r="A71" s="1">
        <v>46256</v>
      </c>
      <c r="B71" s="2">
        <v>180</v>
      </c>
    </row>
    <row r="72" spans="1:2" x14ac:dyDescent="0.35">
      <c r="A72" s="1">
        <v>46258</v>
      </c>
      <c r="B72" s="2">
        <v>340</v>
      </c>
    </row>
    <row r="73" spans="1:2" x14ac:dyDescent="0.35">
      <c r="A73" s="1">
        <v>46259</v>
      </c>
      <c r="B73" s="2">
        <v>380</v>
      </c>
    </row>
    <row r="74" spans="1:2" x14ac:dyDescent="0.35">
      <c r="A74" s="1">
        <v>46261</v>
      </c>
      <c r="B74" s="2">
        <v>380</v>
      </c>
    </row>
    <row r="75" spans="1:2" x14ac:dyDescent="0.35">
      <c r="A75" s="1">
        <v>46260</v>
      </c>
      <c r="B75" s="2">
        <v>380</v>
      </c>
    </row>
    <row r="76" spans="1:2" x14ac:dyDescent="0.35">
      <c r="A76" s="1">
        <v>46262</v>
      </c>
      <c r="B76" s="2">
        <v>400</v>
      </c>
    </row>
    <row r="77" spans="1:2" x14ac:dyDescent="0.35">
      <c r="A77" s="1">
        <v>46264</v>
      </c>
      <c r="B77" s="2">
        <v>180</v>
      </c>
    </row>
    <row r="78" spans="1:2" x14ac:dyDescent="0.35">
      <c r="A78" s="1">
        <v>46263</v>
      </c>
      <c r="B78" s="2">
        <v>180</v>
      </c>
    </row>
    <row r="79" spans="1:2" x14ac:dyDescent="0.35">
      <c r="A79" s="1">
        <v>46265</v>
      </c>
      <c r="B79" s="2">
        <v>300</v>
      </c>
    </row>
    <row r="80" spans="1:2" x14ac:dyDescent="0.35">
      <c r="A80" s="1">
        <v>46266</v>
      </c>
      <c r="B80" s="2">
        <v>380</v>
      </c>
    </row>
    <row r="81" spans="1:2" x14ac:dyDescent="0.35">
      <c r="A81" s="1">
        <v>46267</v>
      </c>
      <c r="B81" s="2">
        <v>420</v>
      </c>
    </row>
    <row r="82" spans="1:2" x14ac:dyDescent="0.35">
      <c r="A82" s="1">
        <v>46268</v>
      </c>
      <c r="B82" s="2">
        <v>180</v>
      </c>
    </row>
    <row r="83" spans="1:2" x14ac:dyDescent="0.35">
      <c r="A83" s="1">
        <v>46270</v>
      </c>
      <c r="B83" s="2">
        <v>180</v>
      </c>
    </row>
    <row r="84" spans="1:2" x14ac:dyDescent="0.35">
      <c r="A84" s="1">
        <v>46269</v>
      </c>
      <c r="B84" s="2">
        <v>180</v>
      </c>
    </row>
    <row r="85" spans="1:2" x14ac:dyDescent="0.35">
      <c r="A85" s="1">
        <v>46272</v>
      </c>
      <c r="B85" s="2">
        <v>120</v>
      </c>
    </row>
    <row r="86" spans="1:2" x14ac:dyDescent="0.35">
      <c r="A86" s="1">
        <v>46271</v>
      </c>
      <c r="B86" s="2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00KmDiariosReales</vt:lpstr>
      <vt:lpstr>01Servicios</vt:lpstr>
      <vt:lpstr>00Dashboard</vt:lpstr>
      <vt:lpstr>00Análisis</vt:lpstr>
      <vt:lpstr>02Repostajes</vt:lpstr>
      <vt:lpstr>03Facturas_Recibidas</vt:lpstr>
      <vt:lpstr>04_Personal</vt:lpstr>
      <vt:lpstr>05Facturas_Emitidas</vt:lpstr>
      <vt:lpstr>06_Impuestos</vt:lpstr>
      <vt:lpstr>07_Inversiones</vt:lpstr>
      <vt:lpstr>08_Mantenimiento</vt:lpstr>
      <vt:lpstr>99_Listas</vt:lpstr>
      <vt:lpstr>99_Config</vt:lpstr>
      <vt:lpstr>90_Modelo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Candy Car Motor</cp:lastModifiedBy>
  <cp:revision/>
  <dcterms:created xsi:type="dcterms:W3CDTF">2026-06-16T14:22:10Z</dcterms:created>
  <dcterms:modified xsi:type="dcterms:W3CDTF">2026-09-08T10:52:37Z</dcterms:modified>
  <cp:category/>
  <cp:contentStatus/>
</cp:coreProperties>
</file>